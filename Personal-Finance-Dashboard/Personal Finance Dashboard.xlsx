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E:\Study\Excel\"/>
    </mc:Choice>
  </mc:AlternateContent>
  <xr:revisionPtr revIDLastSave="0" documentId="13_ncr:1_{CBB66429-9B3C-4820-847F-41A74C223F57}" xr6:coauthVersionLast="47" xr6:coauthVersionMax="47" xr10:uidLastSave="{00000000-0000-0000-0000-000000000000}"/>
  <bookViews>
    <workbookView xWindow="-108" yWindow="-108" windowWidth="23256" windowHeight="12456" xr2:uid="{AADEBC52-0753-4A9C-B42C-07CFA2EA5A30}"/>
  </bookViews>
  <sheets>
    <sheet name="DASHBOARD" sheetId="2" r:id="rId1"/>
    <sheet name="Processing" sheetId="5" r:id="rId2"/>
    <sheet name="Control" sheetId="4" r:id="rId3"/>
    <sheet name="Data" sheetId="3" r:id="rId4"/>
    <sheet name="Resources" sheetId="1" r:id="rId5"/>
  </sheets>
  <definedNames>
    <definedName name="Slicer_Month">#N/A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1" i="5" l="1"/>
  <c r="G41" i="5"/>
  <c r="F41" i="5"/>
  <c r="E41" i="5"/>
  <c r="D41" i="5"/>
  <c r="C41" i="5"/>
  <c r="B41" i="5"/>
  <c r="H42" i="5"/>
  <c r="G42" i="5"/>
  <c r="F42" i="5"/>
  <c r="E42" i="5"/>
  <c r="D42" i="5"/>
  <c r="C42" i="5"/>
  <c r="B42" i="5"/>
  <c r="F33" i="5"/>
  <c r="E35" i="5"/>
  <c r="D35" i="5"/>
  <c r="C35" i="5"/>
  <c r="B35" i="5"/>
  <c r="B36" i="5"/>
  <c r="L3" i="5"/>
  <c r="L4" i="5"/>
  <c r="L5" i="5"/>
  <c r="L6" i="5"/>
  <c r="L7" i="5"/>
  <c r="L8" i="5"/>
  <c r="L9" i="5"/>
  <c r="L10" i="5"/>
  <c r="L11" i="5"/>
  <c r="L12" i="5"/>
  <c r="L13" i="5"/>
  <c r="L2" i="5"/>
  <c r="F3" i="5"/>
  <c r="F4" i="5"/>
  <c r="F5" i="5"/>
  <c r="F6" i="5"/>
  <c r="F7" i="5"/>
  <c r="F8" i="5"/>
  <c r="F9" i="5"/>
  <c r="F10" i="5"/>
  <c r="F11" i="5"/>
  <c r="F12" i="5"/>
  <c r="F13" i="5"/>
  <c r="F2" i="5"/>
  <c r="C3" i="5"/>
  <c r="C4" i="5"/>
  <c r="C5" i="5"/>
  <c r="C6" i="5"/>
  <c r="C7" i="5"/>
  <c r="C8" i="5"/>
  <c r="C9" i="5"/>
  <c r="C10" i="5"/>
  <c r="C11" i="5"/>
  <c r="C12" i="5"/>
  <c r="C13" i="5"/>
  <c r="C2" i="5"/>
  <c r="C14" i="5"/>
  <c r="B3" i="5"/>
  <c r="B4" i="5"/>
  <c r="B5" i="5"/>
  <c r="B6" i="5"/>
  <c r="B7" i="5"/>
  <c r="B8" i="5"/>
  <c r="B9" i="5"/>
  <c r="B10" i="5"/>
  <c r="B11" i="5"/>
  <c r="B12" i="5"/>
  <c r="B13" i="5"/>
  <c r="B2" i="5"/>
  <c r="C367" i="3"/>
  <c r="B367" i="3" s="1"/>
  <c r="C366" i="3"/>
  <c r="B366" i="3" s="1"/>
  <c r="C365" i="3"/>
  <c r="B365" i="3" s="1"/>
  <c r="C364" i="3"/>
  <c r="B364" i="3" s="1"/>
  <c r="C363" i="3"/>
  <c r="B363" i="3" s="1"/>
  <c r="C362" i="3"/>
  <c r="B362" i="3"/>
  <c r="C361" i="3"/>
  <c r="B361" i="3" s="1"/>
  <c r="C360" i="3"/>
  <c r="B360" i="3" s="1"/>
  <c r="C359" i="3"/>
  <c r="B359" i="3" s="1"/>
  <c r="C358" i="3"/>
  <c r="B358" i="3" s="1"/>
  <c r="C357" i="3"/>
  <c r="B357" i="3"/>
  <c r="C356" i="3"/>
  <c r="B356" i="3"/>
  <c r="C355" i="3"/>
  <c r="B355" i="3" s="1"/>
  <c r="C354" i="3"/>
  <c r="B354" i="3"/>
  <c r="C353" i="3"/>
  <c r="B353" i="3" s="1"/>
  <c r="C352" i="3"/>
  <c r="B352" i="3"/>
  <c r="C351" i="3"/>
  <c r="B351" i="3" s="1"/>
  <c r="C350" i="3"/>
  <c r="B350" i="3" s="1"/>
  <c r="C349" i="3"/>
  <c r="B349" i="3" s="1"/>
  <c r="C348" i="3"/>
  <c r="B348" i="3" s="1"/>
  <c r="C347" i="3"/>
  <c r="B347" i="3" s="1"/>
  <c r="C346" i="3"/>
  <c r="B346" i="3" s="1"/>
  <c r="C345" i="3"/>
  <c r="B345" i="3" s="1"/>
  <c r="C344" i="3"/>
  <c r="B344" i="3" s="1"/>
  <c r="C343" i="3"/>
  <c r="B343" i="3" s="1"/>
  <c r="C342" i="3"/>
  <c r="B342" i="3"/>
  <c r="C341" i="3"/>
  <c r="B341" i="3" s="1"/>
  <c r="C340" i="3"/>
  <c r="B340" i="3" s="1"/>
  <c r="C339" i="3"/>
  <c r="B339" i="3" s="1"/>
  <c r="C338" i="3"/>
  <c r="B338" i="3"/>
  <c r="C337" i="3"/>
  <c r="B337" i="3"/>
  <c r="C336" i="3"/>
  <c r="B336" i="3" s="1"/>
  <c r="C335" i="3"/>
  <c r="B335" i="3" s="1"/>
  <c r="C334" i="3"/>
  <c r="B334" i="3"/>
  <c r="C333" i="3"/>
  <c r="B333" i="3" s="1"/>
  <c r="C332" i="3"/>
  <c r="B332" i="3"/>
  <c r="C331" i="3"/>
  <c r="B331" i="3" s="1"/>
  <c r="C330" i="3"/>
  <c r="B330" i="3" s="1"/>
  <c r="C329" i="3"/>
  <c r="B329" i="3"/>
  <c r="C328" i="3"/>
  <c r="B328" i="3"/>
  <c r="C327" i="3"/>
  <c r="B327" i="3" s="1"/>
  <c r="C326" i="3"/>
  <c r="B326" i="3"/>
  <c r="C325" i="3"/>
  <c r="B325" i="3"/>
  <c r="C324" i="3"/>
  <c r="B324" i="3" s="1"/>
  <c r="C323" i="3"/>
  <c r="B323" i="3" s="1"/>
  <c r="C322" i="3"/>
  <c r="B322" i="3" s="1"/>
  <c r="C321" i="3"/>
  <c r="B321" i="3" s="1"/>
  <c r="C320" i="3"/>
  <c r="B320" i="3"/>
  <c r="C319" i="3"/>
  <c r="B319" i="3" s="1"/>
  <c r="C318" i="3"/>
  <c r="B318" i="3"/>
  <c r="C317" i="3"/>
  <c r="B317" i="3" s="1"/>
  <c r="C316" i="3"/>
  <c r="B316" i="3"/>
  <c r="C315" i="3"/>
  <c r="B315" i="3" s="1"/>
  <c r="C314" i="3"/>
  <c r="B314" i="3"/>
  <c r="C313" i="3"/>
  <c r="B313" i="3"/>
  <c r="C312" i="3"/>
  <c r="B312" i="3" s="1"/>
  <c r="C311" i="3"/>
  <c r="B311" i="3" s="1"/>
  <c r="C310" i="3"/>
  <c r="B310" i="3" s="1"/>
  <c r="C309" i="3"/>
  <c r="B309" i="3"/>
  <c r="C308" i="3"/>
  <c r="B308" i="3" s="1"/>
  <c r="C307" i="3"/>
  <c r="B307" i="3" s="1"/>
  <c r="C306" i="3"/>
  <c r="B306" i="3" s="1"/>
  <c r="C305" i="3"/>
  <c r="B305" i="3" s="1"/>
  <c r="C304" i="3"/>
  <c r="B304" i="3"/>
  <c r="C303" i="3"/>
  <c r="B303" i="3" s="1"/>
  <c r="C302" i="3"/>
  <c r="B302" i="3"/>
  <c r="C301" i="3"/>
  <c r="B301" i="3"/>
  <c r="C300" i="3"/>
  <c r="B300" i="3"/>
  <c r="C299" i="3"/>
  <c r="B299" i="3" s="1"/>
  <c r="C298" i="3"/>
  <c r="B298" i="3"/>
  <c r="C297" i="3"/>
  <c r="B297" i="3" s="1"/>
  <c r="C296" i="3"/>
  <c r="B296" i="3" s="1"/>
  <c r="C295" i="3"/>
  <c r="B295" i="3" s="1"/>
  <c r="C294" i="3"/>
  <c r="B294" i="3" s="1"/>
  <c r="C293" i="3"/>
  <c r="B293" i="3"/>
  <c r="C292" i="3"/>
  <c r="B292" i="3"/>
  <c r="C291" i="3"/>
  <c r="B291" i="3" s="1"/>
  <c r="C290" i="3"/>
  <c r="B290" i="3"/>
  <c r="C289" i="3"/>
  <c r="B289" i="3" s="1"/>
  <c r="C288" i="3"/>
  <c r="B288" i="3"/>
  <c r="C287" i="3"/>
  <c r="B287" i="3" s="1"/>
  <c r="C286" i="3"/>
  <c r="B286" i="3" s="1"/>
  <c r="C285" i="3"/>
  <c r="B285" i="3" s="1"/>
  <c r="C284" i="3"/>
  <c r="B284" i="3" s="1"/>
  <c r="C283" i="3"/>
  <c r="B283" i="3" s="1"/>
  <c r="C282" i="3"/>
  <c r="B282" i="3" s="1"/>
  <c r="C281" i="3"/>
  <c r="B281" i="3" s="1"/>
  <c r="C280" i="3"/>
  <c r="B280" i="3" s="1"/>
  <c r="C279" i="3"/>
  <c r="B279" i="3" s="1"/>
  <c r="C278" i="3"/>
  <c r="B278" i="3"/>
  <c r="C277" i="3"/>
  <c r="B277" i="3" s="1"/>
  <c r="C276" i="3"/>
  <c r="B276" i="3" s="1"/>
  <c r="C275" i="3"/>
  <c r="B275" i="3" s="1"/>
  <c r="C274" i="3"/>
  <c r="B274" i="3"/>
  <c r="C273" i="3"/>
  <c r="B273" i="3"/>
  <c r="C272" i="3"/>
  <c r="B272" i="3" s="1"/>
  <c r="C271" i="3"/>
  <c r="B271" i="3" s="1"/>
  <c r="C270" i="3"/>
  <c r="B270" i="3"/>
  <c r="C269" i="3"/>
  <c r="B269" i="3" s="1"/>
  <c r="C268" i="3"/>
  <c r="B268" i="3"/>
  <c r="C267" i="3"/>
  <c r="B267" i="3" s="1"/>
  <c r="C266" i="3"/>
  <c r="B266" i="3" s="1"/>
  <c r="C265" i="3"/>
  <c r="B265" i="3"/>
  <c r="C264" i="3"/>
  <c r="B264" i="3"/>
  <c r="C263" i="3"/>
  <c r="B263" i="3" s="1"/>
  <c r="C262" i="3"/>
  <c r="B262" i="3"/>
  <c r="C261" i="3"/>
  <c r="B261" i="3"/>
  <c r="C260" i="3"/>
  <c r="B260" i="3" s="1"/>
  <c r="C259" i="3"/>
  <c r="B259" i="3" s="1"/>
  <c r="C258" i="3"/>
  <c r="B258" i="3" s="1"/>
  <c r="C257" i="3"/>
  <c r="B257" i="3" s="1"/>
  <c r="C256" i="3"/>
  <c r="B256" i="3"/>
  <c r="C255" i="3"/>
  <c r="B255" i="3" s="1"/>
  <c r="C254" i="3"/>
  <c r="B254" i="3"/>
  <c r="C253" i="3"/>
  <c r="B253" i="3" s="1"/>
  <c r="C252" i="3"/>
  <c r="B252" i="3"/>
  <c r="C251" i="3"/>
  <c r="B251" i="3" s="1"/>
  <c r="C250" i="3"/>
  <c r="B250" i="3"/>
  <c r="C249" i="3"/>
  <c r="B249" i="3"/>
  <c r="C248" i="3"/>
  <c r="B248" i="3" s="1"/>
  <c r="C247" i="3"/>
  <c r="B247" i="3" s="1"/>
  <c r="C246" i="3"/>
  <c r="B246" i="3" s="1"/>
  <c r="C245" i="3"/>
  <c r="B245" i="3"/>
  <c r="C244" i="3"/>
  <c r="B244" i="3" s="1"/>
  <c r="C243" i="3"/>
  <c r="B243" i="3" s="1"/>
  <c r="C242" i="3"/>
  <c r="B242" i="3" s="1"/>
  <c r="C241" i="3"/>
  <c r="B241" i="3" s="1"/>
  <c r="C240" i="3"/>
  <c r="B240" i="3"/>
  <c r="C239" i="3"/>
  <c r="B239" i="3" s="1"/>
  <c r="C238" i="3"/>
  <c r="B238" i="3"/>
  <c r="C237" i="3"/>
  <c r="B237" i="3"/>
  <c r="C236" i="3"/>
  <c r="B236" i="3"/>
  <c r="C235" i="3"/>
  <c r="B235" i="3" s="1"/>
  <c r="C234" i="3"/>
  <c r="B234" i="3" s="1"/>
  <c r="C233" i="3"/>
  <c r="B233" i="3"/>
  <c r="C232" i="3"/>
  <c r="B232" i="3"/>
  <c r="C231" i="3"/>
  <c r="B231" i="3" s="1"/>
  <c r="C230" i="3"/>
  <c r="B230" i="3" s="1"/>
  <c r="C229" i="3"/>
  <c r="B229" i="3" s="1"/>
  <c r="C228" i="3"/>
  <c r="B228" i="3"/>
  <c r="C227" i="3"/>
  <c r="B227" i="3" s="1"/>
  <c r="C226" i="3"/>
  <c r="B226" i="3" s="1"/>
  <c r="C225" i="3"/>
  <c r="B225" i="3" s="1"/>
  <c r="C224" i="3"/>
  <c r="B224" i="3" s="1"/>
  <c r="C223" i="3"/>
  <c r="B223" i="3" s="1"/>
  <c r="C222" i="3"/>
  <c r="B222" i="3" s="1"/>
  <c r="C221" i="3"/>
  <c r="B221" i="3" s="1"/>
  <c r="C220" i="3"/>
  <c r="B220" i="3"/>
  <c r="C219" i="3"/>
  <c r="B219" i="3" s="1"/>
  <c r="C218" i="3"/>
  <c r="B218" i="3"/>
  <c r="C217" i="3"/>
  <c r="B217" i="3" s="1"/>
  <c r="C216" i="3"/>
  <c r="B216" i="3" s="1"/>
  <c r="C215" i="3"/>
  <c r="B215" i="3" s="1"/>
  <c r="C214" i="3"/>
  <c r="B214" i="3"/>
  <c r="C213" i="3"/>
  <c r="B213" i="3"/>
  <c r="C212" i="3"/>
  <c r="B212" i="3" s="1"/>
  <c r="C211" i="3"/>
  <c r="B211" i="3" s="1"/>
  <c r="C210" i="3"/>
  <c r="B210" i="3" s="1"/>
  <c r="C209" i="3"/>
  <c r="B209" i="3"/>
  <c r="C208" i="3"/>
  <c r="B208" i="3"/>
  <c r="C207" i="3"/>
  <c r="B207" i="3" s="1"/>
  <c r="C206" i="3"/>
  <c r="B206" i="3"/>
  <c r="C205" i="3"/>
  <c r="B205" i="3"/>
  <c r="C204" i="3"/>
  <c r="B204" i="3" s="1"/>
  <c r="C203" i="3"/>
  <c r="B203" i="3" s="1"/>
  <c r="C202" i="3"/>
  <c r="B202" i="3" s="1"/>
  <c r="C201" i="3"/>
  <c r="B201" i="3"/>
  <c r="C200" i="3"/>
  <c r="B200" i="3"/>
  <c r="C199" i="3"/>
  <c r="B199" i="3" s="1"/>
  <c r="C198" i="3"/>
  <c r="B198" i="3" s="1"/>
  <c r="C197" i="3"/>
  <c r="B197" i="3"/>
  <c r="C196" i="3"/>
  <c r="B196" i="3"/>
  <c r="C195" i="3"/>
  <c r="B195" i="3" s="1"/>
  <c r="C194" i="3"/>
  <c r="B194" i="3"/>
  <c r="C193" i="3"/>
  <c r="B193" i="3" s="1"/>
  <c r="C192" i="3"/>
  <c r="B192" i="3"/>
  <c r="C191" i="3"/>
  <c r="B191" i="3" s="1"/>
  <c r="C190" i="3"/>
  <c r="B190" i="3" s="1"/>
  <c r="C189" i="3"/>
  <c r="B189" i="3" s="1"/>
  <c r="C188" i="3"/>
  <c r="B188" i="3" s="1"/>
  <c r="C187" i="3"/>
  <c r="B187" i="3" s="1"/>
  <c r="C186" i="3"/>
  <c r="B186" i="3" s="1"/>
  <c r="C185" i="3"/>
  <c r="B185" i="3" s="1"/>
  <c r="C184" i="3"/>
  <c r="B184" i="3" s="1"/>
  <c r="C183" i="3"/>
  <c r="B183" i="3" s="1"/>
  <c r="C182" i="3"/>
  <c r="B182" i="3"/>
  <c r="C181" i="3"/>
  <c r="B181" i="3" s="1"/>
  <c r="C180" i="3"/>
  <c r="B180" i="3" s="1"/>
  <c r="C179" i="3"/>
  <c r="B179" i="3" s="1"/>
  <c r="C178" i="3"/>
  <c r="B178" i="3"/>
  <c r="C177" i="3"/>
  <c r="B177" i="3"/>
  <c r="C176" i="3"/>
  <c r="B176" i="3" s="1"/>
  <c r="C175" i="3"/>
  <c r="B175" i="3" s="1"/>
  <c r="C174" i="3"/>
  <c r="B174" i="3"/>
  <c r="C173" i="3"/>
  <c r="B173" i="3" s="1"/>
  <c r="C172" i="3"/>
  <c r="B172" i="3"/>
  <c r="C171" i="3"/>
  <c r="B171" i="3" s="1"/>
  <c r="C170" i="3"/>
  <c r="B170" i="3" s="1"/>
  <c r="C169" i="3"/>
  <c r="B169" i="3"/>
  <c r="C168" i="3"/>
  <c r="B168" i="3" s="1"/>
  <c r="C167" i="3"/>
  <c r="B167" i="3" s="1"/>
  <c r="C166" i="3"/>
  <c r="B166" i="3" s="1"/>
  <c r="C165" i="3"/>
  <c r="B165" i="3"/>
  <c r="C164" i="3"/>
  <c r="B164" i="3"/>
  <c r="C163" i="3"/>
  <c r="B163" i="3" s="1"/>
  <c r="C162" i="3"/>
  <c r="B162" i="3"/>
  <c r="C161" i="3"/>
  <c r="B161" i="3" s="1"/>
  <c r="C160" i="3"/>
  <c r="B160" i="3"/>
  <c r="C159" i="3"/>
  <c r="B159" i="3" s="1"/>
  <c r="C158" i="3"/>
  <c r="B158" i="3"/>
  <c r="C157" i="3"/>
  <c r="B157" i="3" s="1"/>
  <c r="C156" i="3"/>
  <c r="B156" i="3"/>
  <c r="C155" i="3"/>
  <c r="B155" i="3" s="1"/>
  <c r="C154" i="3"/>
  <c r="B154" i="3" s="1"/>
  <c r="C153" i="3"/>
  <c r="B153" i="3"/>
  <c r="C152" i="3"/>
  <c r="B152" i="3" s="1"/>
  <c r="C151" i="3"/>
  <c r="B151" i="3" s="1"/>
  <c r="C150" i="3"/>
  <c r="B150" i="3" s="1"/>
  <c r="C149" i="3"/>
  <c r="B149" i="3" s="1"/>
  <c r="C148" i="3"/>
  <c r="B148" i="3" s="1"/>
  <c r="C147" i="3"/>
  <c r="B147" i="3" s="1"/>
  <c r="C146" i="3"/>
  <c r="B146" i="3"/>
  <c r="C145" i="3"/>
  <c r="B145" i="3" s="1"/>
  <c r="C144" i="3"/>
  <c r="B144" i="3" s="1"/>
  <c r="C143" i="3"/>
  <c r="B143" i="3" s="1"/>
  <c r="C142" i="3"/>
  <c r="B142" i="3" s="1"/>
  <c r="C141" i="3"/>
  <c r="B141" i="3"/>
  <c r="C140" i="3"/>
  <c r="B140" i="3"/>
  <c r="C139" i="3"/>
  <c r="B139" i="3" s="1"/>
  <c r="C138" i="3"/>
  <c r="B138" i="3" s="1"/>
  <c r="C137" i="3"/>
  <c r="B137" i="3" s="1"/>
  <c r="C136" i="3"/>
  <c r="B136" i="3"/>
  <c r="C135" i="3"/>
  <c r="B135" i="3" s="1"/>
  <c r="C134" i="3"/>
  <c r="B134" i="3" s="1"/>
  <c r="C133" i="3"/>
  <c r="B133" i="3"/>
  <c r="C132" i="3"/>
  <c r="B132" i="3" s="1"/>
  <c r="C131" i="3"/>
  <c r="B131" i="3" s="1"/>
  <c r="C130" i="3"/>
  <c r="B130" i="3" s="1"/>
  <c r="C129" i="3"/>
  <c r="B129" i="3" s="1"/>
  <c r="C128" i="3"/>
  <c r="B128" i="3"/>
  <c r="C127" i="3"/>
  <c r="B127" i="3" s="1"/>
  <c r="C126" i="3"/>
  <c r="B126" i="3"/>
  <c r="C125" i="3"/>
  <c r="B125" i="3" s="1"/>
  <c r="C124" i="3"/>
  <c r="B124" i="3"/>
  <c r="C123" i="3"/>
  <c r="B123" i="3" s="1"/>
  <c r="C122" i="3"/>
  <c r="B122" i="3"/>
  <c r="C121" i="3"/>
  <c r="B121" i="3"/>
  <c r="C120" i="3"/>
  <c r="B120" i="3" s="1"/>
  <c r="C119" i="3"/>
  <c r="B119" i="3" s="1"/>
  <c r="C118" i="3"/>
  <c r="B118" i="3" s="1"/>
  <c r="C117" i="3"/>
  <c r="B117" i="3"/>
  <c r="C116" i="3"/>
  <c r="B116" i="3" s="1"/>
  <c r="C115" i="3"/>
  <c r="B115" i="3" s="1"/>
  <c r="C114" i="3"/>
  <c r="B114" i="3" s="1"/>
  <c r="C113" i="3"/>
  <c r="B113" i="3" s="1"/>
  <c r="C112" i="3"/>
  <c r="B112" i="3"/>
  <c r="C111" i="3"/>
  <c r="B111" i="3" s="1"/>
  <c r="C110" i="3"/>
  <c r="B110" i="3"/>
  <c r="C109" i="3"/>
  <c r="B109" i="3"/>
  <c r="C108" i="3"/>
  <c r="B108" i="3"/>
  <c r="C107" i="3"/>
  <c r="B107" i="3" s="1"/>
  <c r="C106" i="3"/>
  <c r="B106" i="3" s="1"/>
  <c r="C105" i="3"/>
  <c r="B105" i="3"/>
  <c r="C104" i="3"/>
  <c r="B104" i="3"/>
  <c r="C103" i="3"/>
  <c r="B103" i="3" s="1"/>
  <c r="C102" i="3"/>
  <c r="B102" i="3" s="1"/>
  <c r="C101" i="3"/>
  <c r="B101" i="3" s="1"/>
  <c r="C100" i="3"/>
  <c r="B100" i="3"/>
  <c r="C99" i="3"/>
  <c r="B99" i="3" s="1"/>
  <c r="C98" i="3"/>
  <c r="B98" i="3" s="1"/>
  <c r="C97" i="3"/>
  <c r="B97" i="3" s="1"/>
  <c r="C96" i="3"/>
  <c r="B96" i="3" s="1"/>
  <c r="C95" i="3"/>
  <c r="B95" i="3" s="1"/>
  <c r="C94" i="3"/>
  <c r="B94" i="3" s="1"/>
  <c r="C93" i="3"/>
  <c r="B93" i="3" s="1"/>
  <c r="C92" i="3"/>
  <c r="B92" i="3"/>
  <c r="C91" i="3"/>
  <c r="B91" i="3" s="1"/>
  <c r="C90" i="3"/>
  <c r="B90" i="3"/>
  <c r="C89" i="3"/>
  <c r="B89" i="3" s="1"/>
  <c r="C88" i="3"/>
  <c r="B88" i="3" s="1"/>
  <c r="C87" i="3"/>
  <c r="B87" i="3" s="1"/>
  <c r="C86" i="3"/>
  <c r="B86" i="3"/>
  <c r="C85" i="3"/>
  <c r="B85" i="3"/>
  <c r="C84" i="3"/>
  <c r="B84" i="3" s="1"/>
  <c r="C83" i="3"/>
  <c r="B83" i="3" s="1"/>
  <c r="C82" i="3"/>
  <c r="B82" i="3" s="1"/>
  <c r="C81" i="3"/>
  <c r="B81" i="3"/>
  <c r="C80" i="3"/>
  <c r="B80" i="3"/>
  <c r="C79" i="3"/>
  <c r="B79" i="3" s="1"/>
  <c r="C78" i="3"/>
  <c r="B78" i="3"/>
  <c r="C77" i="3"/>
  <c r="B77" i="3"/>
  <c r="C76" i="3"/>
  <c r="B76" i="3" s="1"/>
  <c r="C75" i="3"/>
  <c r="B75" i="3" s="1"/>
  <c r="C74" i="3"/>
  <c r="B74" i="3" s="1"/>
  <c r="C73" i="3"/>
  <c r="B73" i="3"/>
  <c r="C72" i="3"/>
  <c r="B72" i="3"/>
  <c r="C71" i="3"/>
  <c r="B71" i="3" s="1"/>
  <c r="C70" i="3"/>
  <c r="B70" i="3" s="1"/>
  <c r="C69" i="3"/>
  <c r="B69" i="3"/>
  <c r="C68" i="3"/>
  <c r="B68" i="3"/>
  <c r="C67" i="3"/>
  <c r="B67" i="3" s="1"/>
  <c r="C66" i="3"/>
  <c r="B66" i="3"/>
  <c r="C65" i="3"/>
  <c r="B65" i="3" s="1"/>
  <c r="C64" i="3"/>
  <c r="B64" i="3"/>
  <c r="C63" i="3"/>
  <c r="B63" i="3" s="1"/>
  <c r="C62" i="3"/>
  <c r="B62" i="3" s="1"/>
  <c r="C61" i="3"/>
  <c r="B61" i="3" s="1"/>
  <c r="C60" i="3"/>
  <c r="B60" i="3" s="1"/>
  <c r="C59" i="3"/>
  <c r="B59" i="3" s="1"/>
  <c r="C58" i="3"/>
  <c r="B58" i="3" s="1"/>
  <c r="C57" i="3"/>
  <c r="B57" i="3" s="1"/>
  <c r="C56" i="3"/>
  <c r="B56" i="3" s="1"/>
  <c r="C55" i="3"/>
  <c r="B55" i="3" s="1"/>
  <c r="C54" i="3"/>
  <c r="B54" i="3"/>
  <c r="C53" i="3"/>
  <c r="B53" i="3" s="1"/>
  <c r="C52" i="3"/>
  <c r="B52" i="3" s="1"/>
  <c r="C51" i="3"/>
  <c r="B51" i="3" s="1"/>
  <c r="C50" i="3"/>
  <c r="B50" i="3"/>
  <c r="C49" i="3"/>
  <c r="B49" i="3"/>
  <c r="C48" i="3"/>
  <c r="B48" i="3" s="1"/>
  <c r="C47" i="3"/>
  <c r="B47" i="3" s="1"/>
  <c r="C46" i="3"/>
  <c r="B46" i="3"/>
  <c r="C45" i="3"/>
  <c r="B45" i="3" s="1"/>
  <c r="C44" i="3"/>
  <c r="B44" i="3"/>
  <c r="C43" i="3"/>
  <c r="B43" i="3" s="1"/>
  <c r="C42" i="3"/>
  <c r="B42" i="3" s="1"/>
  <c r="C41" i="3"/>
  <c r="B41" i="3"/>
  <c r="C40" i="3"/>
  <c r="B40" i="3" s="1"/>
  <c r="C39" i="3"/>
  <c r="B39" i="3" s="1"/>
  <c r="C38" i="3"/>
  <c r="B38" i="3" s="1"/>
  <c r="C37" i="3"/>
  <c r="B37" i="3"/>
  <c r="C36" i="3"/>
  <c r="B36" i="3"/>
  <c r="C35" i="3"/>
  <c r="B35" i="3" s="1"/>
  <c r="C34" i="3"/>
  <c r="B34" i="3"/>
  <c r="C33" i="3"/>
  <c r="B33" i="3" s="1"/>
  <c r="C32" i="3"/>
  <c r="B32" i="3"/>
  <c r="C31" i="3"/>
  <c r="B31" i="3" s="1"/>
  <c r="C30" i="3"/>
  <c r="B30" i="3"/>
  <c r="C29" i="3"/>
  <c r="B29" i="3" s="1"/>
  <c r="C28" i="3"/>
  <c r="B28" i="3"/>
  <c r="C27" i="3"/>
  <c r="B27" i="3"/>
  <c r="C26" i="3"/>
  <c r="B26" i="3"/>
  <c r="C25" i="3"/>
  <c r="B25" i="3" s="1"/>
  <c r="C24" i="3"/>
  <c r="B24" i="3"/>
  <c r="C23" i="3"/>
  <c r="B23" i="3" s="1"/>
  <c r="C22" i="3"/>
  <c r="B22" i="3" s="1"/>
  <c r="C21" i="3"/>
  <c r="B21" i="3" s="1"/>
  <c r="C20" i="3"/>
  <c r="B20" i="3" s="1"/>
  <c r="C19" i="3"/>
  <c r="B19" i="3"/>
  <c r="C18" i="3"/>
  <c r="B18" i="3"/>
  <c r="C17" i="3"/>
  <c r="B17" i="3" s="1"/>
  <c r="C16" i="3"/>
  <c r="B16" i="3"/>
  <c r="C15" i="3"/>
  <c r="B15" i="3"/>
  <c r="C14" i="3"/>
  <c r="B14" i="3" s="1"/>
  <c r="C13" i="3"/>
  <c r="B13" i="3" s="1"/>
  <c r="C12" i="3"/>
  <c r="B12" i="3"/>
  <c r="C11" i="3"/>
  <c r="B11" i="3" s="1"/>
  <c r="C10" i="3"/>
  <c r="B10" i="3"/>
  <c r="C9" i="3"/>
  <c r="B9" i="3" s="1"/>
  <c r="C8" i="3"/>
  <c r="B8" i="3" s="1"/>
  <c r="C7" i="3"/>
  <c r="B7" i="3"/>
  <c r="C6" i="3"/>
  <c r="B6" i="3"/>
  <c r="C5" i="3"/>
  <c r="B5" i="3" s="1"/>
  <c r="C4" i="3"/>
  <c r="B4" i="3"/>
  <c r="C3" i="3"/>
  <c r="B3" i="3"/>
  <c r="C2" i="3"/>
  <c r="B2" i="3" s="1"/>
  <c r="E13" i="5"/>
  <c r="E12" i="5"/>
  <c r="E11" i="5"/>
  <c r="E10" i="5"/>
  <c r="E3" i="5"/>
  <c r="E4" i="5"/>
  <c r="E5" i="5"/>
  <c r="E6" i="5"/>
  <c r="E7" i="5"/>
  <c r="E8" i="5"/>
  <c r="E9" i="5"/>
  <c r="E2" i="5"/>
  <c r="D2" i="5"/>
  <c r="D3" i="5"/>
  <c r="D11" i="5"/>
  <c r="D12" i="5"/>
  <c r="D5" i="5"/>
  <c r="D13" i="5"/>
  <c r="D6" i="5"/>
  <c r="D7" i="5"/>
  <c r="D4" i="5"/>
  <c r="D8" i="5"/>
  <c r="D9" i="5"/>
  <c r="D10" i="5"/>
  <c r="C31" i="5"/>
  <c r="D31" i="5"/>
  <c r="E31" i="5"/>
  <c r="B31" i="5"/>
  <c r="P19" i="5"/>
  <c r="P21" i="5"/>
  <c r="P20" i="5"/>
  <c r="P18" i="5"/>
  <c r="F26" i="5"/>
  <c r="F27" i="5"/>
  <c r="F23" i="5"/>
  <c r="B19" i="5"/>
  <c r="B20" i="5"/>
  <c r="B21" i="5"/>
  <c r="H2" i="5"/>
  <c r="H12" i="5"/>
  <c r="G7" i="5"/>
  <c r="B23" i="5"/>
  <c r="H10" i="5"/>
  <c r="H5" i="5"/>
  <c r="G8" i="5"/>
  <c r="B22" i="5"/>
  <c r="H11" i="5"/>
  <c r="H13" i="5"/>
  <c r="G9" i="5"/>
  <c r="B18" i="5"/>
  <c r="H6" i="5"/>
  <c r="H9" i="5"/>
  <c r="G10" i="5"/>
  <c r="K6" i="5"/>
  <c r="H7" i="5"/>
  <c r="G3" i="5"/>
  <c r="G4" i="5"/>
  <c r="K2" i="5"/>
  <c r="H8" i="5"/>
  <c r="G11" i="5"/>
  <c r="G12" i="5"/>
  <c r="E14" i="5"/>
  <c r="H3" i="5"/>
  <c r="G13" i="5"/>
  <c r="G5" i="5"/>
  <c r="D14" i="5"/>
  <c r="H4" i="5"/>
  <c r="G6" i="5"/>
  <c r="G2" i="5"/>
  <c r="F24" i="5"/>
  <c r="F25" i="5"/>
  <c r="F31" i="5" l="1"/>
  <c r="F34" i="5" s="1"/>
  <c r="F35" i="5" s="1"/>
  <c r="B34" i="5"/>
  <c r="H39" i="5" s="1"/>
  <c r="H40" i="5" s="1"/>
  <c r="B32" i="5"/>
  <c r="E34" i="5"/>
  <c r="E32" i="5"/>
  <c r="D32" i="5"/>
  <c r="D34" i="5"/>
  <c r="C32" i="5"/>
  <c r="C34" i="5"/>
  <c r="P22" i="5"/>
  <c r="G22" i="5"/>
  <c r="G23" i="5" s="1"/>
  <c r="H23" i="5" s="1"/>
  <c r="I23" i="5" s="1"/>
  <c r="J23" i="5" s="1"/>
  <c r="K23" i="5" s="1"/>
  <c r="B26" i="5"/>
  <c r="B24" i="5"/>
  <c r="B25" i="5"/>
  <c r="M2" i="5"/>
  <c r="J2" i="5"/>
  <c r="I2" i="5"/>
  <c r="I5" i="5"/>
  <c r="J5" i="5"/>
  <c r="J12" i="5"/>
  <c r="I12" i="5"/>
  <c r="J4" i="5"/>
  <c r="I4" i="5"/>
  <c r="I10" i="5"/>
  <c r="J10" i="5"/>
  <c r="I9" i="5"/>
  <c r="J9" i="5"/>
  <c r="I8" i="5"/>
  <c r="J8" i="5"/>
  <c r="I7" i="5"/>
  <c r="J7" i="5"/>
  <c r="I6" i="5"/>
  <c r="J6" i="5"/>
  <c r="J13" i="5"/>
  <c r="I13" i="5"/>
  <c r="J11" i="5"/>
  <c r="I11" i="5"/>
  <c r="J3" i="5"/>
  <c r="I3" i="5"/>
  <c r="F39" i="5" l="1"/>
  <c r="F40" i="5" s="1"/>
  <c r="G39" i="5"/>
  <c r="G40" i="5" s="1"/>
  <c r="E39" i="5"/>
  <c r="E40" i="5" s="1"/>
  <c r="D39" i="5"/>
  <c r="D40" i="5" s="1"/>
  <c r="F32" i="5"/>
  <c r="C39" i="5"/>
  <c r="C40" i="5" s="1"/>
  <c r="B39" i="5"/>
  <c r="B40" i="5" s="1"/>
  <c r="G27" i="5"/>
  <c r="H27" i="5" s="1"/>
  <c r="I27" i="5" s="1"/>
  <c r="J27" i="5" s="1"/>
  <c r="K27" i="5" s="1"/>
  <c r="G25" i="5"/>
  <c r="H25" i="5" s="1"/>
  <c r="I25" i="5" s="1"/>
  <c r="J25" i="5" s="1"/>
  <c r="K25" i="5" s="1"/>
  <c r="G24" i="5"/>
  <c r="H24" i="5" s="1"/>
  <c r="I24" i="5" s="1"/>
  <c r="J24" i="5" s="1"/>
  <c r="K24" i="5" s="1"/>
  <c r="G26" i="5"/>
  <c r="H26" i="5" s="1"/>
  <c r="I26" i="5" s="1"/>
  <c r="J26" i="5" s="1"/>
  <c r="K26" i="5" s="1"/>
  <c r="C18" i="5"/>
  <c r="E18" i="5" s="1"/>
  <c r="E19" i="5" s="1"/>
  <c r="E20" i="5" s="1"/>
  <c r="C21" i="5"/>
  <c r="H18" i="5" s="1"/>
  <c r="H19" i="5" s="1"/>
  <c r="H20" i="5" s="1"/>
  <c r="C20" i="5"/>
  <c r="G18" i="5" s="1"/>
  <c r="G19" i="5" s="1"/>
  <c r="G20" i="5" s="1"/>
  <c r="C19" i="5"/>
  <c r="F18" i="5" s="1"/>
  <c r="F19" i="5" s="1"/>
  <c r="F20" i="5" s="1"/>
  <c r="C23" i="5"/>
  <c r="J18" i="5" s="1"/>
  <c r="J19" i="5" s="1"/>
  <c r="J20" i="5" s="1"/>
  <c r="C22" i="5"/>
  <c r="I18" i="5" s="1"/>
  <c r="I19" i="5" s="1"/>
  <c r="I20" i="5" s="1"/>
  <c r="C26" i="5"/>
  <c r="A27" i="5"/>
  <c r="B16" i="5" s="1"/>
  <c r="N2" i="5"/>
  <c r="P3" i="5" s="1"/>
  <c r="O3" i="5"/>
</calcChain>
</file>

<file path=xl/sharedStrings.xml><?xml version="1.0" encoding="utf-8"?>
<sst xmlns="http://schemas.openxmlformats.org/spreadsheetml/2006/main" count="275" uniqueCount="196">
  <si>
    <t>Colors</t>
  </si>
  <si>
    <t>Position</t>
  </si>
  <si>
    <t>Angle</t>
  </si>
  <si>
    <t>Transparency</t>
  </si>
  <si>
    <t>Shadow</t>
  </si>
  <si>
    <t>$#,##0;-$#,##0;</t>
  </si>
  <si>
    <t>[0&gt;=1000]0,"k";[&lt;=1000]-0,"k";0</t>
  </si>
  <si>
    <t>#12143D</t>
  </si>
  <si>
    <t>#1F2357</t>
  </si>
  <si>
    <t>#10123B</t>
  </si>
  <si>
    <t>#4647A6</t>
  </si>
  <si>
    <t>#333787</t>
  </si>
  <si>
    <t>#20245A</t>
  </si>
  <si>
    <t>#B9C1FF</t>
  </si>
  <si>
    <t>#3D4098</t>
  </si>
  <si>
    <t>#323687</t>
  </si>
  <si>
    <t>#10123A</t>
  </si>
  <si>
    <t>#A2D8F0</t>
  </si>
  <si>
    <t>#5D63D1</t>
  </si>
  <si>
    <t>#2E327A</t>
  </si>
  <si>
    <t>#CEC5FF</t>
  </si>
  <si>
    <t>#6372A4</t>
  </si>
  <si>
    <t>#0575F1</t>
  </si>
  <si>
    <t>Line</t>
  </si>
  <si>
    <t>#22255C</t>
  </si>
  <si>
    <t>#2C3076</t>
  </si>
  <si>
    <t>#2069F0</t>
  </si>
  <si>
    <t>#9933FF</t>
  </si>
  <si>
    <t>#22248D</t>
  </si>
  <si>
    <t>#060839</t>
  </si>
  <si>
    <t>#7079FF</t>
  </si>
  <si>
    <t>#1C1D86</t>
  </si>
  <si>
    <t>Date</t>
  </si>
  <si>
    <t>Month</t>
  </si>
  <si>
    <t>Month N</t>
  </si>
  <si>
    <t>Income</t>
  </si>
  <si>
    <t>Expenses</t>
  </si>
  <si>
    <t>Non-Fixed Incom</t>
  </si>
  <si>
    <t>Fixed Incom</t>
  </si>
  <si>
    <t>Other Income</t>
  </si>
  <si>
    <t>Non-Fixed Cost</t>
  </si>
  <si>
    <t>Fixed Costs</t>
  </si>
  <si>
    <t>Other Cost</t>
  </si>
  <si>
    <t>Fixed Incom Business</t>
  </si>
  <si>
    <t>Fixed Incom Securities</t>
  </si>
  <si>
    <t>Fixed Incom Real estate</t>
  </si>
  <si>
    <t>Fixed Incom Gold</t>
  </si>
  <si>
    <t>Fixed Incom Cryptocurrency</t>
  </si>
  <si>
    <t>Non-Fixed Incom Business</t>
  </si>
  <si>
    <t>Non-Fixed Incom Securities</t>
  </si>
  <si>
    <t>Non-Fixed Incom Real estate</t>
  </si>
  <si>
    <t>Non-Fixed Incom Gold</t>
  </si>
  <si>
    <t>Non-Fixed Incom Cryptocurrency</t>
  </si>
  <si>
    <t>Loans</t>
  </si>
  <si>
    <t>Training courses</t>
  </si>
  <si>
    <t>Travel public transport</t>
  </si>
  <si>
    <t>Mobile connection</t>
  </si>
  <si>
    <t>Food</t>
  </si>
  <si>
    <t>Utility Payments</t>
  </si>
  <si>
    <t>Internet &amp; TV</t>
  </si>
  <si>
    <t>Household chemicals</t>
  </si>
  <si>
    <t>Furniture &amp; utensils</t>
  </si>
  <si>
    <t>BedLinen &amp; tablecloth</t>
  </si>
  <si>
    <t>Cat food</t>
  </si>
  <si>
    <t>Clothing &amp; footwear</t>
  </si>
  <si>
    <t>Gym</t>
  </si>
  <si>
    <t>Hygiene products</t>
  </si>
  <si>
    <t>Medications</t>
  </si>
  <si>
    <t>Hairdresser</t>
  </si>
  <si>
    <t>Cosmetics &amp; perfum</t>
  </si>
  <si>
    <t>Fuel</t>
  </si>
  <si>
    <t>Spare parts</t>
  </si>
  <si>
    <t>Parking</t>
  </si>
  <si>
    <t>Washing</t>
  </si>
  <si>
    <t>Insurance</t>
  </si>
  <si>
    <t>Holidays</t>
  </si>
  <si>
    <t>Excursions</t>
  </si>
  <si>
    <t>Restaurants</t>
  </si>
  <si>
    <t>Hotels</t>
  </si>
  <si>
    <t>Bags, packages, boxes</t>
  </si>
  <si>
    <t>Snacks on the way</t>
  </si>
  <si>
    <t>Alcohol</t>
  </si>
  <si>
    <t>Hobby</t>
  </si>
  <si>
    <t>Unexpected expenses</t>
  </si>
  <si>
    <t>Price Investments Portfolio</t>
  </si>
  <si>
    <t>Investments Business</t>
  </si>
  <si>
    <t>Investments Securities</t>
  </si>
  <si>
    <t>Investments Cryptocurrency</t>
  </si>
  <si>
    <t>Investments Real estate</t>
  </si>
  <si>
    <t>Investments Gold</t>
  </si>
  <si>
    <t>Mortgage</t>
  </si>
  <si>
    <t>Car Leasing</t>
  </si>
  <si>
    <t>Consumer Credit</t>
  </si>
  <si>
    <t>Credit Card</t>
  </si>
  <si>
    <t>Goal 1</t>
  </si>
  <si>
    <t>Goal 2</t>
  </si>
  <si>
    <t>Goal 3</t>
  </si>
  <si>
    <t>Goal 4</t>
  </si>
  <si>
    <t>Monthly Plan</t>
  </si>
  <si>
    <t>Balance</t>
  </si>
  <si>
    <t>Row Labels</t>
  </si>
  <si>
    <t>JANUARY</t>
  </si>
  <si>
    <t>FEBRUARY</t>
  </si>
  <si>
    <t>MARCH</t>
  </si>
  <si>
    <t>APRIL</t>
  </si>
  <si>
    <t>MAY</t>
  </si>
  <si>
    <t>JUNE</t>
  </si>
  <si>
    <t>JULY</t>
  </si>
  <si>
    <t>AUGUST</t>
  </si>
  <si>
    <t>SEPTEMBER</t>
  </si>
  <si>
    <t>OCTOBER</t>
  </si>
  <si>
    <t>NOVEMBER</t>
  </si>
  <si>
    <t>DECEMBER</t>
  </si>
  <si>
    <t>Grand Total</t>
  </si>
  <si>
    <t>Sum of Income</t>
  </si>
  <si>
    <t>Sum of Expenses</t>
  </si>
  <si>
    <t>X</t>
  </si>
  <si>
    <t>Indent</t>
  </si>
  <si>
    <t>Cursor I</t>
  </si>
  <si>
    <t>Cursor E</t>
  </si>
  <si>
    <t>Marker</t>
  </si>
  <si>
    <t>Lable</t>
  </si>
  <si>
    <t>Indent C</t>
  </si>
  <si>
    <t>#374AEC</t>
  </si>
  <si>
    <t>#1B2399</t>
  </si>
  <si>
    <t>#7C93FD</t>
  </si>
  <si>
    <t>#4641D1</t>
  </si>
  <si>
    <t>#0093CE</t>
  </si>
  <si>
    <t>#FF00FF</t>
  </si>
  <si>
    <t xml:space="preserve"> </t>
  </si>
  <si>
    <t>Max of Month N</t>
  </si>
  <si>
    <t>Ratio</t>
  </si>
  <si>
    <t>Ratio Income</t>
  </si>
  <si>
    <t>Y</t>
  </si>
  <si>
    <t>#808AEC</t>
  </si>
  <si>
    <t>#4A59E4</t>
  </si>
  <si>
    <t>Average of Balance</t>
  </si>
  <si>
    <t>Budget Plan</t>
  </si>
  <si>
    <t>Sum of Non-Fixed Incom</t>
  </si>
  <si>
    <t>Sum of Fixed Incom</t>
  </si>
  <si>
    <t>Sum of Other Income</t>
  </si>
  <si>
    <t>Sum of Non-Fixed Cost</t>
  </si>
  <si>
    <t>Sum of Fixed Costs</t>
  </si>
  <si>
    <t>Sum of Other Cost</t>
  </si>
  <si>
    <t>Total Income</t>
  </si>
  <si>
    <t>Total Costs</t>
  </si>
  <si>
    <t>Budgeting</t>
  </si>
  <si>
    <t>#0070B1</t>
  </si>
  <si>
    <t>#00B7D2</t>
  </si>
  <si>
    <t>#3647E3</t>
  </si>
  <si>
    <t>#8D76FC</t>
  </si>
  <si>
    <t>#3A5CE2</t>
  </si>
  <si>
    <t>#476BEE</t>
  </si>
  <si>
    <t>#8701DA</t>
  </si>
  <si>
    <t>#AD27FE</t>
  </si>
  <si>
    <t>#34349E</t>
  </si>
  <si>
    <t>#212469</t>
  </si>
  <si>
    <t>Used Budget</t>
  </si>
  <si>
    <t>Budget</t>
  </si>
  <si>
    <t>Investments</t>
  </si>
  <si>
    <t>Average of Investments Business</t>
  </si>
  <si>
    <t>Average of Investments Securities</t>
  </si>
  <si>
    <t>Average of Investments Cryptocurrency</t>
  </si>
  <si>
    <t>Average of Investments Real estate</t>
  </si>
  <si>
    <t>Average of Investments Gold</t>
  </si>
  <si>
    <t>Invest</t>
  </si>
  <si>
    <t>Labels</t>
  </si>
  <si>
    <t>Business</t>
  </si>
  <si>
    <t>Securities</t>
  </si>
  <si>
    <t>Gold</t>
  </si>
  <si>
    <t>Crypto</t>
  </si>
  <si>
    <t>Rent</t>
  </si>
  <si>
    <t xml:space="preserve">Interest Rate </t>
  </si>
  <si>
    <t>Debts</t>
  </si>
  <si>
    <t>Average of Mortgage</t>
  </si>
  <si>
    <t>Average of Car Leasing</t>
  </si>
  <si>
    <t>Average of Consumer Credit</t>
  </si>
  <si>
    <t>Average of Credit Card</t>
  </si>
  <si>
    <t>Implementation</t>
  </si>
  <si>
    <t>Done</t>
  </si>
  <si>
    <t xml:space="preserve">Left </t>
  </si>
  <si>
    <t>Plan</t>
  </si>
  <si>
    <t>MAX Plan</t>
  </si>
  <si>
    <t>Goals %</t>
  </si>
  <si>
    <t>Done %</t>
  </si>
  <si>
    <t>Average of Goal 1</t>
  </si>
  <si>
    <t>Average of Goal 2</t>
  </si>
  <si>
    <t>Average of Goal 3</t>
  </si>
  <si>
    <t>Average of Goal 4</t>
  </si>
  <si>
    <t>Total</t>
  </si>
  <si>
    <t>Running</t>
  </si>
  <si>
    <t>Level Goal</t>
  </si>
  <si>
    <t>Financial Goal</t>
  </si>
  <si>
    <t>Sectors</t>
  </si>
  <si>
    <t>#8199F3</t>
  </si>
  <si>
    <t>#CAD4FA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</si>
</sst>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yyyy\-mm\-dd"/>
    <numFmt numFmtId="165" formatCode="_-[$$-409]* #,##0_ ;_-[$$-409]* \-#,##0\ ;_-[$$-409]* &quot;-&quot;??_ ;_-@_ "/>
    <numFmt numFmtId="166" formatCode="\$#,##0;\-\$#,##0;0"/>
  </numFmts>
  <fonts count="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name val="Calibri"/>
      <family val="2"/>
      <scheme val="minor"/>
    </font>
    <font>
      <sz val="8"/>
      <name val="Calibri"/>
      <family val="2"/>
      <scheme val="minor"/>
    </font>
  </fonts>
  <fills count="48">
    <fill>
      <patternFill patternType="none"/>
    </fill>
    <fill>
      <patternFill patternType="gray125"/>
    </fill>
    <fill>
      <patternFill patternType="solid">
        <fgColor rgb="FF12143D"/>
        <bgColor indexed="64"/>
      </patternFill>
    </fill>
    <fill>
      <patternFill patternType="solid">
        <fgColor rgb="FF1F2357"/>
        <bgColor indexed="64"/>
      </patternFill>
    </fill>
    <fill>
      <patternFill patternType="solid">
        <fgColor rgb="FF10123B"/>
        <bgColor indexed="64"/>
      </patternFill>
    </fill>
    <fill>
      <patternFill patternType="solid">
        <fgColor rgb="FF4647A6"/>
        <bgColor indexed="64"/>
      </patternFill>
    </fill>
    <fill>
      <patternFill patternType="solid">
        <fgColor rgb="FF333787"/>
        <bgColor indexed="64"/>
      </patternFill>
    </fill>
    <fill>
      <patternFill patternType="solid">
        <fgColor rgb="FF20245A"/>
        <bgColor indexed="64"/>
      </patternFill>
    </fill>
    <fill>
      <patternFill patternType="solid">
        <fgColor rgb="FFB9C1FF"/>
        <bgColor indexed="64"/>
      </patternFill>
    </fill>
    <fill>
      <patternFill patternType="solid">
        <fgColor rgb="FF3D4098"/>
        <bgColor indexed="64"/>
      </patternFill>
    </fill>
    <fill>
      <patternFill patternType="solid">
        <fgColor rgb="FF323687"/>
        <bgColor indexed="64"/>
      </patternFill>
    </fill>
    <fill>
      <patternFill patternType="solid">
        <fgColor rgb="FF10123A"/>
        <bgColor indexed="64"/>
      </patternFill>
    </fill>
    <fill>
      <patternFill patternType="solid">
        <fgColor rgb="FFA2D8F0"/>
        <bgColor indexed="64"/>
      </patternFill>
    </fill>
    <fill>
      <patternFill patternType="solid">
        <fgColor rgb="FF5D63D1"/>
        <bgColor indexed="64"/>
      </patternFill>
    </fill>
    <fill>
      <patternFill patternType="solid">
        <fgColor rgb="FF2E327A"/>
        <bgColor indexed="64"/>
      </patternFill>
    </fill>
    <fill>
      <patternFill patternType="solid">
        <fgColor rgb="FFCEC5FF"/>
        <bgColor indexed="64"/>
      </patternFill>
    </fill>
    <fill>
      <patternFill patternType="solid">
        <fgColor rgb="FF6372A4"/>
        <bgColor indexed="64"/>
      </patternFill>
    </fill>
    <fill>
      <patternFill patternType="solid">
        <fgColor rgb="FF0575F1"/>
        <bgColor indexed="64"/>
      </patternFill>
    </fill>
    <fill>
      <patternFill patternType="solid">
        <fgColor rgb="FF22255C"/>
        <bgColor indexed="64"/>
      </patternFill>
    </fill>
    <fill>
      <patternFill patternType="solid">
        <fgColor rgb="FF2C3076"/>
        <bgColor indexed="64"/>
      </patternFill>
    </fill>
    <fill>
      <patternFill patternType="solid">
        <fgColor rgb="FF2069F0"/>
        <bgColor indexed="64"/>
      </patternFill>
    </fill>
    <fill>
      <patternFill patternType="solid">
        <fgColor rgb="FF22248D"/>
        <bgColor indexed="64"/>
      </patternFill>
    </fill>
    <fill>
      <patternFill patternType="solid">
        <fgColor rgb="FF060839"/>
        <bgColor indexed="64"/>
      </patternFill>
    </fill>
    <fill>
      <patternFill patternType="solid">
        <fgColor rgb="FF7079FF"/>
        <bgColor indexed="64"/>
      </patternFill>
    </fill>
    <fill>
      <patternFill patternType="solid">
        <fgColor rgb="FF1C1D86"/>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374AEC"/>
        <bgColor indexed="64"/>
      </patternFill>
    </fill>
    <fill>
      <patternFill patternType="solid">
        <fgColor rgb="FF1B2399"/>
        <bgColor indexed="64"/>
      </patternFill>
    </fill>
    <fill>
      <patternFill patternType="solid">
        <fgColor rgb="FF7C93FD"/>
        <bgColor indexed="64"/>
      </patternFill>
    </fill>
    <fill>
      <patternFill patternType="solid">
        <fgColor rgb="FF4641D1"/>
        <bgColor indexed="64"/>
      </patternFill>
    </fill>
    <fill>
      <patternFill patternType="solid">
        <fgColor rgb="FF0093CE"/>
        <bgColor indexed="64"/>
      </patternFill>
    </fill>
    <fill>
      <patternFill patternType="solid">
        <fgColor rgb="FFFF00FF"/>
        <bgColor indexed="64"/>
      </patternFill>
    </fill>
    <fill>
      <patternFill patternType="solid">
        <fgColor rgb="FF9933FF"/>
        <bgColor indexed="64"/>
      </patternFill>
    </fill>
    <fill>
      <patternFill patternType="solid">
        <fgColor rgb="FF808AEC"/>
        <bgColor indexed="64"/>
      </patternFill>
    </fill>
    <fill>
      <patternFill patternType="solid">
        <fgColor rgb="FF4A59E4"/>
        <bgColor indexed="64"/>
      </patternFill>
    </fill>
    <fill>
      <patternFill patternType="solid">
        <fgColor rgb="FF0070B1"/>
        <bgColor indexed="64"/>
      </patternFill>
    </fill>
    <fill>
      <patternFill patternType="solid">
        <fgColor rgb="FF00B7D2"/>
        <bgColor indexed="64"/>
      </patternFill>
    </fill>
    <fill>
      <patternFill patternType="solid">
        <fgColor rgb="FF3647E3"/>
        <bgColor indexed="64"/>
      </patternFill>
    </fill>
    <fill>
      <patternFill patternType="solid">
        <fgColor rgb="FF8D76FC"/>
        <bgColor indexed="64"/>
      </patternFill>
    </fill>
    <fill>
      <patternFill patternType="solid">
        <fgColor rgb="FF3A5CE2"/>
        <bgColor indexed="64"/>
      </patternFill>
    </fill>
    <fill>
      <patternFill patternType="solid">
        <fgColor rgb="FF476BEE"/>
        <bgColor indexed="64"/>
      </patternFill>
    </fill>
    <fill>
      <patternFill patternType="solid">
        <fgColor rgb="FF8701DA"/>
        <bgColor indexed="64"/>
      </patternFill>
    </fill>
    <fill>
      <patternFill patternType="solid">
        <fgColor rgb="FFAD27FE"/>
        <bgColor indexed="64"/>
      </patternFill>
    </fill>
    <fill>
      <patternFill patternType="solid">
        <fgColor rgb="FF34349E"/>
        <bgColor indexed="64"/>
      </patternFill>
    </fill>
    <fill>
      <patternFill patternType="solid">
        <fgColor rgb="FF212469"/>
        <bgColor indexed="64"/>
      </patternFill>
    </fill>
    <fill>
      <patternFill patternType="solid">
        <fgColor rgb="FF8199F3"/>
        <bgColor indexed="64"/>
      </patternFill>
    </fill>
    <fill>
      <patternFill patternType="solid">
        <fgColor rgb="FFCAD4FA"/>
        <bgColor indexed="64"/>
      </patternFill>
    </fill>
  </fills>
  <borders count="4">
    <border>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80">
    <xf numFmtId="0" fontId="0" fillId="0" borderId="0" xfId="0"/>
    <xf numFmtId="9" fontId="0" fillId="0" borderId="0" xfId="0" applyNumberFormat="1"/>
    <xf numFmtId="0" fontId="0" fillId="2" borderId="0" xfId="0" applyFill="1"/>
    <xf numFmtId="0" fontId="0" fillId="20" borderId="0" xfId="0" applyFill="1"/>
    <xf numFmtId="0" fontId="0" fillId="0" borderId="0" xfId="0" applyAlignment="1">
      <alignment horizontal="center"/>
    </xf>
    <xf numFmtId="165" fontId="0" fillId="0" borderId="0" xfId="0" applyNumberFormat="1"/>
    <xf numFmtId="0" fontId="5" fillId="0" borderId="0" xfId="0" applyFont="1"/>
    <xf numFmtId="164" fontId="5" fillId="0" borderId="2" xfId="0" applyNumberFormat="1" applyFont="1" applyBorder="1"/>
    <xf numFmtId="0" fontId="5" fillId="0" borderId="2" xfId="0" applyFont="1" applyBorder="1" applyAlignment="1">
      <alignment horizontal="center"/>
    </xf>
    <xf numFmtId="0" fontId="5" fillId="0" borderId="2" xfId="0" applyFont="1" applyBorder="1"/>
    <xf numFmtId="44" fontId="5" fillId="0" borderId="2" xfId="1" applyFont="1" applyFill="1" applyBorder="1" applyAlignment="1">
      <alignment horizontal="center"/>
    </xf>
    <xf numFmtId="165" fontId="5" fillId="0" borderId="2" xfId="0" applyNumberFormat="1" applyFont="1" applyBorder="1"/>
    <xf numFmtId="0" fontId="0" fillId="0" borderId="0" xfId="0" pivotButton="1"/>
    <xf numFmtId="0" fontId="0" fillId="0" borderId="0" xfId="0" applyAlignment="1">
      <alignment horizontal="left"/>
    </xf>
    <xf numFmtId="0" fontId="2" fillId="0" borderId="0" xfId="0" applyFont="1" applyAlignment="1">
      <alignment horizontal="center" vertical="center"/>
    </xf>
    <xf numFmtId="0" fontId="2" fillId="0" borderId="0" xfId="0" applyFont="1" applyAlignment="1">
      <alignment horizontal="center" vertical="center" wrapText="1"/>
    </xf>
    <xf numFmtId="9" fontId="2" fillId="0" borderId="0" xfId="0" applyNumberFormat="1" applyFont="1" applyAlignment="1">
      <alignment horizontal="center" vertical="center"/>
    </xf>
    <xf numFmtId="9" fontId="2" fillId="0" borderId="0" xfId="0" applyNumberFormat="1" applyFont="1" applyAlignment="1">
      <alignment horizontal="center" vertical="center" wrapText="1"/>
    </xf>
    <xf numFmtId="0" fontId="4" fillId="0" borderId="0" xfId="0" applyFont="1"/>
    <xf numFmtId="0" fontId="2" fillId="25" borderId="1" xfId="0" applyFont="1" applyFill="1" applyBorder="1" applyAlignment="1">
      <alignment horizontal="center" vertical="center"/>
    </xf>
    <xf numFmtId="0" fontId="3" fillId="0" borderId="0" xfId="0" applyFont="1" applyAlignment="1">
      <alignment horizontal="center"/>
    </xf>
    <xf numFmtId="0" fontId="2" fillId="25" borderId="1" xfId="0" applyFont="1" applyFill="1" applyBorder="1" applyAlignment="1">
      <alignment horizontal="right" vertical="center"/>
    </xf>
    <xf numFmtId="164" fontId="5" fillId="26" borderId="1" xfId="0" applyNumberFormat="1" applyFont="1" applyFill="1" applyBorder="1" applyAlignment="1">
      <alignment horizontal="right"/>
    </xf>
    <xf numFmtId="0" fontId="0" fillId="0" borderId="0" xfId="0" applyAlignment="1">
      <alignment horizontal="right"/>
    </xf>
    <xf numFmtId="0" fontId="0" fillId="33" borderId="0" xfId="0" applyFill="1"/>
    <xf numFmtId="166" fontId="0" fillId="0" borderId="0" xfId="0" applyNumberFormat="1" applyAlignment="1">
      <alignment horizontal="center"/>
    </xf>
    <xf numFmtId="9" fontId="0" fillId="0" borderId="0" xfId="2" applyFont="1" applyAlignment="1">
      <alignment horizontal="center"/>
    </xf>
    <xf numFmtId="9" fontId="0" fillId="0" borderId="0" xfId="0" applyNumberFormat="1" applyAlignment="1">
      <alignment horizontal="center"/>
    </xf>
    <xf numFmtId="0" fontId="0" fillId="0" borderId="3" xfId="0" applyBorder="1" applyAlignment="1">
      <alignment horizontal="center"/>
    </xf>
    <xf numFmtId="0" fontId="4" fillId="2" borderId="0" xfId="0" applyFont="1" applyFill="1" applyAlignment="1">
      <alignment horizontal="center"/>
    </xf>
    <xf numFmtId="0" fontId="4" fillId="3" borderId="0" xfId="0" applyFont="1" applyFill="1" applyAlignment="1">
      <alignment horizontal="center"/>
    </xf>
    <xf numFmtId="0" fontId="4" fillId="4" borderId="0" xfId="0" applyFont="1" applyFill="1" applyAlignment="1">
      <alignment horizontal="center"/>
    </xf>
    <xf numFmtId="0" fontId="4" fillId="5" borderId="0" xfId="0" applyFont="1" applyFill="1" applyAlignment="1">
      <alignment horizontal="center"/>
    </xf>
    <xf numFmtId="0" fontId="4" fillId="6" borderId="0" xfId="0" applyFont="1" applyFill="1" applyAlignment="1">
      <alignment horizontal="center"/>
    </xf>
    <xf numFmtId="0" fontId="4" fillId="7" borderId="0" xfId="0" applyFont="1" applyFill="1" applyAlignment="1">
      <alignment horizontal="center"/>
    </xf>
    <xf numFmtId="0" fontId="0" fillId="8" borderId="0" xfId="0" applyFill="1" applyAlignment="1">
      <alignment horizontal="center"/>
    </xf>
    <xf numFmtId="0" fontId="4" fillId="9" borderId="0" xfId="0" applyFont="1" applyFill="1" applyAlignment="1">
      <alignment horizontal="center"/>
    </xf>
    <xf numFmtId="0" fontId="4" fillId="10" borderId="0" xfId="0" applyFont="1" applyFill="1" applyAlignment="1">
      <alignment horizontal="center"/>
    </xf>
    <xf numFmtId="0" fontId="4" fillId="11" borderId="0" xfId="0" applyFont="1" applyFill="1" applyAlignment="1">
      <alignment horizontal="center"/>
    </xf>
    <xf numFmtId="0" fontId="0" fillId="12" borderId="0" xfId="0" applyFill="1" applyAlignment="1">
      <alignment horizontal="center"/>
    </xf>
    <xf numFmtId="0" fontId="4" fillId="13" borderId="0" xfId="0" applyFont="1" applyFill="1" applyAlignment="1">
      <alignment horizontal="center"/>
    </xf>
    <xf numFmtId="0" fontId="4" fillId="14" borderId="0" xfId="0" applyFont="1" applyFill="1" applyAlignment="1">
      <alignment horizontal="center"/>
    </xf>
    <xf numFmtId="0" fontId="0" fillId="15" borderId="0" xfId="0" applyFill="1" applyAlignment="1">
      <alignment horizontal="center"/>
    </xf>
    <xf numFmtId="0" fontId="4" fillId="16" borderId="0" xfId="0" applyFont="1" applyFill="1" applyAlignment="1">
      <alignment horizontal="center"/>
    </xf>
    <xf numFmtId="0" fontId="4" fillId="17" borderId="0" xfId="0" applyFont="1" applyFill="1" applyAlignment="1">
      <alignment horizontal="center"/>
    </xf>
    <xf numFmtId="0" fontId="4" fillId="18" borderId="0" xfId="0" applyFont="1" applyFill="1" applyAlignment="1">
      <alignment horizontal="center"/>
    </xf>
    <xf numFmtId="0" fontId="4" fillId="19" borderId="0" xfId="0" applyFont="1" applyFill="1" applyAlignment="1">
      <alignment horizontal="center"/>
    </xf>
    <xf numFmtId="0" fontId="4" fillId="12" borderId="0" xfId="0" applyFont="1" applyFill="1" applyAlignment="1">
      <alignment horizontal="center"/>
    </xf>
    <xf numFmtId="0" fontId="4" fillId="20" borderId="0" xfId="0" applyFont="1" applyFill="1" applyAlignment="1">
      <alignment horizontal="center"/>
    </xf>
    <xf numFmtId="0" fontId="4" fillId="21" borderId="0" xfId="0" applyFont="1" applyFill="1" applyAlignment="1">
      <alignment horizontal="center"/>
    </xf>
    <xf numFmtId="0" fontId="4" fillId="22" borderId="0" xfId="0" applyFont="1" applyFill="1" applyAlignment="1">
      <alignment horizontal="center"/>
    </xf>
    <xf numFmtId="0" fontId="4" fillId="23" borderId="0" xfId="0" applyFont="1" applyFill="1" applyAlignment="1">
      <alignment horizontal="center"/>
    </xf>
    <xf numFmtId="0" fontId="4" fillId="24" borderId="0" xfId="0" applyFont="1" applyFill="1" applyAlignment="1">
      <alignment horizontal="center"/>
    </xf>
    <xf numFmtId="0" fontId="4" fillId="27" borderId="0" xfId="0" applyFont="1" applyFill="1" applyAlignment="1">
      <alignment horizontal="center"/>
    </xf>
    <xf numFmtId="0" fontId="4" fillId="28" borderId="0" xfId="0" applyFont="1" applyFill="1" applyAlignment="1">
      <alignment horizontal="center"/>
    </xf>
    <xf numFmtId="0" fontId="4" fillId="29" borderId="0" xfId="0" applyFont="1" applyFill="1" applyAlignment="1">
      <alignment horizontal="center"/>
    </xf>
    <xf numFmtId="0" fontId="4" fillId="30" borderId="0" xfId="0" applyFont="1" applyFill="1" applyAlignment="1">
      <alignment horizontal="center"/>
    </xf>
    <xf numFmtId="0" fontId="4" fillId="31" borderId="0" xfId="0" applyFont="1" applyFill="1" applyAlignment="1">
      <alignment horizontal="center"/>
    </xf>
    <xf numFmtId="0" fontId="4" fillId="32" borderId="0" xfId="0" applyFont="1" applyFill="1" applyAlignment="1">
      <alignment horizontal="center"/>
    </xf>
    <xf numFmtId="0" fontId="4" fillId="34" borderId="0" xfId="0" applyFont="1" applyFill="1" applyAlignment="1">
      <alignment horizontal="center"/>
    </xf>
    <xf numFmtId="0" fontId="4" fillId="35" borderId="0" xfId="0" applyFont="1" applyFill="1" applyAlignment="1">
      <alignment horizontal="center"/>
    </xf>
    <xf numFmtId="0" fontId="4" fillId="36" borderId="0" xfId="0" applyFont="1" applyFill="1" applyAlignment="1">
      <alignment horizontal="center"/>
    </xf>
    <xf numFmtId="0" fontId="4" fillId="37" borderId="0" xfId="0" applyFont="1" applyFill="1" applyAlignment="1">
      <alignment horizontal="center"/>
    </xf>
    <xf numFmtId="0" fontId="4" fillId="38" borderId="0" xfId="0" applyFont="1" applyFill="1" applyAlignment="1">
      <alignment horizontal="center"/>
    </xf>
    <xf numFmtId="0" fontId="4" fillId="39" borderId="0" xfId="0" applyFont="1" applyFill="1" applyAlignment="1">
      <alignment horizontal="center"/>
    </xf>
    <xf numFmtId="0" fontId="4" fillId="40" borderId="0" xfId="0" applyFont="1" applyFill="1" applyAlignment="1">
      <alignment horizontal="center"/>
    </xf>
    <xf numFmtId="0" fontId="4" fillId="41" borderId="0" xfId="0" applyFont="1" applyFill="1" applyAlignment="1">
      <alignment horizontal="center"/>
    </xf>
    <xf numFmtId="0" fontId="4" fillId="42" borderId="0" xfId="0" applyFont="1" applyFill="1" applyAlignment="1">
      <alignment horizontal="center"/>
    </xf>
    <xf numFmtId="0" fontId="4" fillId="43" borderId="0" xfId="0" applyFont="1" applyFill="1" applyAlignment="1">
      <alignment horizontal="center"/>
    </xf>
    <xf numFmtId="0" fontId="4" fillId="44" borderId="0" xfId="0" applyFont="1" applyFill="1" applyAlignment="1">
      <alignment horizontal="center"/>
    </xf>
    <xf numFmtId="0" fontId="4" fillId="45" borderId="0" xfId="0" applyFont="1" applyFill="1" applyAlignment="1">
      <alignment horizontal="center"/>
    </xf>
    <xf numFmtId="166" fontId="0" fillId="0" borderId="0" xfId="0" applyNumberFormat="1" applyAlignment="1">
      <alignment horizontal="right"/>
    </xf>
    <xf numFmtId="0" fontId="3" fillId="0" borderId="0" xfId="0" applyFont="1" applyAlignment="1">
      <alignment horizontal="right"/>
    </xf>
    <xf numFmtId="165" fontId="0" fillId="0" borderId="0" xfId="1" applyNumberFormat="1" applyFont="1" applyAlignment="1">
      <alignment horizontal="center"/>
    </xf>
    <xf numFmtId="165" fontId="3" fillId="0" borderId="0" xfId="0" applyNumberFormat="1" applyFont="1" applyAlignment="1">
      <alignment horizontal="center"/>
    </xf>
    <xf numFmtId="9" fontId="2" fillId="25" borderId="1" xfId="0" applyNumberFormat="1" applyFont="1" applyFill="1" applyBorder="1" applyAlignment="1">
      <alignment horizontal="center" vertical="center"/>
    </xf>
    <xf numFmtId="0" fontId="0" fillId="41" borderId="0" xfId="0" applyFill="1" applyAlignment="1">
      <alignment horizontal="center"/>
    </xf>
    <xf numFmtId="0" fontId="0" fillId="40" borderId="0" xfId="0" applyFill="1" applyAlignment="1">
      <alignment horizontal="center"/>
    </xf>
    <xf numFmtId="0" fontId="0" fillId="46" borderId="0" xfId="0" applyFill="1" applyAlignment="1">
      <alignment horizontal="center"/>
    </xf>
    <xf numFmtId="0" fontId="0" fillId="47" borderId="0" xfId="0" applyFill="1" applyAlignment="1">
      <alignment horizontal="center"/>
    </xf>
  </cellXfs>
  <cellStyles count="3">
    <cellStyle name="Currency" xfId="1" builtinId="4"/>
    <cellStyle name="Normal" xfId="0" builtinId="0"/>
    <cellStyle name="Percent" xfId="2" builtinId="5"/>
  </cellStyles>
  <dxfs count="73">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numFmt numFmtId="165" formatCode="_-[$$-409]* #,##0_ ;_-[$$-409]* \-#,##0\ ;_-[$$-409]* &quot;-&quot;??_ ;_-@_ "/>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numFmt numFmtId="165" formatCode="_-[$$-409]* #,##0_ ;_-[$$-409]* \-#,##0\ ;_-[$$-409]* &quot;-&quot;??_ ;_-@_ "/>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numFmt numFmtId="165" formatCode="_-[$$-409]* #,##0_ ;_-[$$-409]* \-#,##0\ ;_-[$$-409]* &quot;-&quot;??_ ;_-@_ "/>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numFmt numFmtId="165" formatCode="_-[$$-409]* #,##0_ ;_-[$$-409]* \-#,##0\ ;_-[$$-409]* &quot;-&quot;??_ ;_-@_ "/>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numFmt numFmtId="165" formatCode="_-[$$-409]* #,##0_ ;_-[$$-409]* \-#,##0\ ;_-[$$-409]* &quot;-&quot;??_ ;_-@_ "/>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numFmt numFmtId="165" formatCode="_-[$$-409]* #,##0_ ;_-[$$-409]* \-#,##0\ ;_-[$$-409]* &quot;-&quot;??_ ;_-@_ "/>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numFmt numFmtId="165" formatCode="_-[$$-409]* #,##0_ ;_-[$$-409]* \-#,##0\ ;_-[$$-409]* &quot;-&quot;??_ ;_-@_ "/>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numFmt numFmtId="165" formatCode="_-[$$-409]* #,##0_ ;_-[$$-409]* \-#,##0\ ;_-[$$-409]* &quot;-&quot;??_ ;_-@_ "/>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numFmt numFmtId="165" formatCode="_-[$$-409]* #,##0_ ;_-[$$-409]* \-#,##0\ ;_-[$$-409]* &quot;-&quot;??_ ;_-@_ "/>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numFmt numFmtId="165" formatCode="_-[$$-409]* #,##0_ ;_-[$$-409]* \-#,##0\ ;_-[$$-409]* &quot;-&quot;??_ ;_-@_ "/>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numFmt numFmtId="165" formatCode="_-[$$-409]* #,##0_ ;_-[$$-409]* \-#,##0\ ;_-[$$-409]* &quot;-&quot;??_ ;_-@_ "/>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numFmt numFmtId="165" formatCode="_-[$$-409]* #,##0_ ;_-[$$-409]* \-#,##0\ ;_-[$$-409]* &quot;-&quot;??_ ;_-@_ "/>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numFmt numFmtId="165" formatCode="_-[$$-409]* #,##0_ ;_-[$$-409]* \-#,##0\ ;_-[$$-409]* &quot;-&quot;??_ ;_-@_ "/>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numFmt numFmtId="34" formatCode="_ &quot;₹&quot;\ * #,##0.00_ ;_ &quot;₹&quot;\ * \-#,##0.00_ ;_ &quot;₹&quot;\ * &quot;-&quot;??_ ;_ @_ "/>
      <fill>
        <patternFill patternType="none">
          <fgColor indexed="64"/>
          <bgColor indexed="65"/>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numFmt numFmtId="164" formatCode="yyyy\-mm\-dd"/>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numFmt numFmtId="164" formatCode="yyyy\-mm\-dd"/>
      <fill>
        <patternFill patternType="none">
          <fgColor indexed="64"/>
          <bgColor indexed="65"/>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i val="0"/>
        <strike val="0"/>
        <condense val="0"/>
        <extend val="0"/>
        <outline val="0"/>
        <shadow val="0"/>
        <u val="none"/>
        <vertAlign val="baseline"/>
        <sz val="11"/>
        <color theme="0"/>
        <name val="Calibri"/>
        <family val="2"/>
        <scheme val="minor"/>
      </font>
      <numFmt numFmtId="13" formatCode="0%"/>
      <fill>
        <patternFill patternType="none">
          <fgColor indexed="64"/>
          <bgColor indexed="65"/>
        </patternFill>
      </fill>
      <alignment horizontal="center" vertical="center" textRotation="0" wrapText="0" indent="0" justifyLastLine="0" shrinkToFit="0" readingOrder="0"/>
    </dxf>
    <dxf>
      <font>
        <b/>
        <color theme="1"/>
      </font>
      <border>
        <bottom style="thin">
          <color theme="4"/>
        </bottom>
        <vertical/>
        <horizontal/>
      </border>
    </dxf>
    <dxf>
      <font>
        <color theme="1"/>
      </font>
      <fill>
        <patternFill>
          <bgColor rgb="FF181B4C"/>
        </patternFill>
      </fill>
      <border diagonalUp="0" diagonalDown="0">
        <left/>
        <right/>
        <top/>
        <bottom/>
        <vertical/>
        <horizontal/>
      </border>
    </dxf>
  </dxfs>
  <tableStyles count="1" defaultTableStyle="TableStyleMedium2" defaultPivotStyle="PivotStyleLight16">
    <tableStyle name="SlicerStyleLight1 2" pivot="0" table="0" count="10" xr9:uid="{86612720-9935-4E64-BA1B-6D71D712D668}">
      <tableStyleElement type="wholeTable" dxfId="72"/>
      <tableStyleElement type="headerRow" dxfId="71"/>
    </tableStyle>
  </tableStyles>
  <colors>
    <mruColors>
      <color rgb="FF4B0082"/>
      <color rgb="FF8D76FC"/>
      <color rgb="FF3A5CE2"/>
      <color rgb="FFAD27FE"/>
      <color rgb="FFFF00FF"/>
      <color rgb="FFCAD4FA"/>
      <color rgb="FF476BEE"/>
      <color rgb="FF8199F3"/>
      <color rgb="FFFFFFFF"/>
      <color rgb="FF3647E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rgb="FF42367E"/>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Processing!$C$1</c:f>
              <c:strCache>
                <c:ptCount val="1"/>
                <c:pt idx="0">
                  <c:v>Indent</c:v>
                </c:pt>
              </c:strCache>
            </c:strRef>
          </c:tx>
          <c:spPr>
            <a:solidFill>
              <a:schemeClr val="accent1"/>
            </a:solidFill>
            <a:ln>
              <a:noFill/>
            </a:ln>
            <a:effectLst/>
          </c:spPr>
          <c:invertIfNegative val="0"/>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General</c:formatCode>
                <c:ptCount val="12"/>
                <c:pt idx="0">
                  <c:v>1449.24</c:v>
                </c:pt>
                <c:pt idx="1">
                  <c:v>1449.24</c:v>
                </c:pt>
                <c:pt idx="2">
                  <c:v>1449.24</c:v>
                </c:pt>
                <c:pt idx="3">
                  <c:v>1449.24</c:v>
                </c:pt>
                <c:pt idx="4">
                  <c:v>1449.24</c:v>
                </c:pt>
                <c:pt idx="5">
                  <c:v>1449.24</c:v>
                </c:pt>
                <c:pt idx="6">
                  <c:v>1449.24</c:v>
                </c:pt>
                <c:pt idx="7">
                  <c:v>1449.24</c:v>
                </c:pt>
                <c:pt idx="8">
                  <c:v>1449.24</c:v>
                </c:pt>
                <c:pt idx="9">
                  <c:v>1449.24</c:v>
                </c:pt>
                <c:pt idx="10">
                  <c:v>1449.24</c:v>
                </c:pt>
                <c:pt idx="11">
                  <c:v>1449.24</c:v>
                </c:pt>
              </c:numCache>
            </c:numRef>
          </c:val>
          <c:extLst>
            <c:ext xmlns:c16="http://schemas.microsoft.com/office/drawing/2014/chart" uri="{C3380CC4-5D6E-409C-BE32-E72D297353CC}">
              <c16:uniqueId val="{00000000-6ABB-4672-B002-B3761AFE64E5}"/>
            </c:ext>
          </c:extLst>
        </c:ser>
        <c:ser>
          <c:idx val="1"/>
          <c:order val="1"/>
          <c:tx>
            <c:strRef>
              <c:f>Processing!$D$1</c:f>
              <c:strCache>
                <c:ptCount val="1"/>
                <c:pt idx="0">
                  <c:v>Income</c:v>
                </c:pt>
              </c:strCache>
            </c:strRef>
          </c:tx>
          <c:spPr>
            <a:solidFill>
              <a:schemeClr val="accent2"/>
            </a:solidFill>
            <a:ln w="101600">
              <a:gradFill>
                <a:gsLst>
                  <a:gs pos="0">
                    <a:srgbClr val="374AEC"/>
                  </a:gs>
                  <a:gs pos="100000">
                    <a:srgbClr val="1B2399"/>
                  </a:gs>
                </a:gsLst>
                <a:lin ang="5400000" scaled="1"/>
              </a:gradFill>
            </a:ln>
            <a:effectLst/>
          </c:spPr>
          <c:invertIfNegative val="0"/>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Processing!$D$2:$D$13</c:f>
              <c:numCache>
                <c:formatCode>General</c:formatCode>
                <c:ptCount val="12"/>
                <c:pt idx="0">
                  <c:v>18166</c:v>
                </c:pt>
                <c:pt idx="1">
                  <c:v>19801</c:v>
                </c:pt>
                <c:pt idx="2">
                  <c:v>22196</c:v>
                </c:pt>
                <c:pt idx="3">
                  <c:v>25558</c:v>
                </c:pt>
                <c:pt idx="4">
                  <c:v>31043</c:v>
                </c:pt>
                <c:pt idx="5">
                  <c:v>31211</c:v>
                </c:pt>
                <c:pt idx="6">
                  <c:v>30268</c:v>
                </c:pt>
                <c:pt idx="7">
                  <c:v>35419</c:v>
                </c:pt>
                <c:pt idx="8">
                  <c:v>35296</c:v>
                </c:pt>
                <c:pt idx="9">
                  <c:v>33397</c:v>
                </c:pt>
                <c:pt idx="10">
                  <c:v>33613</c:v>
                </c:pt>
                <c:pt idx="11">
                  <c:v>36231</c:v>
                </c:pt>
              </c:numCache>
            </c:numRef>
          </c:val>
          <c:extLst>
            <c:ext xmlns:c16="http://schemas.microsoft.com/office/drawing/2014/chart" uri="{C3380CC4-5D6E-409C-BE32-E72D297353CC}">
              <c16:uniqueId val="{00000001-6ABB-4672-B002-B3761AFE64E5}"/>
            </c:ext>
          </c:extLst>
        </c:ser>
        <c:dLbls>
          <c:showLegendKey val="0"/>
          <c:showVal val="0"/>
          <c:showCatName val="0"/>
          <c:showSerName val="0"/>
          <c:showPercent val="0"/>
          <c:showBubbleSize val="0"/>
        </c:dLbls>
        <c:gapWidth val="320"/>
        <c:overlap val="100"/>
        <c:axId val="1827753983"/>
        <c:axId val="1827760223"/>
      </c:barChart>
      <c:barChart>
        <c:barDir val="col"/>
        <c:grouping val="stacked"/>
        <c:varyColors val="0"/>
        <c:ser>
          <c:idx val="3"/>
          <c:order val="3"/>
          <c:tx>
            <c:strRef>
              <c:f>Processing!$F$1</c:f>
              <c:strCache>
                <c:ptCount val="1"/>
                <c:pt idx="0">
                  <c:v>Indent C</c:v>
                </c:pt>
              </c:strCache>
            </c:strRef>
          </c:tx>
          <c:spPr>
            <a:solidFill>
              <a:schemeClr val="accent4"/>
            </a:solidFill>
            <a:ln>
              <a:noFill/>
            </a:ln>
            <a:effectLst/>
          </c:spPr>
          <c:invertIfNegative val="0"/>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Processing!$F$2:$F$13</c:f>
              <c:numCache>
                <c:formatCode>General</c:formatCode>
                <c:ptCount val="12"/>
                <c:pt idx="0">
                  <c:v>1449.24</c:v>
                </c:pt>
                <c:pt idx="1">
                  <c:v>1449.24</c:v>
                </c:pt>
                <c:pt idx="2">
                  <c:v>1449.24</c:v>
                </c:pt>
                <c:pt idx="3">
                  <c:v>1449.24</c:v>
                </c:pt>
                <c:pt idx="4">
                  <c:v>1449.24</c:v>
                </c:pt>
                <c:pt idx="5">
                  <c:v>1449.24</c:v>
                </c:pt>
                <c:pt idx="6">
                  <c:v>1449.24</c:v>
                </c:pt>
                <c:pt idx="7">
                  <c:v>1449.24</c:v>
                </c:pt>
                <c:pt idx="8">
                  <c:v>1449.24</c:v>
                </c:pt>
                <c:pt idx="9">
                  <c:v>1449.24</c:v>
                </c:pt>
                <c:pt idx="10">
                  <c:v>1449.24</c:v>
                </c:pt>
                <c:pt idx="11">
                  <c:v>1449.24</c:v>
                </c:pt>
              </c:numCache>
            </c:numRef>
          </c:val>
          <c:extLst>
            <c:ext xmlns:c16="http://schemas.microsoft.com/office/drawing/2014/chart" uri="{C3380CC4-5D6E-409C-BE32-E72D297353CC}">
              <c16:uniqueId val="{00000002-6ABB-4672-B002-B3761AFE64E5}"/>
            </c:ext>
          </c:extLst>
        </c:ser>
        <c:ser>
          <c:idx val="4"/>
          <c:order val="4"/>
          <c:tx>
            <c:strRef>
              <c:f>Processing!$G$1</c:f>
              <c:strCache>
                <c:ptCount val="1"/>
                <c:pt idx="0">
                  <c:v>Cursor I</c:v>
                </c:pt>
              </c:strCache>
            </c:strRef>
          </c:tx>
          <c:spPr>
            <a:solidFill>
              <a:schemeClr val="accent5"/>
            </a:solidFill>
            <a:ln w="101600">
              <a:gradFill>
                <a:gsLst>
                  <a:gs pos="0">
                    <a:srgbClr val="7C93FD"/>
                  </a:gs>
                  <a:gs pos="100000">
                    <a:srgbClr val="4641D1"/>
                  </a:gs>
                </a:gsLst>
                <a:lin ang="5400000" scaled="1"/>
              </a:gradFill>
            </a:ln>
            <a:effectLst/>
          </c:spPr>
          <c:invertIfNegative val="0"/>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Processing!$G$2:$G$13</c:f>
              <c:numCache>
                <c:formatCode>General</c:formatCode>
                <c:ptCount val="12"/>
                <c:pt idx="0">
                  <c:v>#N/A</c:v>
                </c:pt>
                <c:pt idx="1">
                  <c:v>#N/A</c:v>
                </c:pt>
                <c:pt idx="2">
                  <c:v>22196</c:v>
                </c:pt>
                <c:pt idx="3">
                  <c:v>25558</c:v>
                </c:pt>
                <c:pt idx="4">
                  <c:v>31043</c:v>
                </c:pt>
                <c:pt idx="5">
                  <c:v>31211</c:v>
                </c:pt>
                <c:pt idx="6">
                  <c:v>30268</c:v>
                </c:pt>
                <c:pt idx="7">
                  <c:v>35419</c:v>
                </c:pt>
                <c:pt idx="8">
                  <c:v>35296</c:v>
                </c:pt>
                <c:pt idx="9">
                  <c:v>33397</c:v>
                </c:pt>
                <c:pt idx="10">
                  <c:v>#N/A</c:v>
                </c:pt>
                <c:pt idx="11">
                  <c:v>#N/A</c:v>
                </c:pt>
              </c:numCache>
            </c:numRef>
          </c:val>
          <c:extLst>
            <c:ext xmlns:c16="http://schemas.microsoft.com/office/drawing/2014/chart" uri="{C3380CC4-5D6E-409C-BE32-E72D297353CC}">
              <c16:uniqueId val="{00000003-6ABB-4672-B002-B3761AFE64E5}"/>
            </c:ext>
          </c:extLst>
        </c:ser>
        <c:dLbls>
          <c:showLegendKey val="0"/>
          <c:showVal val="0"/>
          <c:showCatName val="0"/>
          <c:showSerName val="0"/>
          <c:showPercent val="0"/>
          <c:showBubbleSize val="0"/>
        </c:dLbls>
        <c:gapWidth val="320"/>
        <c:overlap val="100"/>
        <c:axId val="1827757343"/>
        <c:axId val="1827755423"/>
      </c:barChart>
      <c:lineChart>
        <c:grouping val="standard"/>
        <c:varyColors val="0"/>
        <c:ser>
          <c:idx val="2"/>
          <c:order val="2"/>
          <c:tx>
            <c:strRef>
              <c:f>Processing!$E$1</c:f>
              <c:strCache>
                <c:ptCount val="1"/>
                <c:pt idx="0">
                  <c:v>Expenses</c:v>
                </c:pt>
              </c:strCache>
            </c:strRef>
          </c:tx>
          <c:spPr>
            <a:ln w="25400" cap="rnd">
              <a:solidFill>
                <a:srgbClr val="FF00FF"/>
              </a:solidFill>
              <a:round/>
            </a:ln>
            <a:effectLst>
              <a:outerShdw blurRad="50800" dist="38100" dir="5400000" algn="t" rotWithShape="0">
                <a:prstClr val="black">
                  <a:alpha val="40000"/>
                </a:prstClr>
              </a:outerShdw>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Processing!$E$2:$E$13</c:f>
              <c:numCache>
                <c:formatCode>General</c:formatCode>
                <c:ptCount val="12"/>
                <c:pt idx="0">
                  <c:v>24519</c:v>
                </c:pt>
                <c:pt idx="1">
                  <c:v>24837</c:v>
                </c:pt>
                <c:pt idx="2">
                  <c:v>21183</c:v>
                </c:pt>
                <c:pt idx="3">
                  <c:v>22263</c:v>
                </c:pt>
                <c:pt idx="4">
                  <c:v>25507</c:v>
                </c:pt>
                <c:pt idx="5">
                  <c:v>20455</c:v>
                </c:pt>
                <c:pt idx="6">
                  <c:v>26772</c:v>
                </c:pt>
                <c:pt idx="7">
                  <c:v>24419</c:v>
                </c:pt>
                <c:pt idx="8">
                  <c:v>25507</c:v>
                </c:pt>
                <c:pt idx="9">
                  <c:v>20455</c:v>
                </c:pt>
                <c:pt idx="10">
                  <c:v>26772</c:v>
                </c:pt>
                <c:pt idx="11">
                  <c:v>24419</c:v>
                </c:pt>
              </c:numCache>
            </c:numRef>
          </c:val>
          <c:smooth val="1"/>
          <c:extLst>
            <c:ext xmlns:c16="http://schemas.microsoft.com/office/drawing/2014/chart" uri="{C3380CC4-5D6E-409C-BE32-E72D297353CC}">
              <c16:uniqueId val="{00000004-6ABB-4672-B002-B3761AFE64E5}"/>
            </c:ext>
          </c:extLst>
        </c:ser>
        <c:dLbls>
          <c:showLegendKey val="0"/>
          <c:showVal val="0"/>
          <c:showCatName val="0"/>
          <c:showSerName val="0"/>
          <c:showPercent val="0"/>
          <c:showBubbleSize val="0"/>
        </c:dLbls>
        <c:marker val="1"/>
        <c:smooth val="0"/>
        <c:axId val="1827753983"/>
        <c:axId val="1827760223"/>
      </c:lineChart>
      <c:scatterChart>
        <c:scatterStyle val="lineMarker"/>
        <c:varyColors val="0"/>
        <c:ser>
          <c:idx val="5"/>
          <c:order val="5"/>
          <c:tx>
            <c:strRef>
              <c:f>Processing!$H$1</c:f>
              <c:strCache>
                <c:ptCount val="1"/>
                <c:pt idx="0">
                  <c:v>Cursor E</c:v>
                </c:pt>
              </c:strCache>
            </c:strRef>
          </c:tx>
          <c:spPr>
            <a:ln w="25400" cap="rnd">
              <a:noFill/>
              <a:round/>
            </a:ln>
            <a:effectLst>
              <a:outerShdw blurRad="50800" dist="38100" dir="5400000" algn="t" rotWithShape="0">
                <a:prstClr val="black">
                  <a:alpha val="40000"/>
                </a:prstClr>
              </a:outerShdw>
            </a:effectLst>
          </c:spPr>
          <c:marker>
            <c:symbol val="circle"/>
            <c:size val="7"/>
            <c:spPr>
              <a:solidFill>
                <a:schemeClr val="bg1"/>
              </a:solidFill>
              <a:ln w="9525">
                <a:solidFill>
                  <a:srgbClr val="FF00FF"/>
                </a:solidFill>
              </a:ln>
              <a:effectLst>
                <a:outerShdw blurRad="50800" dist="38100" dir="5400000" algn="t" rotWithShape="0">
                  <a:prstClr val="black">
                    <a:alpha val="40000"/>
                  </a:prstClr>
                </a:outerShdw>
              </a:effectLst>
            </c:spPr>
          </c:marker>
          <c:dLbls>
            <c:numFmt formatCode="[&gt;=1000000]#,##0.0,,\ &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Processing!$H$2:$H$13</c:f>
                <c:numCache>
                  <c:formatCode>General</c:formatCode>
                  <c:ptCount val="12"/>
                  <c:pt idx="0">
                    <c:v>#N/A</c:v>
                  </c:pt>
                  <c:pt idx="1">
                    <c:v>#N/A</c:v>
                  </c:pt>
                  <c:pt idx="2">
                    <c:v>22099</c:v>
                  </c:pt>
                  <c:pt idx="3">
                    <c:v>19614</c:v>
                  </c:pt>
                  <c:pt idx="4">
                    <c:v>24519</c:v>
                  </c:pt>
                  <c:pt idx="5">
                    <c:v>24837</c:v>
                  </c:pt>
                  <c:pt idx="6">
                    <c:v>21183</c:v>
                  </c:pt>
                  <c:pt idx="7">
                    <c:v>22263</c:v>
                  </c:pt>
                  <c:pt idx="8">
                    <c:v>25507</c:v>
                  </c:pt>
                  <c:pt idx="9">
                    <c:v>20455</c:v>
                  </c:pt>
                  <c:pt idx="10">
                    <c:v>#N/A</c:v>
                  </c:pt>
                  <c:pt idx="11">
                    <c:v>#N/A</c:v>
                  </c:pt>
                </c:numCache>
              </c:numRef>
            </c:minus>
            <c:spPr>
              <a:noFill/>
              <a:ln w="9525" cap="flat" cmpd="sng" algn="ctr">
                <a:solidFill>
                  <a:srgbClr val="0093CE"/>
                </a:solidFill>
                <a:round/>
              </a:ln>
              <a:effectLst/>
            </c:spPr>
          </c:errBars>
          <c:errBars>
            <c:errDir val="x"/>
            <c:errBarType val="minus"/>
            <c:errValType val="fixedVal"/>
            <c:noEndCap val="1"/>
            <c:val val="1"/>
            <c:spPr>
              <a:noFill/>
              <a:ln w="9525" cap="flat" cmpd="sng" algn="ctr">
                <a:solidFill>
                  <a:schemeClr val="tx1">
                    <a:lumMod val="65000"/>
                    <a:lumOff val="35000"/>
                  </a:schemeClr>
                </a:solidFill>
                <a:round/>
              </a:ln>
              <a:effectLst/>
            </c:spPr>
          </c:errBars>
          <c:xVal>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Processing!$H$2:$H$13</c:f>
              <c:numCache>
                <c:formatCode>General</c:formatCode>
                <c:ptCount val="12"/>
                <c:pt idx="0">
                  <c:v>#N/A</c:v>
                </c:pt>
                <c:pt idx="1">
                  <c:v>#N/A</c:v>
                </c:pt>
                <c:pt idx="2">
                  <c:v>22099</c:v>
                </c:pt>
                <c:pt idx="3">
                  <c:v>19614</c:v>
                </c:pt>
                <c:pt idx="4">
                  <c:v>24519</c:v>
                </c:pt>
                <c:pt idx="5">
                  <c:v>24837</c:v>
                </c:pt>
                <c:pt idx="6">
                  <c:v>21183</c:v>
                </c:pt>
                <c:pt idx="7">
                  <c:v>22263</c:v>
                </c:pt>
                <c:pt idx="8">
                  <c:v>25507</c:v>
                </c:pt>
                <c:pt idx="9">
                  <c:v>20455</c:v>
                </c:pt>
                <c:pt idx="10">
                  <c:v>#N/A</c:v>
                </c:pt>
                <c:pt idx="11">
                  <c:v>#N/A</c:v>
                </c:pt>
              </c:numCache>
            </c:numRef>
          </c:yVal>
          <c:smooth val="0"/>
          <c:extLst>
            <c:ext xmlns:c16="http://schemas.microsoft.com/office/drawing/2014/chart" uri="{C3380CC4-5D6E-409C-BE32-E72D297353CC}">
              <c16:uniqueId val="{00000005-6ABB-4672-B002-B3761AFE64E5}"/>
            </c:ext>
          </c:extLst>
        </c:ser>
        <c:dLbls>
          <c:showLegendKey val="0"/>
          <c:showVal val="0"/>
          <c:showCatName val="0"/>
          <c:showSerName val="0"/>
          <c:showPercent val="0"/>
          <c:showBubbleSize val="0"/>
        </c:dLbls>
        <c:axId val="1827753983"/>
        <c:axId val="1827760223"/>
      </c:scatterChart>
      <c:scatterChart>
        <c:scatterStyle val="lineMarker"/>
        <c:varyColors val="0"/>
        <c:ser>
          <c:idx val="6"/>
          <c:order val="6"/>
          <c:tx>
            <c:strRef>
              <c:f>Processing!$I$1</c:f>
              <c:strCache>
                <c:ptCount val="1"/>
                <c:pt idx="0">
                  <c:v>Marker</c:v>
                </c:pt>
              </c:strCache>
            </c:strRef>
          </c:tx>
          <c:spPr>
            <a:ln w="25400" cap="rnd">
              <a:noFill/>
              <a:round/>
            </a:ln>
            <a:effectLst/>
          </c:spPr>
          <c:marker>
            <c:symbol val="none"/>
          </c:marker>
          <c:dLbls>
            <c:dLbl>
              <c:idx val="0"/>
              <c:tx>
                <c:rich>
                  <a:bodyPr/>
                  <a:lstStyle/>
                  <a:p>
                    <a:endParaRPr lang="en-IN"/>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6ABB-4672-B002-B3761AFE64E5}"/>
                </c:ext>
              </c:extLst>
            </c:dLbl>
            <c:dLbl>
              <c:idx val="1"/>
              <c:tx>
                <c:rich>
                  <a:bodyPr/>
                  <a:lstStyle/>
                  <a:p>
                    <a:endParaRPr lang="en-IN"/>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6ABB-4672-B002-B3761AFE64E5}"/>
                </c:ext>
              </c:extLst>
            </c:dLbl>
            <c:dLbl>
              <c:idx val="2"/>
              <c:tx>
                <c:rich>
                  <a:bodyPr/>
                  <a:lstStyle/>
                  <a:p>
                    <a:fld id="{6A3F6621-F4B0-4813-9207-FCC9BA4B5A20}"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6ABB-4672-B002-B3761AFE64E5}"/>
                </c:ext>
              </c:extLst>
            </c:dLbl>
            <c:dLbl>
              <c:idx val="3"/>
              <c:tx>
                <c:rich>
                  <a:bodyPr/>
                  <a:lstStyle/>
                  <a:p>
                    <a:fld id="{91D580EF-81B0-41C8-9E43-748C9715E47C}"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6ABB-4672-B002-B3761AFE64E5}"/>
                </c:ext>
              </c:extLst>
            </c:dLbl>
            <c:dLbl>
              <c:idx val="4"/>
              <c:tx>
                <c:rich>
                  <a:bodyPr/>
                  <a:lstStyle/>
                  <a:p>
                    <a:fld id="{6D3A6135-F162-451D-ACB8-2247452F7793}"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6ABB-4672-B002-B3761AFE64E5}"/>
                </c:ext>
              </c:extLst>
            </c:dLbl>
            <c:dLbl>
              <c:idx val="5"/>
              <c:tx>
                <c:rich>
                  <a:bodyPr/>
                  <a:lstStyle/>
                  <a:p>
                    <a:fld id="{B0519207-9166-437F-BAD9-914674258F93}"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6ABB-4672-B002-B3761AFE64E5}"/>
                </c:ext>
              </c:extLst>
            </c:dLbl>
            <c:dLbl>
              <c:idx val="6"/>
              <c:tx>
                <c:rich>
                  <a:bodyPr/>
                  <a:lstStyle/>
                  <a:p>
                    <a:fld id="{000C46A9-F55D-445A-81C0-5CCF6D592F52}"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6ABB-4672-B002-B3761AFE64E5}"/>
                </c:ext>
              </c:extLst>
            </c:dLbl>
            <c:dLbl>
              <c:idx val="7"/>
              <c:tx>
                <c:rich>
                  <a:bodyPr/>
                  <a:lstStyle/>
                  <a:p>
                    <a:fld id="{B71548A8-2357-4508-8836-83F0FD70F8EC}"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6ABB-4672-B002-B3761AFE64E5}"/>
                </c:ext>
              </c:extLst>
            </c:dLbl>
            <c:dLbl>
              <c:idx val="8"/>
              <c:tx>
                <c:rich>
                  <a:bodyPr/>
                  <a:lstStyle/>
                  <a:p>
                    <a:fld id="{3BBF7759-3246-4687-9BA6-8AA9B9C89B6F}"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6ABB-4672-B002-B3761AFE64E5}"/>
                </c:ext>
              </c:extLst>
            </c:dLbl>
            <c:dLbl>
              <c:idx val="9"/>
              <c:tx>
                <c:rich>
                  <a:bodyPr/>
                  <a:lstStyle/>
                  <a:p>
                    <a:fld id="{F38C4BBE-5830-43E6-9AC7-2987519DADB9}"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6ABB-4672-B002-B3761AFE64E5}"/>
                </c:ext>
              </c:extLst>
            </c:dLbl>
            <c:dLbl>
              <c:idx val="10"/>
              <c:tx>
                <c:rich>
                  <a:bodyPr/>
                  <a:lstStyle/>
                  <a:p>
                    <a:endParaRPr lang="en-IN"/>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6ABB-4672-B002-B3761AFE64E5}"/>
                </c:ext>
              </c:extLst>
            </c:dLbl>
            <c:dLbl>
              <c:idx val="11"/>
              <c:tx>
                <c:rich>
                  <a:bodyPr/>
                  <a:lstStyle/>
                  <a:p>
                    <a:endParaRPr lang="en-IN"/>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6ABB-4672-B002-B3761AFE64E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40000"/>
                        <a:lumOff val="60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Processing!$I$2:$I$13</c:f>
              <c:numCache>
                <c:formatCode>General</c:formatCode>
                <c:ptCount val="12"/>
                <c:pt idx="0">
                  <c:v>#N/A</c:v>
                </c:pt>
                <c:pt idx="1">
                  <c:v>#N/A</c:v>
                </c:pt>
                <c:pt idx="2">
                  <c:v>23645.24</c:v>
                </c:pt>
                <c:pt idx="3">
                  <c:v>27007.24</c:v>
                </c:pt>
                <c:pt idx="4">
                  <c:v>32492.240000000002</c:v>
                </c:pt>
                <c:pt idx="5">
                  <c:v>32660.240000000002</c:v>
                </c:pt>
                <c:pt idx="6">
                  <c:v>31717.24</c:v>
                </c:pt>
                <c:pt idx="7">
                  <c:v>36868.239999999998</c:v>
                </c:pt>
                <c:pt idx="8">
                  <c:v>36745.24</c:v>
                </c:pt>
                <c:pt idx="9">
                  <c:v>34846.239999999998</c:v>
                </c:pt>
                <c:pt idx="10">
                  <c:v>#N/A</c:v>
                </c:pt>
                <c:pt idx="11">
                  <c:v>#N/A</c:v>
                </c:pt>
              </c:numCache>
            </c:numRef>
          </c:yVal>
          <c:smooth val="0"/>
          <c:extLst>
            <c:ext xmlns:c15="http://schemas.microsoft.com/office/drawing/2012/chart" uri="{02D57815-91ED-43cb-92C2-25804820EDAC}">
              <c15:datalabelsRange>
                <c15:f>Processing!$J$2:$J$13</c15:f>
                <c15:dlblRangeCache>
                  <c:ptCount val="12"/>
                  <c:pt idx="0">
                    <c:v>#N/A</c:v>
                  </c:pt>
                  <c:pt idx="1">
                    <c:v>#N/A</c:v>
                  </c:pt>
                  <c:pt idx="2">
                    <c:v>22k</c:v>
                  </c:pt>
                  <c:pt idx="3">
                    <c:v>26k</c:v>
                  </c:pt>
                  <c:pt idx="4">
                    <c:v>31k</c:v>
                  </c:pt>
                  <c:pt idx="5">
                    <c:v>31k</c:v>
                  </c:pt>
                  <c:pt idx="6">
                    <c:v>30k</c:v>
                  </c:pt>
                  <c:pt idx="7">
                    <c:v>35k</c:v>
                  </c:pt>
                  <c:pt idx="8">
                    <c:v>35k</c:v>
                  </c:pt>
                  <c:pt idx="9">
                    <c:v>33k</c:v>
                  </c:pt>
                  <c:pt idx="10">
                    <c:v>#N/A</c:v>
                  </c:pt>
                  <c:pt idx="11">
                    <c:v>#N/A</c:v>
                  </c:pt>
                </c15:dlblRangeCache>
              </c15:datalabelsRange>
            </c:ext>
            <c:ext xmlns:c16="http://schemas.microsoft.com/office/drawing/2014/chart" uri="{C3380CC4-5D6E-409C-BE32-E72D297353CC}">
              <c16:uniqueId val="{00000006-6ABB-4672-B002-B3761AFE64E5}"/>
            </c:ext>
          </c:extLst>
        </c:ser>
        <c:dLbls>
          <c:showLegendKey val="0"/>
          <c:showVal val="0"/>
          <c:showCatName val="0"/>
          <c:showSerName val="0"/>
          <c:showPercent val="0"/>
          <c:showBubbleSize val="0"/>
        </c:dLbls>
        <c:axId val="1827757343"/>
        <c:axId val="1827755423"/>
      </c:scatterChart>
      <c:catAx>
        <c:axId val="182775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40000"/>
                    <a:lumOff val="60000"/>
                  </a:schemeClr>
                </a:solidFill>
                <a:latin typeface="+mn-lt"/>
                <a:ea typeface="+mn-ea"/>
                <a:cs typeface="+mn-cs"/>
              </a:defRPr>
            </a:pPr>
            <a:endParaRPr lang="en-US"/>
          </a:p>
        </c:txPr>
        <c:crossAx val="1827760223"/>
        <c:crosses val="autoZero"/>
        <c:auto val="1"/>
        <c:lblAlgn val="ctr"/>
        <c:lblOffset val="100"/>
        <c:noMultiLvlLbl val="0"/>
      </c:catAx>
      <c:valAx>
        <c:axId val="1827760223"/>
        <c:scaling>
          <c:orientation val="minMax"/>
        </c:scaling>
        <c:delete val="0"/>
        <c:axPos val="l"/>
        <c:majorGridlines>
          <c:spPr>
            <a:ln w="9525" cap="flat" cmpd="sng" algn="ctr">
              <a:solidFill>
                <a:srgbClr val="7079FF">
                  <a:alpha val="30000"/>
                </a:srgb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40000"/>
                    <a:lumOff val="60000"/>
                  </a:schemeClr>
                </a:solidFill>
                <a:latin typeface="+mn-lt"/>
                <a:ea typeface="+mn-ea"/>
                <a:cs typeface="+mn-cs"/>
              </a:defRPr>
            </a:pPr>
            <a:endParaRPr lang="en-US"/>
          </a:p>
        </c:txPr>
        <c:crossAx val="1827753983"/>
        <c:crosses val="autoZero"/>
        <c:crossBetween val="between"/>
      </c:valAx>
      <c:valAx>
        <c:axId val="1827755423"/>
        <c:scaling>
          <c:orientation val="minMax"/>
        </c:scaling>
        <c:delete val="1"/>
        <c:axPos val="r"/>
        <c:numFmt formatCode="General" sourceLinked="1"/>
        <c:majorTickMark val="out"/>
        <c:minorTickMark val="none"/>
        <c:tickLblPos val="nextTo"/>
        <c:crossAx val="1827757343"/>
        <c:crosses val="max"/>
        <c:crossBetween val="between"/>
      </c:valAx>
      <c:catAx>
        <c:axId val="1827757343"/>
        <c:scaling>
          <c:orientation val="minMax"/>
        </c:scaling>
        <c:delete val="1"/>
        <c:axPos val="b"/>
        <c:numFmt formatCode="General" sourceLinked="1"/>
        <c:majorTickMark val="out"/>
        <c:minorTickMark val="none"/>
        <c:tickLblPos val="nextTo"/>
        <c:crossAx val="182775542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Processing!$M$1</c:f>
          <c:strCache>
            <c:ptCount val="1"/>
            <c:pt idx="0">
              <c:v>Ratio Income</c:v>
            </c:pt>
          </c:strCache>
        </c:strRef>
      </c:tx>
      <c:layout>
        <c:manualLayout>
          <c:xMode val="edge"/>
          <c:yMode val="edge"/>
          <c:x val="0.21941111527725699"/>
          <c:y val="0.1091269841269841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40000"/>
                  <a:lumOff val="60000"/>
                </a:schemeClr>
              </a:solidFill>
              <a:latin typeface="+mn-lt"/>
              <a:ea typeface="+mn-ea"/>
              <a:cs typeface="+mn-cs"/>
            </a:defRPr>
          </a:pPr>
          <a:endParaRPr lang="en-US"/>
        </a:p>
      </c:txPr>
    </c:title>
    <c:autoTitleDeleted val="0"/>
    <c:plotArea>
      <c:layout/>
      <c:doughnutChart>
        <c:varyColors val="1"/>
        <c:ser>
          <c:idx val="0"/>
          <c:order val="0"/>
          <c:spPr>
            <a:ln>
              <a:noFill/>
            </a:ln>
          </c:spPr>
          <c:dPt>
            <c:idx val="0"/>
            <c:bubble3D val="0"/>
            <c:spPr>
              <a:gradFill>
                <a:gsLst>
                  <a:gs pos="16000">
                    <a:srgbClr val="808AEC"/>
                  </a:gs>
                  <a:gs pos="100000">
                    <a:srgbClr val="4A59E4"/>
                  </a:gs>
                </a:gsLst>
                <a:lin ang="6000000" scaled="0"/>
              </a:gradFill>
              <a:ln w="19050">
                <a:noFill/>
              </a:ln>
              <a:effectLst/>
            </c:spPr>
            <c:extLst>
              <c:ext xmlns:c16="http://schemas.microsoft.com/office/drawing/2014/chart" uri="{C3380CC4-5D6E-409C-BE32-E72D297353CC}">
                <c16:uniqueId val="{00000001-D8B1-4D80-9541-ECD4062E9CEB}"/>
              </c:ext>
            </c:extLst>
          </c:dPt>
          <c:dPt>
            <c:idx val="1"/>
            <c:bubble3D val="0"/>
            <c:spPr>
              <a:gradFill>
                <a:gsLst>
                  <a:gs pos="0">
                    <a:srgbClr val="FF00FF">
                      <a:alpha val="10000"/>
                    </a:srgbClr>
                  </a:gs>
                  <a:gs pos="88000">
                    <a:srgbClr val="FF00FF"/>
                  </a:gs>
                </a:gsLst>
                <a:lin ang="5400000" scaled="1"/>
              </a:gradFill>
              <a:ln w="19050">
                <a:noFill/>
              </a:ln>
              <a:effectLst/>
            </c:spPr>
            <c:extLst>
              <c:ext xmlns:c16="http://schemas.microsoft.com/office/drawing/2014/chart" uri="{C3380CC4-5D6E-409C-BE32-E72D297353CC}">
                <c16:uniqueId val="{00000003-D8B1-4D80-9541-ECD4062E9CEB}"/>
              </c:ext>
            </c:extLst>
          </c:dPt>
          <c:val>
            <c:numRef>
              <c:f>Processing!$M$2:$N$2</c:f>
              <c:numCache>
                <c:formatCode>0%</c:formatCode>
                <c:ptCount val="2"/>
                <c:pt idx="0">
                  <c:v>0.62016266805318276</c:v>
                </c:pt>
                <c:pt idx="1">
                  <c:v>0.37983733194681724</c:v>
                </c:pt>
              </c:numCache>
            </c:numRef>
          </c:val>
          <c:extLst>
            <c:ext xmlns:c16="http://schemas.microsoft.com/office/drawing/2014/chart" uri="{C3380CC4-5D6E-409C-BE32-E72D297353CC}">
              <c16:uniqueId val="{00000004-D8B1-4D80-9541-ECD4062E9CEB}"/>
            </c:ext>
          </c:extLst>
        </c:ser>
        <c:dLbls>
          <c:showLegendKey val="0"/>
          <c:showVal val="0"/>
          <c:showCatName val="0"/>
          <c:showSerName val="0"/>
          <c:showPercent val="0"/>
          <c:showBubbleSize val="0"/>
          <c:showLeaderLines val="1"/>
        </c:dLbls>
        <c:firstSliceAng val="0"/>
        <c:holeSize val="67"/>
      </c:doughnutChart>
      <c:scatterChart>
        <c:scatterStyle val="lineMarker"/>
        <c:varyColors val="0"/>
        <c:ser>
          <c:idx val="1"/>
          <c:order val="1"/>
          <c:tx>
            <c:v>XY</c:v>
          </c:tx>
          <c:spPr>
            <a:ln w="25400" cap="rnd">
              <a:noFill/>
              <a:round/>
            </a:ln>
            <a:effectLst>
              <a:outerShdw blurRad="50800" dist="38100" dir="10800000" algn="r" rotWithShape="0">
                <a:prstClr val="black">
                  <a:alpha val="40000"/>
                </a:prstClr>
              </a:outerShdw>
            </a:effectLst>
          </c:spPr>
          <c:marker>
            <c:symbol val="circle"/>
            <c:size val="17"/>
            <c:spPr>
              <a:solidFill>
                <a:schemeClr val="tx1"/>
              </a:solidFill>
              <a:ln w="9525">
                <a:noFill/>
              </a:ln>
              <a:effectLst>
                <a:outerShdw blurRad="50800" dist="38100" dir="10800000" algn="r" rotWithShape="0">
                  <a:prstClr val="black">
                    <a:alpha val="40000"/>
                  </a:prstClr>
                </a:outerShdw>
              </a:effectLst>
            </c:spPr>
          </c:marker>
          <c:dPt>
            <c:idx val="0"/>
            <c:marker>
              <c:symbol val="circle"/>
              <c:size val="18"/>
              <c:spPr>
                <a:solidFill>
                  <a:srgbClr val="808AEC"/>
                </a:solidFill>
                <a:ln w="9525">
                  <a:noFill/>
                </a:ln>
                <a:effectLst>
                  <a:outerShdw blurRad="50800" dist="38100" dir="10800000" algn="r" rotWithShape="0">
                    <a:prstClr val="black">
                      <a:alpha val="40000"/>
                    </a:prstClr>
                  </a:outerShdw>
                </a:effectLst>
              </c:spPr>
            </c:marker>
            <c:bubble3D val="0"/>
            <c:extLst>
              <c:ext xmlns:c16="http://schemas.microsoft.com/office/drawing/2014/chart" uri="{C3380CC4-5D6E-409C-BE32-E72D297353CC}">
                <c16:uniqueId val="{00000006-D8B1-4D80-9541-ECD4062E9CEB}"/>
              </c:ext>
            </c:extLst>
          </c:dPt>
          <c:dPt>
            <c:idx val="1"/>
            <c:marker>
              <c:symbol val="circle"/>
              <c:size val="17"/>
              <c:spPr>
                <a:solidFill>
                  <a:srgbClr val="4A59E4"/>
                </a:solidFill>
                <a:ln w="12700">
                  <a:solidFill>
                    <a:schemeClr val="bg1"/>
                  </a:solidFill>
                </a:ln>
                <a:effectLst>
                  <a:outerShdw blurRad="50800" dist="38100" dir="10800000" algn="r" rotWithShape="0">
                    <a:prstClr val="black">
                      <a:alpha val="40000"/>
                    </a:prstClr>
                  </a:outerShdw>
                </a:effectLst>
              </c:spPr>
            </c:marker>
            <c:bubble3D val="0"/>
            <c:extLst>
              <c:ext xmlns:c16="http://schemas.microsoft.com/office/drawing/2014/chart" uri="{C3380CC4-5D6E-409C-BE32-E72D297353CC}">
                <c16:uniqueId val="{00000007-D8B1-4D80-9541-ECD4062E9CEB}"/>
              </c:ext>
            </c:extLst>
          </c:dPt>
          <c:xVal>
            <c:numRef>
              <c:f>Processing!$O$2:$O$3</c:f>
              <c:numCache>
                <c:formatCode>General</c:formatCode>
                <c:ptCount val="2"/>
                <c:pt idx="0">
                  <c:v>0</c:v>
                </c:pt>
                <c:pt idx="1">
                  <c:v>-0.68529180778055421</c:v>
                </c:pt>
              </c:numCache>
            </c:numRef>
          </c:xVal>
          <c:yVal>
            <c:numRef>
              <c:f>Processing!$P$2:$P$3</c:f>
              <c:numCache>
                <c:formatCode>General</c:formatCode>
                <c:ptCount val="2"/>
                <c:pt idx="0">
                  <c:v>1</c:v>
                </c:pt>
                <c:pt idx="1">
                  <c:v>-0.72826858931911898</c:v>
                </c:pt>
              </c:numCache>
            </c:numRef>
          </c:yVal>
          <c:smooth val="0"/>
          <c:extLst>
            <c:ext xmlns:c16="http://schemas.microsoft.com/office/drawing/2014/chart" uri="{C3380CC4-5D6E-409C-BE32-E72D297353CC}">
              <c16:uniqueId val="{00000005-D8B1-4D80-9541-ECD4062E9CEB}"/>
            </c:ext>
          </c:extLst>
        </c:ser>
        <c:dLbls>
          <c:showLegendKey val="0"/>
          <c:showVal val="0"/>
          <c:showCatName val="0"/>
          <c:showSerName val="0"/>
          <c:showPercent val="0"/>
          <c:showBubbleSize val="0"/>
        </c:dLbls>
        <c:axId val="1680291567"/>
        <c:axId val="1680289167"/>
      </c:scatterChart>
      <c:valAx>
        <c:axId val="1680289167"/>
        <c:scaling>
          <c:orientation val="minMax"/>
          <c:max val="1.2"/>
          <c:min val="-1.2"/>
        </c:scaling>
        <c:delete val="1"/>
        <c:axPos val="l"/>
        <c:numFmt formatCode="General" sourceLinked="1"/>
        <c:majorTickMark val="out"/>
        <c:minorTickMark val="none"/>
        <c:tickLblPos val="nextTo"/>
        <c:crossAx val="1680291567"/>
        <c:crosses val="autoZero"/>
        <c:crossBetween val="midCat"/>
      </c:valAx>
      <c:valAx>
        <c:axId val="1680291567"/>
        <c:scaling>
          <c:orientation val="minMax"/>
          <c:max val="1.2"/>
          <c:min val="-1.2"/>
        </c:scaling>
        <c:delete val="1"/>
        <c:axPos val="b"/>
        <c:numFmt formatCode="General" sourceLinked="1"/>
        <c:majorTickMark val="out"/>
        <c:minorTickMark val="none"/>
        <c:tickLblPos val="nextTo"/>
        <c:crossAx val="16802891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190500" dist="190500" dir="8100000" algn="tr" rotWithShape="0">
        <a:prstClr val="black">
          <a:alpha val="50000"/>
        </a:prstClr>
      </a:outerShd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0070B1"/>
                  </a:gs>
                  <a:gs pos="100000">
                    <a:srgbClr val="00B7D2"/>
                  </a:gs>
                </a:gsLst>
                <a:lin ang="5400000" scaled="1"/>
              </a:gradFill>
              <a:ln w="19050">
                <a:noFill/>
              </a:ln>
              <a:effectLst/>
            </c:spPr>
            <c:extLst>
              <c:ext xmlns:c16="http://schemas.microsoft.com/office/drawing/2014/chart" uri="{C3380CC4-5D6E-409C-BE32-E72D297353CC}">
                <c16:uniqueId val="{00000001-84D1-4602-AB78-2A1D0DB0ACB6}"/>
              </c:ext>
            </c:extLst>
          </c:dPt>
          <c:dPt>
            <c:idx val="1"/>
            <c:bubble3D val="0"/>
            <c:spPr>
              <a:solidFill>
                <a:schemeClr val="accent2"/>
              </a:solidFill>
              <a:ln w="19050">
                <a:noFill/>
              </a:ln>
              <a:effectLst/>
            </c:spPr>
            <c:extLst>
              <c:ext xmlns:c16="http://schemas.microsoft.com/office/drawing/2014/chart" uri="{C3380CC4-5D6E-409C-BE32-E72D297353CC}">
                <c16:uniqueId val="{00000003-84D1-4602-AB78-2A1D0DB0ACB6}"/>
              </c:ext>
            </c:extLst>
          </c:dPt>
          <c:dPt>
            <c:idx val="2"/>
            <c:bubble3D val="0"/>
            <c:spPr>
              <a:noFill/>
              <a:ln w="19050">
                <a:noFill/>
              </a:ln>
              <a:effectLst/>
            </c:spPr>
            <c:extLst>
              <c:ext xmlns:c16="http://schemas.microsoft.com/office/drawing/2014/chart" uri="{C3380CC4-5D6E-409C-BE32-E72D297353CC}">
                <c16:uniqueId val="{00000005-84D1-4602-AB78-2A1D0DB0ACB6}"/>
              </c:ext>
            </c:extLst>
          </c:dPt>
          <c:dPt>
            <c:idx val="3"/>
            <c:bubble3D val="0"/>
            <c:spPr>
              <a:gradFill>
                <a:gsLst>
                  <a:gs pos="0">
                    <a:srgbClr val="3A5CE2"/>
                  </a:gs>
                  <a:gs pos="100000">
                    <a:srgbClr val="476BEE"/>
                  </a:gs>
                </a:gsLst>
                <a:lin ang="5400000" scaled="1"/>
              </a:gradFill>
              <a:ln w="19050">
                <a:noFill/>
              </a:ln>
              <a:effectLst/>
            </c:spPr>
            <c:extLst>
              <c:ext xmlns:c16="http://schemas.microsoft.com/office/drawing/2014/chart" uri="{C3380CC4-5D6E-409C-BE32-E72D297353CC}">
                <c16:uniqueId val="{00000007-84D1-4602-AB78-2A1D0DB0ACB6}"/>
              </c:ext>
            </c:extLst>
          </c:dPt>
          <c:dPt>
            <c:idx val="4"/>
            <c:bubble3D val="0"/>
            <c:spPr>
              <a:solidFill>
                <a:schemeClr val="accent5"/>
              </a:solidFill>
              <a:ln w="19050">
                <a:noFill/>
              </a:ln>
              <a:effectLst/>
            </c:spPr>
            <c:extLst>
              <c:ext xmlns:c16="http://schemas.microsoft.com/office/drawing/2014/chart" uri="{C3380CC4-5D6E-409C-BE32-E72D297353CC}">
                <c16:uniqueId val="{00000009-84D1-4602-AB78-2A1D0DB0ACB6}"/>
              </c:ext>
            </c:extLst>
          </c:dPt>
          <c:dPt>
            <c:idx val="5"/>
            <c:bubble3D val="0"/>
            <c:spPr>
              <a:noFill/>
              <a:ln w="19050">
                <a:noFill/>
              </a:ln>
              <a:effectLst/>
            </c:spPr>
            <c:extLst>
              <c:ext xmlns:c16="http://schemas.microsoft.com/office/drawing/2014/chart" uri="{C3380CC4-5D6E-409C-BE32-E72D297353CC}">
                <c16:uniqueId val="{0000000B-84D1-4602-AB78-2A1D0DB0ACB6}"/>
              </c:ext>
            </c:extLst>
          </c:dPt>
          <c:val>
            <c:numRef>
              <c:f>Processing!$E$18:$J$18</c:f>
              <c:numCache>
                <c:formatCode>0%</c:formatCode>
                <c:ptCount val="6"/>
                <c:pt idx="0">
                  <c:v>0.20469090181587093</c:v>
                </c:pt>
                <c:pt idx="1">
                  <c:v>0.6641814618723727</c:v>
                </c:pt>
                <c:pt idx="2">
                  <c:v>8.8385722523625157E-2</c:v>
                </c:pt>
                <c:pt idx="3">
                  <c:v>0.15312393348475398</c:v>
                </c:pt>
                <c:pt idx="4">
                  <c:v>0.21105292269309076</c:v>
                </c:pt>
                <c:pt idx="5">
                  <c:v>6.0609840772951409E-2</c:v>
                </c:pt>
              </c:numCache>
            </c:numRef>
          </c:val>
          <c:extLst>
            <c:ext xmlns:c16="http://schemas.microsoft.com/office/drawing/2014/chart" uri="{C3380CC4-5D6E-409C-BE32-E72D297353CC}">
              <c16:uniqueId val="{0000000C-84D1-4602-AB78-2A1D0DB0ACB6}"/>
            </c:ext>
          </c:extLst>
        </c:ser>
        <c:ser>
          <c:idx val="1"/>
          <c:order val="1"/>
          <c:spPr>
            <a:noFill/>
            <a:ln>
              <a:noFill/>
            </a:ln>
          </c:spPr>
          <c:dPt>
            <c:idx val="0"/>
            <c:bubble3D val="0"/>
            <c:spPr>
              <a:noFill/>
              <a:ln w="19050">
                <a:noFill/>
              </a:ln>
              <a:effectLst/>
            </c:spPr>
            <c:extLst>
              <c:ext xmlns:c16="http://schemas.microsoft.com/office/drawing/2014/chart" uri="{C3380CC4-5D6E-409C-BE32-E72D297353CC}">
                <c16:uniqueId val="{0000000E-84D1-4602-AB78-2A1D0DB0ACB6}"/>
              </c:ext>
            </c:extLst>
          </c:dPt>
          <c:dPt>
            <c:idx val="1"/>
            <c:bubble3D val="0"/>
            <c:spPr>
              <a:noFill/>
              <a:ln w="19050">
                <a:noFill/>
              </a:ln>
              <a:effectLst/>
            </c:spPr>
            <c:extLst>
              <c:ext xmlns:c16="http://schemas.microsoft.com/office/drawing/2014/chart" uri="{C3380CC4-5D6E-409C-BE32-E72D297353CC}">
                <c16:uniqueId val="{00000010-84D1-4602-AB78-2A1D0DB0ACB6}"/>
              </c:ext>
            </c:extLst>
          </c:dPt>
          <c:dPt>
            <c:idx val="2"/>
            <c:bubble3D val="0"/>
            <c:spPr>
              <a:noFill/>
              <a:ln w="19050">
                <a:noFill/>
              </a:ln>
              <a:effectLst/>
            </c:spPr>
            <c:extLst>
              <c:ext xmlns:c16="http://schemas.microsoft.com/office/drawing/2014/chart" uri="{C3380CC4-5D6E-409C-BE32-E72D297353CC}">
                <c16:uniqueId val="{00000012-84D1-4602-AB78-2A1D0DB0ACB6}"/>
              </c:ext>
            </c:extLst>
          </c:dPt>
          <c:dPt>
            <c:idx val="3"/>
            <c:bubble3D val="0"/>
            <c:spPr>
              <a:noFill/>
              <a:ln w="19050">
                <a:noFill/>
              </a:ln>
              <a:effectLst/>
            </c:spPr>
            <c:extLst>
              <c:ext xmlns:c16="http://schemas.microsoft.com/office/drawing/2014/chart" uri="{C3380CC4-5D6E-409C-BE32-E72D297353CC}">
                <c16:uniqueId val="{00000014-84D1-4602-AB78-2A1D0DB0ACB6}"/>
              </c:ext>
            </c:extLst>
          </c:dPt>
          <c:dPt>
            <c:idx val="4"/>
            <c:bubble3D val="0"/>
            <c:spPr>
              <a:noFill/>
              <a:ln w="19050">
                <a:noFill/>
              </a:ln>
              <a:effectLst/>
            </c:spPr>
            <c:extLst>
              <c:ext xmlns:c16="http://schemas.microsoft.com/office/drawing/2014/chart" uri="{C3380CC4-5D6E-409C-BE32-E72D297353CC}">
                <c16:uniqueId val="{00000016-84D1-4602-AB78-2A1D0DB0ACB6}"/>
              </c:ext>
            </c:extLst>
          </c:dPt>
          <c:dPt>
            <c:idx val="5"/>
            <c:bubble3D val="0"/>
            <c:spPr>
              <a:noFill/>
              <a:ln w="19050">
                <a:noFill/>
              </a:ln>
              <a:effectLst/>
            </c:spPr>
            <c:extLst>
              <c:ext xmlns:c16="http://schemas.microsoft.com/office/drawing/2014/chart" uri="{C3380CC4-5D6E-409C-BE32-E72D297353CC}">
                <c16:uniqueId val="{00000018-84D1-4602-AB78-2A1D0DB0ACB6}"/>
              </c:ext>
            </c:extLst>
          </c:dPt>
          <c:val>
            <c:numRef>
              <c:f>Processing!$E$19:$J$19</c:f>
              <c:numCache>
                <c:formatCode>0%</c:formatCode>
                <c:ptCount val="6"/>
                <c:pt idx="0">
                  <c:v>0.20469090181587093</c:v>
                </c:pt>
                <c:pt idx="1">
                  <c:v>0.6641814618723727</c:v>
                </c:pt>
                <c:pt idx="2">
                  <c:v>8.8385722523625157E-2</c:v>
                </c:pt>
                <c:pt idx="3">
                  <c:v>0.15312393348475398</c:v>
                </c:pt>
                <c:pt idx="4">
                  <c:v>0.21105292269309076</c:v>
                </c:pt>
                <c:pt idx="5">
                  <c:v>6.0609840772951409E-2</c:v>
                </c:pt>
              </c:numCache>
            </c:numRef>
          </c:val>
          <c:extLst>
            <c:ext xmlns:c16="http://schemas.microsoft.com/office/drawing/2014/chart" uri="{C3380CC4-5D6E-409C-BE32-E72D297353CC}">
              <c16:uniqueId val="{00000019-84D1-4602-AB78-2A1D0DB0ACB6}"/>
            </c:ext>
          </c:extLst>
        </c:ser>
        <c:dLbls>
          <c:showLegendKey val="0"/>
          <c:showVal val="0"/>
          <c:showCatName val="0"/>
          <c:showSerName val="0"/>
          <c:showPercent val="0"/>
          <c:showBubbleSize val="0"/>
          <c:showLeaderLines val="1"/>
        </c:dLbls>
        <c:firstSliceAng val="15"/>
        <c:holeSize val="30"/>
      </c:doughnutChart>
      <c:doughnutChart>
        <c:varyColors val="1"/>
        <c:ser>
          <c:idx val="2"/>
          <c:order val="2"/>
          <c:spPr>
            <a:ln>
              <a:noFill/>
            </a:ln>
          </c:spPr>
          <c:dPt>
            <c:idx val="0"/>
            <c:bubble3D val="0"/>
            <c:spPr>
              <a:noFill/>
              <a:ln w="19050">
                <a:noFill/>
              </a:ln>
              <a:effectLst/>
            </c:spPr>
            <c:extLst>
              <c:ext xmlns:c16="http://schemas.microsoft.com/office/drawing/2014/chart" uri="{C3380CC4-5D6E-409C-BE32-E72D297353CC}">
                <c16:uniqueId val="{0000001B-84D1-4602-AB78-2A1D0DB0ACB6}"/>
              </c:ext>
            </c:extLst>
          </c:dPt>
          <c:dPt>
            <c:idx val="1"/>
            <c:bubble3D val="0"/>
            <c:spPr>
              <a:gradFill>
                <a:gsLst>
                  <a:gs pos="0">
                    <a:srgbClr val="3647E3"/>
                  </a:gs>
                  <a:gs pos="100000">
                    <a:srgbClr val="8D76FC"/>
                  </a:gs>
                </a:gsLst>
                <a:lin ang="5400000" scaled="1"/>
              </a:gradFill>
              <a:ln w="19050">
                <a:noFill/>
              </a:ln>
              <a:effectLst/>
            </c:spPr>
            <c:extLst>
              <c:ext xmlns:c16="http://schemas.microsoft.com/office/drawing/2014/chart" uri="{C3380CC4-5D6E-409C-BE32-E72D297353CC}">
                <c16:uniqueId val="{0000001D-84D1-4602-AB78-2A1D0DB0ACB6}"/>
              </c:ext>
            </c:extLst>
          </c:dPt>
          <c:dPt>
            <c:idx val="2"/>
            <c:bubble3D val="0"/>
            <c:spPr>
              <a:noFill/>
              <a:ln w="19050">
                <a:noFill/>
              </a:ln>
              <a:effectLst/>
            </c:spPr>
            <c:extLst>
              <c:ext xmlns:c16="http://schemas.microsoft.com/office/drawing/2014/chart" uri="{C3380CC4-5D6E-409C-BE32-E72D297353CC}">
                <c16:uniqueId val="{0000001F-84D1-4602-AB78-2A1D0DB0ACB6}"/>
              </c:ext>
            </c:extLst>
          </c:dPt>
          <c:dPt>
            <c:idx val="3"/>
            <c:bubble3D val="0"/>
            <c:spPr>
              <a:noFill/>
              <a:ln w="19050">
                <a:noFill/>
              </a:ln>
              <a:effectLst/>
            </c:spPr>
            <c:extLst>
              <c:ext xmlns:c16="http://schemas.microsoft.com/office/drawing/2014/chart" uri="{C3380CC4-5D6E-409C-BE32-E72D297353CC}">
                <c16:uniqueId val="{00000021-84D1-4602-AB78-2A1D0DB0ACB6}"/>
              </c:ext>
            </c:extLst>
          </c:dPt>
          <c:dPt>
            <c:idx val="4"/>
            <c:bubble3D val="0"/>
            <c:spPr>
              <a:gradFill>
                <a:gsLst>
                  <a:gs pos="0">
                    <a:srgbClr val="8701DA"/>
                  </a:gs>
                  <a:gs pos="100000">
                    <a:srgbClr val="AD27FE"/>
                  </a:gs>
                </a:gsLst>
                <a:lin ang="5400000" scaled="1"/>
              </a:gradFill>
              <a:ln w="19050">
                <a:noFill/>
              </a:ln>
              <a:effectLst/>
            </c:spPr>
            <c:extLst>
              <c:ext xmlns:c16="http://schemas.microsoft.com/office/drawing/2014/chart" uri="{C3380CC4-5D6E-409C-BE32-E72D297353CC}">
                <c16:uniqueId val="{00000023-84D1-4602-AB78-2A1D0DB0ACB6}"/>
              </c:ext>
            </c:extLst>
          </c:dPt>
          <c:dPt>
            <c:idx val="5"/>
            <c:bubble3D val="0"/>
            <c:spPr>
              <a:noFill/>
              <a:ln w="19050">
                <a:noFill/>
              </a:ln>
              <a:effectLst/>
            </c:spPr>
            <c:extLst>
              <c:ext xmlns:c16="http://schemas.microsoft.com/office/drawing/2014/chart" uri="{C3380CC4-5D6E-409C-BE32-E72D297353CC}">
                <c16:uniqueId val="{00000025-84D1-4602-AB78-2A1D0DB0ACB6}"/>
              </c:ext>
            </c:extLst>
          </c:dPt>
          <c:val>
            <c:numRef>
              <c:f>Processing!$E$20:$J$20</c:f>
              <c:numCache>
                <c:formatCode>0%</c:formatCode>
                <c:ptCount val="6"/>
                <c:pt idx="0">
                  <c:v>0.20469090181587093</c:v>
                </c:pt>
                <c:pt idx="1">
                  <c:v>0.6641814618723727</c:v>
                </c:pt>
                <c:pt idx="2">
                  <c:v>8.8385722523625157E-2</c:v>
                </c:pt>
                <c:pt idx="3">
                  <c:v>0.15312393348475398</c:v>
                </c:pt>
                <c:pt idx="4">
                  <c:v>0.21105292269309076</c:v>
                </c:pt>
                <c:pt idx="5">
                  <c:v>6.0609840772951409E-2</c:v>
                </c:pt>
              </c:numCache>
            </c:numRef>
          </c:val>
          <c:extLst>
            <c:ext xmlns:c16="http://schemas.microsoft.com/office/drawing/2014/chart" uri="{C3380CC4-5D6E-409C-BE32-E72D297353CC}">
              <c16:uniqueId val="{00000026-84D1-4602-AB78-2A1D0DB0ACB6}"/>
            </c:ext>
          </c:extLst>
        </c:ser>
        <c:dLbls>
          <c:showLegendKey val="0"/>
          <c:showVal val="0"/>
          <c:showCatName val="0"/>
          <c:showSerName val="0"/>
          <c:showPercent val="0"/>
          <c:showBubbleSize val="0"/>
          <c:showLeaderLines val="1"/>
        </c:dLbls>
        <c:firstSliceAng val="15"/>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Processing!$A$26</c:f>
              <c:strCache>
                <c:ptCount val="1"/>
                <c:pt idx="0">
                  <c:v>Used Budget</c:v>
                </c:pt>
              </c:strCache>
            </c:strRef>
          </c:tx>
          <c:spPr>
            <a:ln>
              <a:noFill/>
            </a:ln>
          </c:spPr>
          <c:dPt>
            <c:idx val="0"/>
            <c:bubble3D val="0"/>
            <c:spPr>
              <a:solidFill>
                <a:srgbClr val="3647E3"/>
              </a:solidFill>
              <a:ln w="19050">
                <a:noFill/>
              </a:ln>
              <a:effectLst/>
            </c:spPr>
            <c:extLst>
              <c:ext xmlns:c16="http://schemas.microsoft.com/office/drawing/2014/chart" uri="{C3380CC4-5D6E-409C-BE32-E72D297353CC}">
                <c16:uniqueId val="{00000001-BBAE-4ED9-A2BD-CE612B4ACDF9}"/>
              </c:ext>
            </c:extLst>
          </c:dPt>
          <c:dPt>
            <c:idx val="1"/>
            <c:bubble3D val="0"/>
            <c:spPr>
              <a:noFill/>
              <a:ln w="19050">
                <a:noFill/>
              </a:ln>
              <a:effectLst/>
            </c:spPr>
            <c:extLst>
              <c:ext xmlns:c16="http://schemas.microsoft.com/office/drawing/2014/chart" uri="{C3380CC4-5D6E-409C-BE32-E72D297353CC}">
                <c16:uniqueId val="{00000003-BBAE-4ED9-A2BD-CE612B4ACDF9}"/>
              </c:ext>
            </c:extLst>
          </c:dPt>
          <c:val>
            <c:numRef>
              <c:f>Processing!$B$26:$C$26</c:f>
              <c:numCache>
                <c:formatCode>0%</c:formatCode>
                <c:ptCount val="2"/>
                <c:pt idx="0">
                  <c:v>0.78639000000000003</c:v>
                </c:pt>
                <c:pt idx="1">
                  <c:v>0.21360999999999997</c:v>
                </c:pt>
              </c:numCache>
            </c:numRef>
          </c:val>
          <c:extLst>
            <c:ext xmlns:c16="http://schemas.microsoft.com/office/drawing/2014/chart" uri="{C3380CC4-5D6E-409C-BE32-E72D297353CC}">
              <c16:uniqueId val="{00000004-BBAE-4ED9-A2BD-CE612B4ACDF9}"/>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43000">
                    <a:srgbClr val="00B7D2"/>
                  </a:gs>
                  <a:gs pos="100000">
                    <a:srgbClr val="476BEE"/>
                  </a:gs>
                </a:gsLst>
                <a:lin ang="5400000" scaled="0"/>
              </a:gradFill>
              <a:ln w="19050">
                <a:noFill/>
              </a:ln>
              <a:effectLst/>
            </c:spPr>
            <c:extLst>
              <c:ext xmlns:c16="http://schemas.microsoft.com/office/drawing/2014/chart" uri="{C3380CC4-5D6E-409C-BE32-E72D297353CC}">
                <c16:uniqueId val="{00000001-EE3A-40B0-8284-B21C342EC223}"/>
              </c:ext>
            </c:extLst>
          </c:dPt>
          <c:dPt>
            <c:idx val="1"/>
            <c:bubble3D val="0"/>
            <c:spPr>
              <a:gradFill>
                <a:gsLst>
                  <a:gs pos="43000">
                    <a:srgbClr val="00B7D2"/>
                  </a:gs>
                  <a:gs pos="100000">
                    <a:srgbClr val="476BEE"/>
                  </a:gs>
                </a:gsLst>
                <a:lin ang="5400000" scaled="0"/>
              </a:gradFill>
              <a:ln w="19050">
                <a:noFill/>
              </a:ln>
              <a:effectLst/>
            </c:spPr>
            <c:extLst>
              <c:ext xmlns:c16="http://schemas.microsoft.com/office/drawing/2014/chart" uri="{C3380CC4-5D6E-409C-BE32-E72D297353CC}">
                <c16:uniqueId val="{00000003-EE3A-40B0-8284-B21C342EC223}"/>
              </c:ext>
            </c:extLst>
          </c:dPt>
          <c:dPt>
            <c:idx val="2"/>
            <c:bubble3D val="0"/>
            <c:spPr>
              <a:gradFill>
                <a:gsLst>
                  <a:gs pos="60000">
                    <a:srgbClr val="3647E3"/>
                  </a:gs>
                  <a:gs pos="0">
                    <a:srgbClr val="476BEE"/>
                  </a:gs>
                </a:gsLst>
                <a:lin ang="5400000" scaled="0"/>
              </a:gradFill>
              <a:ln w="19050">
                <a:noFill/>
              </a:ln>
              <a:effectLst/>
            </c:spPr>
            <c:extLst>
              <c:ext xmlns:c16="http://schemas.microsoft.com/office/drawing/2014/chart" uri="{C3380CC4-5D6E-409C-BE32-E72D297353CC}">
                <c16:uniqueId val="{00000005-EE3A-40B0-8284-B21C342EC223}"/>
              </c:ext>
            </c:extLst>
          </c:dPt>
          <c:dPt>
            <c:idx val="3"/>
            <c:bubble3D val="0"/>
            <c:spPr>
              <a:gradFill>
                <a:gsLst>
                  <a:gs pos="100000">
                    <a:srgbClr val="212469"/>
                  </a:gs>
                  <a:gs pos="0">
                    <a:srgbClr val="34349E"/>
                  </a:gs>
                </a:gsLst>
                <a:lin ang="1800000" scaled="0"/>
              </a:gradFill>
              <a:ln w="19050">
                <a:noFill/>
              </a:ln>
              <a:effectLst/>
            </c:spPr>
            <c:extLst>
              <c:ext xmlns:c16="http://schemas.microsoft.com/office/drawing/2014/chart" uri="{C3380CC4-5D6E-409C-BE32-E72D297353CC}">
                <c16:uniqueId val="{00000007-EE3A-40B0-8284-B21C342EC223}"/>
              </c:ext>
            </c:extLst>
          </c:dPt>
          <c:dPt>
            <c:idx val="4"/>
            <c:bubble3D val="0"/>
            <c:spPr>
              <a:gradFill>
                <a:gsLst>
                  <a:gs pos="100000">
                    <a:srgbClr val="8D76FC"/>
                  </a:gs>
                  <a:gs pos="0">
                    <a:srgbClr val="AD27FE"/>
                  </a:gs>
                </a:gsLst>
                <a:lin ang="1800000" scaled="0"/>
              </a:gradFill>
              <a:ln w="19050">
                <a:noFill/>
              </a:ln>
              <a:effectLst/>
            </c:spPr>
            <c:extLst>
              <c:ext xmlns:c16="http://schemas.microsoft.com/office/drawing/2014/chart" uri="{C3380CC4-5D6E-409C-BE32-E72D297353CC}">
                <c16:uniqueId val="{00000009-EE3A-40B0-8284-B21C342EC223}"/>
              </c:ext>
            </c:extLst>
          </c:dPt>
          <c:dPt>
            <c:idx val="5"/>
            <c:bubble3D val="0"/>
            <c:spPr>
              <a:noFill/>
              <a:ln w="19050">
                <a:noFill/>
              </a:ln>
              <a:effectLst/>
            </c:spPr>
            <c:extLst>
              <c:ext xmlns:c16="http://schemas.microsoft.com/office/drawing/2014/chart" uri="{C3380CC4-5D6E-409C-BE32-E72D297353CC}">
                <c16:uniqueId val="{0000000B-EE3A-40B0-8284-B21C342EC223}"/>
              </c:ext>
            </c:extLst>
          </c:dPt>
          <c:cat>
            <c:strRef>
              <c:f>Processing!$L$23:$L$27</c:f>
              <c:strCache>
                <c:ptCount val="5"/>
                <c:pt idx="0">
                  <c:v>Business</c:v>
                </c:pt>
                <c:pt idx="1">
                  <c:v>Securities</c:v>
                </c:pt>
                <c:pt idx="2">
                  <c:v>Crypto</c:v>
                </c:pt>
                <c:pt idx="3">
                  <c:v>Rent</c:v>
                </c:pt>
                <c:pt idx="4">
                  <c:v>Gold</c:v>
                </c:pt>
              </c:strCache>
            </c:strRef>
          </c:cat>
          <c:val>
            <c:numRef>
              <c:f>Processing!$G$23:$G$28</c:f>
              <c:numCache>
                <c:formatCode>0%</c:formatCode>
                <c:ptCount val="6"/>
                <c:pt idx="0">
                  <c:v>0.30001107327078502</c:v>
                </c:pt>
                <c:pt idx="1">
                  <c:v>0.18844876155911955</c:v>
                </c:pt>
                <c:pt idx="2">
                  <c:v>0.17273568584640664</c:v>
                </c:pt>
                <c:pt idx="3">
                  <c:v>0.15983802533392383</c:v>
                </c:pt>
                <c:pt idx="4">
                  <c:v>0.17896645398976496</c:v>
                </c:pt>
                <c:pt idx="5">
                  <c:v>1</c:v>
                </c:pt>
              </c:numCache>
            </c:numRef>
          </c:val>
          <c:extLst>
            <c:ext xmlns:c16="http://schemas.microsoft.com/office/drawing/2014/chart" uri="{C3380CC4-5D6E-409C-BE32-E72D297353CC}">
              <c16:uniqueId val="{0000000C-EE3A-40B0-8284-B21C342EC223}"/>
            </c:ext>
          </c:extLst>
        </c:ser>
        <c:ser>
          <c:idx val="1"/>
          <c:order val="1"/>
          <c:spPr>
            <a:ln>
              <a:noFill/>
            </a:ln>
          </c:spPr>
          <c:dPt>
            <c:idx val="0"/>
            <c:bubble3D val="0"/>
            <c:spPr>
              <a:gradFill>
                <a:gsLst>
                  <a:gs pos="43000">
                    <a:srgbClr val="00B7D2"/>
                  </a:gs>
                  <a:gs pos="100000">
                    <a:srgbClr val="476BEE"/>
                  </a:gs>
                </a:gsLst>
                <a:lin ang="5400000" scaled="0"/>
              </a:gradFill>
              <a:ln w="19050">
                <a:noFill/>
              </a:ln>
              <a:effectLst/>
            </c:spPr>
            <c:extLst>
              <c:ext xmlns:c16="http://schemas.microsoft.com/office/drawing/2014/chart" uri="{C3380CC4-5D6E-409C-BE32-E72D297353CC}">
                <c16:uniqueId val="{0000000E-EE3A-40B0-8284-B21C342EC223}"/>
              </c:ext>
            </c:extLst>
          </c:dPt>
          <c:dPt>
            <c:idx val="1"/>
            <c:bubble3D val="0"/>
            <c:spPr>
              <a:gradFill>
                <a:gsLst>
                  <a:gs pos="43000">
                    <a:srgbClr val="00B7D2"/>
                  </a:gs>
                  <a:gs pos="100000">
                    <a:srgbClr val="476BEE"/>
                  </a:gs>
                </a:gsLst>
                <a:lin ang="5400000" scaled="0"/>
              </a:gradFill>
              <a:ln w="19050">
                <a:noFill/>
              </a:ln>
              <a:effectLst/>
            </c:spPr>
            <c:extLst>
              <c:ext xmlns:c16="http://schemas.microsoft.com/office/drawing/2014/chart" uri="{C3380CC4-5D6E-409C-BE32-E72D297353CC}">
                <c16:uniqueId val="{00000010-EE3A-40B0-8284-B21C342EC223}"/>
              </c:ext>
            </c:extLst>
          </c:dPt>
          <c:dPt>
            <c:idx val="2"/>
            <c:bubble3D val="0"/>
            <c:spPr>
              <a:gradFill>
                <a:gsLst>
                  <a:gs pos="60000">
                    <a:srgbClr val="3647E3"/>
                  </a:gs>
                  <a:gs pos="0">
                    <a:srgbClr val="476BEE"/>
                  </a:gs>
                </a:gsLst>
                <a:lin ang="5400000" scaled="0"/>
              </a:gradFill>
              <a:ln w="19050">
                <a:noFill/>
              </a:ln>
              <a:effectLst/>
            </c:spPr>
            <c:extLst>
              <c:ext xmlns:c16="http://schemas.microsoft.com/office/drawing/2014/chart" uri="{C3380CC4-5D6E-409C-BE32-E72D297353CC}">
                <c16:uniqueId val="{00000012-EE3A-40B0-8284-B21C342EC223}"/>
              </c:ext>
            </c:extLst>
          </c:dPt>
          <c:dPt>
            <c:idx val="3"/>
            <c:bubble3D val="0"/>
            <c:spPr>
              <a:gradFill>
                <a:gsLst>
                  <a:gs pos="100000">
                    <a:srgbClr val="212469"/>
                  </a:gs>
                  <a:gs pos="0">
                    <a:srgbClr val="34349E"/>
                  </a:gs>
                </a:gsLst>
                <a:lin ang="1800000" scaled="0"/>
              </a:gradFill>
              <a:ln w="19050">
                <a:noFill/>
              </a:ln>
              <a:effectLst/>
            </c:spPr>
            <c:extLst>
              <c:ext xmlns:c16="http://schemas.microsoft.com/office/drawing/2014/chart" uri="{C3380CC4-5D6E-409C-BE32-E72D297353CC}">
                <c16:uniqueId val="{00000014-EE3A-40B0-8284-B21C342EC223}"/>
              </c:ext>
            </c:extLst>
          </c:dPt>
          <c:dPt>
            <c:idx val="4"/>
            <c:bubble3D val="0"/>
            <c:spPr>
              <a:noFill/>
              <a:ln w="19050">
                <a:noFill/>
              </a:ln>
              <a:effectLst/>
            </c:spPr>
            <c:extLst>
              <c:ext xmlns:c16="http://schemas.microsoft.com/office/drawing/2014/chart" uri="{C3380CC4-5D6E-409C-BE32-E72D297353CC}">
                <c16:uniqueId val="{00000016-EE3A-40B0-8284-B21C342EC223}"/>
              </c:ext>
            </c:extLst>
          </c:dPt>
          <c:dPt>
            <c:idx val="5"/>
            <c:bubble3D val="0"/>
            <c:spPr>
              <a:noFill/>
              <a:ln w="19050">
                <a:noFill/>
              </a:ln>
              <a:effectLst/>
            </c:spPr>
            <c:extLst>
              <c:ext xmlns:c16="http://schemas.microsoft.com/office/drawing/2014/chart" uri="{C3380CC4-5D6E-409C-BE32-E72D297353CC}">
                <c16:uniqueId val="{00000018-EE3A-40B0-8284-B21C342EC223}"/>
              </c:ext>
            </c:extLst>
          </c:dPt>
          <c:cat>
            <c:strRef>
              <c:f>Processing!$L$23:$L$27</c:f>
              <c:strCache>
                <c:ptCount val="5"/>
                <c:pt idx="0">
                  <c:v>Business</c:v>
                </c:pt>
                <c:pt idx="1">
                  <c:v>Securities</c:v>
                </c:pt>
                <c:pt idx="2">
                  <c:v>Crypto</c:v>
                </c:pt>
                <c:pt idx="3">
                  <c:v>Rent</c:v>
                </c:pt>
                <c:pt idx="4">
                  <c:v>Gold</c:v>
                </c:pt>
              </c:strCache>
            </c:strRef>
          </c:cat>
          <c:val>
            <c:numRef>
              <c:f>Processing!$H$23:$H$28</c:f>
              <c:numCache>
                <c:formatCode>0%</c:formatCode>
                <c:ptCount val="6"/>
                <c:pt idx="0">
                  <c:v>0.30001107327078502</c:v>
                </c:pt>
                <c:pt idx="1">
                  <c:v>0.18844876155911955</c:v>
                </c:pt>
                <c:pt idx="2">
                  <c:v>0.17273568584640664</c:v>
                </c:pt>
                <c:pt idx="3">
                  <c:v>0.15983802533392383</c:v>
                </c:pt>
                <c:pt idx="4">
                  <c:v>0.17896645398976496</c:v>
                </c:pt>
                <c:pt idx="5">
                  <c:v>1</c:v>
                </c:pt>
              </c:numCache>
            </c:numRef>
          </c:val>
          <c:extLst>
            <c:ext xmlns:c16="http://schemas.microsoft.com/office/drawing/2014/chart" uri="{C3380CC4-5D6E-409C-BE32-E72D297353CC}">
              <c16:uniqueId val="{00000019-EE3A-40B0-8284-B21C342EC223}"/>
            </c:ext>
          </c:extLst>
        </c:ser>
        <c:ser>
          <c:idx val="2"/>
          <c:order val="2"/>
          <c:spPr>
            <a:ln>
              <a:noFill/>
            </a:ln>
          </c:spPr>
          <c:dPt>
            <c:idx val="0"/>
            <c:bubble3D val="0"/>
            <c:spPr>
              <a:gradFill>
                <a:gsLst>
                  <a:gs pos="43000">
                    <a:srgbClr val="00B7D2"/>
                  </a:gs>
                  <a:gs pos="100000">
                    <a:srgbClr val="476BEE"/>
                  </a:gs>
                </a:gsLst>
                <a:lin ang="5400000" scaled="0"/>
              </a:gradFill>
              <a:ln w="19050">
                <a:noFill/>
              </a:ln>
              <a:effectLst/>
            </c:spPr>
            <c:extLst>
              <c:ext xmlns:c16="http://schemas.microsoft.com/office/drawing/2014/chart" uri="{C3380CC4-5D6E-409C-BE32-E72D297353CC}">
                <c16:uniqueId val="{0000001B-EE3A-40B0-8284-B21C342EC223}"/>
              </c:ext>
            </c:extLst>
          </c:dPt>
          <c:dPt>
            <c:idx val="1"/>
            <c:bubble3D val="0"/>
            <c:spPr>
              <a:gradFill>
                <a:gsLst>
                  <a:gs pos="43000">
                    <a:srgbClr val="00B7D2"/>
                  </a:gs>
                  <a:gs pos="100000">
                    <a:srgbClr val="476BEE"/>
                  </a:gs>
                </a:gsLst>
                <a:lin ang="5400000" scaled="0"/>
              </a:gradFill>
              <a:ln w="19050">
                <a:noFill/>
              </a:ln>
              <a:effectLst/>
            </c:spPr>
            <c:extLst>
              <c:ext xmlns:c16="http://schemas.microsoft.com/office/drawing/2014/chart" uri="{C3380CC4-5D6E-409C-BE32-E72D297353CC}">
                <c16:uniqueId val="{0000001D-EE3A-40B0-8284-B21C342EC223}"/>
              </c:ext>
            </c:extLst>
          </c:dPt>
          <c:dPt>
            <c:idx val="2"/>
            <c:bubble3D val="0"/>
            <c:spPr>
              <a:gradFill>
                <a:gsLst>
                  <a:gs pos="60000">
                    <a:srgbClr val="3647E3"/>
                  </a:gs>
                  <a:gs pos="0">
                    <a:srgbClr val="476BEE"/>
                  </a:gs>
                </a:gsLst>
                <a:lin ang="5400000" scaled="0"/>
              </a:gradFill>
              <a:ln w="19050">
                <a:noFill/>
              </a:ln>
              <a:effectLst/>
            </c:spPr>
            <c:extLst>
              <c:ext xmlns:c16="http://schemas.microsoft.com/office/drawing/2014/chart" uri="{C3380CC4-5D6E-409C-BE32-E72D297353CC}">
                <c16:uniqueId val="{0000001F-EE3A-40B0-8284-B21C342EC223}"/>
              </c:ext>
            </c:extLst>
          </c:dPt>
          <c:dPt>
            <c:idx val="3"/>
            <c:bubble3D val="0"/>
            <c:spPr>
              <a:noFill/>
              <a:ln w="19050">
                <a:noFill/>
              </a:ln>
              <a:effectLst/>
            </c:spPr>
            <c:extLst>
              <c:ext xmlns:c16="http://schemas.microsoft.com/office/drawing/2014/chart" uri="{C3380CC4-5D6E-409C-BE32-E72D297353CC}">
                <c16:uniqueId val="{00000021-EE3A-40B0-8284-B21C342EC223}"/>
              </c:ext>
            </c:extLst>
          </c:dPt>
          <c:dPt>
            <c:idx val="4"/>
            <c:bubble3D val="0"/>
            <c:spPr>
              <a:noFill/>
              <a:ln w="19050">
                <a:noFill/>
              </a:ln>
              <a:effectLst/>
            </c:spPr>
            <c:extLst>
              <c:ext xmlns:c16="http://schemas.microsoft.com/office/drawing/2014/chart" uri="{C3380CC4-5D6E-409C-BE32-E72D297353CC}">
                <c16:uniqueId val="{00000023-EE3A-40B0-8284-B21C342EC223}"/>
              </c:ext>
            </c:extLst>
          </c:dPt>
          <c:dPt>
            <c:idx val="5"/>
            <c:bubble3D val="0"/>
            <c:spPr>
              <a:noFill/>
              <a:ln w="19050">
                <a:noFill/>
              </a:ln>
              <a:effectLst/>
            </c:spPr>
            <c:extLst>
              <c:ext xmlns:c16="http://schemas.microsoft.com/office/drawing/2014/chart" uri="{C3380CC4-5D6E-409C-BE32-E72D297353CC}">
                <c16:uniqueId val="{00000025-EE3A-40B0-8284-B21C342EC223}"/>
              </c:ext>
            </c:extLst>
          </c:dPt>
          <c:cat>
            <c:strRef>
              <c:f>Processing!$L$23:$L$27</c:f>
              <c:strCache>
                <c:ptCount val="5"/>
                <c:pt idx="0">
                  <c:v>Business</c:v>
                </c:pt>
                <c:pt idx="1">
                  <c:v>Securities</c:v>
                </c:pt>
                <c:pt idx="2">
                  <c:v>Crypto</c:v>
                </c:pt>
                <c:pt idx="3">
                  <c:v>Rent</c:v>
                </c:pt>
                <c:pt idx="4">
                  <c:v>Gold</c:v>
                </c:pt>
              </c:strCache>
            </c:strRef>
          </c:cat>
          <c:val>
            <c:numRef>
              <c:f>Processing!$I$23:$I$28</c:f>
              <c:numCache>
                <c:formatCode>0%</c:formatCode>
                <c:ptCount val="6"/>
                <c:pt idx="0">
                  <c:v>0.30001107327078502</c:v>
                </c:pt>
                <c:pt idx="1">
                  <c:v>0.18844876155911955</c:v>
                </c:pt>
                <c:pt idx="2">
                  <c:v>0.17273568584640664</c:v>
                </c:pt>
                <c:pt idx="3">
                  <c:v>0.15983802533392383</c:v>
                </c:pt>
                <c:pt idx="4">
                  <c:v>0.17896645398976496</c:v>
                </c:pt>
                <c:pt idx="5">
                  <c:v>1</c:v>
                </c:pt>
              </c:numCache>
            </c:numRef>
          </c:val>
          <c:extLst>
            <c:ext xmlns:c16="http://schemas.microsoft.com/office/drawing/2014/chart" uri="{C3380CC4-5D6E-409C-BE32-E72D297353CC}">
              <c16:uniqueId val="{00000026-EE3A-40B0-8284-B21C342EC223}"/>
            </c:ext>
          </c:extLst>
        </c:ser>
        <c:ser>
          <c:idx val="3"/>
          <c:order val="3"/>
          <c:spPr>
            <a:gradFill>
              <a:gsLst>
                <a:gs pos="43000">
                  <a:srgbClr val="00B7D2"/>
                </a:gs>
                <a:gs pos="100000">
                  <a:srgbClr val="476BEE"/>
                </a:gs>
              </a:gsLst>
              <a:lin ang="5400000" scaled="0"/>
            </a:gradFill>
            <a:ln>
              <a:noFill/>
            </a:ln>
          </c:spPr>
          <c:dPt>
            <c:idx val="0"/>
            <c:bubble3D val="0"/>
            <c:spPr>
              <a:gradFill>
                <a:gsLst>
                  <a:gs pos="43000">
                    <a:srgbClr val="00B7D2"/>
                  </a:gs>
                  <a:gs pos="100000">
                    <a:srgbClr val="476BEE"/>
                  </a:gs>
                </a:gsLst>
                <a:lin ang="5400000" scaled="0"/>
              </a:gradFill>
              <a:ln w="19050">
                <a:noFill/>
              </a:ln>
              <a:effectLst/>
            </c:spPr>
            <c:extLst>
              <c:ext xmlns:c16="http://schemas.microsoft.com/office/drawing/2014/chart" uri="{C3380CC4-5D6E-409C-BE32-E72D297353CC}">
                <c16:uniqueId val="{00000028-EE3A-40B0-8284-B21C342EC223}"/>
              </c:ext>
            </c:extLst>
          </c:dPt>
          <c:dPt>
            <c:idx val="1"/>
            <c:bubble3D val="0"/>
            <c:spPr>
              <a:gradFill>
                <a:gsLst>
                  <a:gs pos="60000">
                    <a:srgbClr val="00B7D2"/>
                  </a:gs>
                  <a:gs pos="0">
                    <a:srgbClr val="476BEE"/>
                  </a:gs>
                </a:gsLst>
                <a:lin ang="1800000" scaled="0"/>
              </a:gradFill>
              <a:ln w="19050">
                <a:noFill/>
              </a:ln>
              <a:effectLst/>
            </c:spPr>
            <c:extLst>
              <c:ext xmlns:c16="http://schemas.microsoft.com/office/drawing/2014/chart" uri="{C3380CC4-5D6E-409C-BE32-E72D297353CC}">
                <c16:uniqueId val="{0000002A-EE3A-40B0-8284-B21C342EC223}"/>
              </c:ext>
            </c:extLst>
          </c:dPt>
          <c:dPt>
            <c:idx val="2"/>
            <c:bubble3D val="0"/>
            <c:spPr>
              <a:noFill/>
              <a:ln w="19050">
                <a:noFill/>
              </a:ln>
              <a:effectLst/>
            </c:spPr>
            <c:extLst>
              <c:ext xmlns:c16="http://schemas.microsoft.com/office/drawing/2014/chart" uri="{C3380CC4-5D6E-409C-BE32-E72D297353CC}">
                <c16:uniqueId val="{0000002C-EE3A-40B0-8284-B21C342EC223}"/>
              </c:ext>
            </c:extLst>
          </c:dPt>
          <c:dPt>
            <c:idx val="3"/>
            <c:bubble3D val="0"/>
            <c:spPr>
              <a:noFill/>
              <a:ln w="19050">
                <a:noFill/>
              </a:ln>
              <a:effectLst/>
            </c:spPr>
            <c:extLst>
              <c:ext xmlns:c16="http://schemas.microsoft.com/office/drawing/2014/chart" uri="{C3380CC4-5D6E-409C-BE32-E72D297353CC}">
                <c16:uniqueId val="{0000002E-EE3A-40B0-8284-B21C342EC223}"/>
              </c:ext>
            </c:extLst>
          </c:dPt>
          <c:dPt>
            <c:idx val="4"/>
            <c:bubble3D val="0"/>
            <c:spPr>
              <a:noFill/>
              <a:ln w="19050">
                <a:noFill/>
              </a:ln>
              <a:effectLst/>
            </c:spPr>
            <c:extLst>
              <c:ext xmlns:c16="http://schemas.microsoft.com/office/drawing/2014/chart" uri="{C3380CC4-5D6E-409C-BE32-E72D297353CC}">
                <c16:uniqueId val="{00000030-EE3A-40B0-8284-B21C342EC223}"/>
              </c:ext>
            </c:extLst>
          </c:dPt>
          <c:dPt>
            <c:idx val="5"/>
            <c:bubble3D val="0"/>
            <c:spPr>
              <a:noFill/>
              <a:ln w="19050">
                <a:noFill/>
              </a:ln>
              <a:effectLst/>
            </c:spPr>
            <c:extLst>
              <c:ext xmlns:c16="http://schemas.microsoft.com/office/drawing/2014/chart" uri="{C3380CC4-5D6E-409C-BE32-E72D297353CC}">
                <c16:uniqueId val="{00000032-EE3A-40B0-8284-B21C342EC223}"/>
              </c:ext>
            </c:extLst>
          </c:dPt>
          <c:cat>
            <c:strRef>
              <c:f>Processing!$L$23:$L$27</c:f>
              <c:strCache>
                <c:ptCount val="5"/>
                <c:pt idx="0">
                  <c:v>Business</c:v>
                </c:pt>
                <c:pt idx="1">
                  <c:v>Securities</c:v>
                </c:pt>
                <c:pt idx="2">
                  <c:v>Crypto</c:v>
                </c:pt>
                <c:pt idx="3">
                  <c:v>Rent</c:v>
                </c:pt>
                <c:pt idx="4">
                  <c:v>Gold</c:v>
                </c:pt>
              </c:strCache>
            </c:strRef>
          </c:cat>
          <c:val>
            <c:numRef>
              <c:f>Processing!$J$23:$J$28</c:f>
              <c:numCache>
                <c:formatCode>0%</c:formatCode>
                <c:ptCount val="6"/>
                <c:pt idx="0">
                  <c:v>0.30001107327078502</c:v>
                </c:pt>
                <c:pt idx="1">
                  <c:v>0.18844876155911955</c:v>
                </c:pt>
                <c:pt idx="2">
                  <c:v>0.17273568584640664</c:v>
                </c:pt>
                <c:pt idx="3">
                  <c:v>0.15983802533392383</c:v>
                </c:pt>
                <c:pt idx="4">
                  <c:v>0.17896645398976496</c:v>
                </c:pt>
                <c:pt idx="5">
                  <c:v>1</c:v>
                </c:pt>
              </c:numCache>
            </c:numRef>
          </c:val>
          <c:extLst>
            <c:ext xmlns:c16="http://schemas.microsoft.com/office/drawing/2014/chart" uri="{C3380CC4-5D6E-409C-BE32-E72D297353CC}">
              <c16:uniqueId val="{00000033-EE3A-40B0-8284-B21C342EC223}"/>
            </c:ext>
          </c:extLst>
        </c:ser>
        <c:ser>
          <c:idx val="4"/>
          <c:order val="4"/>
          <c:spPr>
            <a:ln>
              <a:noFill/>
            </a:ln>
          </c:spPr>
          <c:dPt>
            <c:idx val="0"/>
            <c:bubble3D val="0"/>
            <c:spPr>
              <a:gradFill>
                <a:gsLst>
                  <a:gs pos="43000">
                    <a:srgbClr val="00B7D2"/>
                  </a:gs>
                  <a:gs pos="100000">
                    <a:srgbClr val="476BEE"/>
                  </a:gs>
                </a:gsLst>
                <a:lin ang="5400000" scaled="0"/>
              </a:gradFill>
              <a:ln w="19050">
                <a:noFill/>
              </a:ln>
              <a:effectLst/>
            </c:spPr>
            <c:extLst>
              <c:ext xmlns:c16="http://schemas.microsoft.com/office/drawing/2014/chart" uri="{C3380CC4-5D6E-409C-BE32-E72D297353CC}">
                <c16:uniqueId val="{00000035-EE3A-40B0-8284-B21C342EC223}"/>
              </c:ext>
            </c:extLst>
          </c:dPt>
          <c:dPt>
            <c:idx val="1"/>
            <c:bubble3D val="0"/>
            <c:spPr>
              <a:noFill/>
              <a:ln w="19050">
                <a:noFill/>
              </a:ln>
              <a:effectLst/>
            </c:spPr>
            <c:extLst>
              <c:ext xmlns:c16="http://schemas.microsoft.com/office/drawing/2014/chart" uri="{C3380CC4-5D6E-409C-BE32-E72D297353CC}">
                <c16:uniqueId val="{00000037-EE3A-40B0-8284-B21C342EC223}"/>
              </c:ext>
            </c:extLst>
          </c:dPt>
          <c:dPt>
            <c:idx val="2"/>
            <c:bubble3D val="0"/>
            <c:spPr>
              <a:noFill/>
              <a:ln w="19050">
                <a:noFill/>
              </a:ln>
              <a:effectLst/>
            </c:spPr>
            <c:extLst>
              <c:ext xmlns:c16="http://schemas.microsoft.com/office/drawing/2014/chart" uri="{C3380CC4-5D6E-409C-BE32-E72D297353CC}">
                <c16:uniqueId val="{00000039-EE3A-40B0-8284-B21C342EC223}"/>
              </c:ext>
            </c:extLst>
          </c:dPt>
          <c:dPt>
            <c:idx val="3"/>
            <c:bubble3D val="0"/>
            <c:spPr>
              <a:noFill/>
              <a:ln w="19050">
                <a:noFill/>
              </a:ln>
              <a:effectLst/>
            </c:spPr>
            <c:extLst>
              <c:ext xmlns:c16="http://schemas.microsoft.com/office/drawing/2014/chart" uri="{C3380CC4-5D6E-409C-BE32-E72D297353CC}">
                <c16:uniqueId val="{0000003B-EE3A-40B0-8284-B21C342EC223}"/>
              </c:ext>
            </c:extLst>
          </c:dPt>
          <c:dPt>
            <c:idx val="4"/>
            <c:bubble3D val="0"/>
            <c:spPr>
              <a:noFill/>
              <a:ln w="19050">
                <a:noFill/>
              </a:ln>
              <a:effectLst/>
            </c:spPr>
            <c:extLst>
              <c:ext xmlns:c16="http://schemas.microsoft.com/office/drawing/2014/chart" uri="{C3380CC4-5D6E-409C-BE32-E72D297353CC}">
                <c16:uniqueId val="{0000003D-EE3A-40B0-8284-B21C342EC223}"/>
              </c:ext>
            </c:extLst>
          </c:dPt>
          <c:dPt>
            <c:idx val="5"/>
            <c:bubble3D val="0"/>
            <c:spPr>
              <a:noFill/>
              <a:ln w="19050">
                <a:noFill/>
              </a:ln>
              <a:effectLst/>
            </c:spPr>
            <c:extLst>
              <c:ext xmlns:c16="http://schemas.microsoft.com/office/drawing/2014/chart" uri="{C3380CC4-5D6E-409C-BE32-E72D297353CC}">
                <c16:uniqueId val="{0000003F-EE3A-40B0-8284-B21C342EC223}"/>
              </c:ext>
            </c:extLst>
          </c:dPt>
          <c:cat>
            <c:strRef>
              <c:f>Processing!$L$23:$L$27</c:f>
              <c:strCache>
                <c:ptCount val="5"/>
                <c:pt idx="0">
                  <c:v>Business</c:v>
                </c:pt>
                <c:pt idx="1">
                  <c:v>Securities</c:v>
                </c:pt>
                <c:pt idx="2">
                  <c:v>Crypto</c:v>
                </c:pt>
                <c:pt idx="3">
                  <c:v>Rent</c:v>
                </c:pt>
                <c:pt idx="4">
                  <c:v>Gold</c:v>
                </c:pt>
              </c:strCache>
            </c:strRef>
          </c:cat>
          <c:val>
            <c:numRef>
              <c:f>Processing!$K$23:$K$28</c:f>
              <c:numCache>
                <c:formatCode>0%</c:formatCode>
                <c:ptCount val="6"/>
                <c:pt idx="0">
                  <c:v>0.30001107327078502</c:v>
                </c:pt>
                <c:pt idx="1">
                  <c:v>0.18844876155911955</c:v>
                </c:pt>
                <c:pt idx="2">
                  <c:v>0.17273568584640664</c:v>
                </c:pt>
                <c:pt idx="3">
                  <c:v>0.15983802533392383</c:v>
                </c:pt>
                <c:pt idx="4">
                  <c:v>0.17896645398976496</c:v>
                </c:pt>
                <c:pt idx="5">
                  <c:v>1</c:v>
                </c:pt>
              </c:numCache>
            </c:numRef>
          </c:val>
          <c:extLst>
            <c:ext xmlns:c16="http://schemas.microsoft.com/office/drawing/2014/chart" uri="{C3380CC4-5D6E-409C-BE32-E72D297353CC}">
              <c16:uniqueId val="{00000040-EE3A-40B0-8284-B21C342EC223}"/>
            </c:ext>
          </c:extLst>
        </c:ser>
        <c:dLbls>
          <c:showLegendKey val="0"/>
          <c:showVal val="0"/>
          <c:showCatName val="0"/>
          <c:showSerName val="0"/>
          <c:showPercent val="0"/>
          <c:showBubbleSize val="0"/>
          <c:showLeaderLines val="1"/>
        </c:dLbls>
        <c:firstSliceAng val="270"/>
        <c:holeSize val="30"/>
      </c:doughnutChart>
      <c:spPr>
        <a:noFill/>
        <a:ln>
          <a:noFill/>
        </a:ln>
        <a:effectLst/>
      </c:spPr>
    </c:plotArea>
    <c:legend>
      <c:legendPos val="b"/>
      <c:layout>
        <c:manualLayout>
          <c:xMode val="edge"/>
          <c:yMode val="edge"/>
          <c:x val="0.17471878515185602"/>
          <c:y val="0.45285979877515309"/>
          <c:w val="0.58745219347581557"/>
          <c:h val="7.7714895013123356E-2"/>
        </c:manualLayout>
      </c:layout>
      <c:overlay val="0"/>
      <c:spPr>
        <a:noFill/>
        <a:ln>
          <a:noFill/>
        </a:ln>
        <a:effectLst/>
      </c:spPr>
      <c:txPr>
        <a:bodyPr rot="0" spcFirstLastPara="1" vertOverflow="ellipsis" vert="horz" wrap="square" anchor="ctr" anchorCtr="1"/>
        <a:lstStyle/>
        <a:p>
          <a:pPr rtl="0">
            <a:defRPr sz="800" b="0" i="0" u="none" strike="noStrike" kern="1200" baseline="0">
              <a:solidFill>
                <a:schemeClr val="accent1">
                  <a:lumMod val="40000"/>
                  <a:lumOff val="6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1322314049586778E-2"/>
          <c:y val="0.17890772128060264"/>
          <c:w val="0.52920688632929158"/>
          <c:h val="0.71751412429378536"/>
        </c:manualLayout>
      </c:layout>
      <c:scatterChart>
        <c:scatterStyle val="lineMarker"/>
        <c:varyColors val="0"/>
        <c:ser>
          <c:idx val="0"/>
          <c:order val="0"/>
          <c:tx>
            <c:strRef>
              <c:f>Processing!$N$18</c:f>
              <c:strCache>
                <c:ptCount val="1"/>
                <c:pt idx="0">
                  <c:v>Mortgage</c:v>
                </c:pt>
              </c:strCache>
            </c:strRef>
          </c:tx>
          <c:spPr>
            <a:ln w="25400" cap="rnd">
              <a:noFill/>
              <a:round/>
            </a:ln>
            <a:effectLst/>
          </c:spPr>
          <c:marker>
            <c:symbol val="circle"/>
            <c:size val="30"/>
            <c:spPr>
              <a:solidFill>
                <a:srgbClr val="8D76FC">
                  <a:alpha val="50000"/>
                </a:srgbClr>
              </a:solidFill>
              <a:ln w="9525">
                <a:solidFill>
                  <a:srgbClr val="8D76FC"/>
                </a:solidFill>
              </a:ln>
              <a:effectLst/>
            </c:spPr>
          </c:marker>
          <c:xVal>
            <c:numRef>
              <c:f>Processing!$O$18</c:f>
              <c:numCache>
                <c:formatCode>0%</c:formatCode>
                <c:ptCount val="1"/>
                <c:pt idx="0">
                  <c:v>0.03</c:v>
                </c:pt>
              </c:numCache>
            </c:numRef>
          </c:xVal>
          <c:yVal>
            <c:numRef>
              <c:f>Processing!$P$18</c:f>
              <c:numCache>
                <c:formatCode>_-[$$-409]* #,##0_ ;_-[$$-409]* \-#,##0\ ;_-[$$-409]* "-"??_ ;_-@_ </c:formatCode>
                <c:ptCount val="1"/>
                <c:pt idx="0">
                  <c:v>28842.857142857141</c:v>
                </c:pt>
              </c:numCache>
            </c:numRef>
          </c:yVal>
          <c:smooth val="0"/>
          <c:extLst>
            <c:ext xmlns:c16="http://schemas.microsoft.com/office/drawing/2014/chart" uri="{C3380CC4-5D6E-409C-BE32-E72D297353CC}">
              <c16:uniqueId val="{00000000-9734-4C1E-A22C-C51D89E6D3EA}"/>
            </c:ext>
          </c:extLst>
        </c:ser>
        <c:ser>
          <c:idx val="1"/>
          <c:order val="1"/>
          <c:tx>
            <c:strRef>
              <c:f>Processing!$N$19</c:f>
              <c:strCache>
                <c:ptCount val="1"/>
                <c:pt idx="0">
                  <c:v>Car Leasing</c:v>
                </c:pt>
              </c:strCache>
            </c:strRef>
          </c:tx>
          <c:spPr>
            <a:ln w="25400" cap="rnd">
              <a:noFill/>
              <a:round/>
            </a:ln>
            <a:effectLst/>
          </c:spPr>
          <c:marker>
            <c:symbol val="circle"/>
            <c:size val="20"/>
            <c:spPr>
              <a:solidFill>
                <a:srgbClr val="AD27FE">
                  <a:alpha val="50000"/>
                </a:srgbClr>
              </a:solidFill>
              <a:ln w="9525">
                <a:solidFill>
                  <a:srgbClr val="AD27FE"/>
                </a:solidFill>
              </a:ln>
              <a:effectLst/>
            </c:spPr>
          </c:marker>
          <c:xVal>
            <c:numRef>
              <c:f>Processing!$O$19</c:f>
              <c:numCache>
                <c:formatCode>0%</c:formatCode>
                <c:ptCount val="1"/>
                <c:pt idx="0">
                  <c:v>0.1</c:v>
                </c:pt>
              </c:numCache>
            </c:numRef>
          </c:xVal>
          <c:yVal>
            <c:numRef>
              <c:f>Processing!$P$19</c:f>
              <c:numCache>
                <c:formatCode>_-[$$-409]* #,##0_ ;_-[$$-409]* \-#,##0\ ;_-[$$-409]* "-"??_ ;_-@_ </c:formatCode>
                <c:ptCount val="1"/>
                <c:pt idx="0">
                  <c:v>12336.734693877552</c:v>
                </c:pt>
              </c:numCache>
            </c:numRef>
          </c:yVal>
          <c:smooth val="0"/>
          <c:extLst>
            <c:ext xmlns:c16="http://schemas.microsoft.com/office/drawing/2014/chart" uri="{C3380CC4-5D6E-409C-BE32-E72D297353CC}">
              <c16:uniqueId val="{00000001-9734-4C1E-A22C-C51D89E6D3EA}"/>
            </c:ext>
          </c:extLst>
        </c:ser>
        <c:ser>
          <c:idx val="2"/>
          <c:order val="2"/>
          <c:tx>
            <c:strRef>
              <c:f>Processing!$N$20</c:f>
              <c:strCache>
                <c:ptCount val="1"/>
                <c:pt idx="0">
                  <c:v>Consumer Credit</c:v>
                </c:pt>
              </c:strCache>
            </c:strRef>
          </c:tx>
          <c:spPr>
            <a:ln w="25400" cap="rnd">
              <a:noFill/>
              <a:round/>
            </a:ln>
            <a:effectLst/>
          </c:spPr>
          <c:marker>
            <c:symbol val="circle"/>
            <c:size val="17"/>
            <c:spPr>
              <a:solidFill>
                <a:srgbClr val="3647E3">
                  <a:alpha val="50000"/>
                </a:srgbClr>
              </a:solidFill>
              <a:ln w="9525">
                <a:solidFill>
                  <a:srgbClr val="3647E3"/>
                </a:solidFill>
              </a:ln>
              <a:effectLst/>
            </c:spPr>
          </c:marker>
          <c:xVal>
            <c:numRef>
              <c:f>Processing!$O$20</c:f>
              <c:numCache>
                <c:formatCode>0%</c:formatCode>
                <c:ptCount val="1"/>
                <c:pt idx="0">
                  <c:v>0.05</c:v>
                </c:pt>
              </c:numCache>
            </c:numRef>
          </c:xVal>
          <c:yVal>
            <c:numRef>
              <c:f>Processing!$P$20</c:f>
              <c:numCache>
                <c:formatCode>_-[$$-409]* #,##0_ ;_-[$$-409]* \-#,##0\ ;_-[$$-409]* "-"??_ ;_-@_ </c:formatCode>
                <c:ptCount val="1"/>
                <c:pt idx="0">
                  <c:v>8681.4408163265307</c:v>
                </c:pt>
              </c:numCache>
            </c:numRef>
          </c:yVal>
          <c:smooth val="0"/>
          <c:extLst>
            <c:ext xmlns:c16="http://schemas.microsoft.com/office/drawing/2014/chart" uri="{C3380CC4-5D6E-409C-BE32-E72D297353CC}">
              <c16:uniqueId val="{00000002-9734-4C1E-A22C-C51D89E6D3EA}"/>
            </c:ext>
          </c:extLst>
        </c:ser>
        <c:ser>
          <c:idx val="3"/>
          <c:order val="3"/>
          <c:tx>
            <c:strRef>
              <c:f>Processing!$N$21</c:f>
              <c:strCache>
                <c:ptCount val="1"/>
                <c:pt idx="0">
                  <c:v>Credit Card</c:v>
                </c:pt>
              </c:strCache>
            </c:strRef>
          </c:tx>
          <c:spPr>
            <a:ln w="25400" cap="rnd">
              <a:noFill/>
              <a:round/>
            </a:ln>
            <a:effectLst/>
          </c:spPr>
          <c:marker>
            <c:symbol val="circle"/>
            <c:size val="25"/>
            <c:spPr>
              <a:solidFill>
                <a:srgbClr val="00B7D2">
                  <a:alpha val="50000"/>
                </a:srgbClr>
              </a:solidFill>
              <a:ln w="9525">
                <a:solidFill>
                  <a:srgbClr val="00B7D2"/>
                </a:solidFill>
              </a:ln>
              <a:effectLst/>
            </c:spPr>
          </c:marker>
          <c:xVal>
            <c:numRef>
              <c:f>Processing!$O$21</c:f>
              <c:numCache>
                <c:formatCode>0%</c:formatCode>
                <c:ptCount val="1"/>
                <c:pt idx="0">
                  <c:v>7.0000000000000007E-2</c:v>
                </c:pt>
              </c:numCache>
            </c:numRef>
          </c:xVal>
          <c:yVal>
            <c:numRef>
              <c:f>Processing!$P$21</c:f>
              <c:numCache>
                <c:formatCode>_-[$$-409]* #,##0_ ;_-[$$-409]* \-#,##0\ ;_-[$$-409]* "-"??_ ;_-@_ </c:formatCode>
                <c:ptCount val="1"/>
                <c:pt idx="0">
                  <c:v>18122.673469387755</c:v>
                </c:pt>
              </c:numCache>
            </c:numRef>
          </c:yVal>
          <c:smooth val="0"/>
          <c:extLst>
            <c:ext xmlns:c16="http://schemas.microsoft.com/office/drawing/2014/chart" uri="{C3380CC4-5D6E-409C-BE32-E72D297353CC}">
              <c16:uniqueId val="{00000003-9734-4C1E-A22C-C51D89E6D3EA}"/>
            </c:ext>
          </c:extLst>
        </c:ser>
        <c:ser>
          <c:idx val="4"/>
          <c:order val="4"/>
          <c:spPr>
            <a:ln w="25400" cap="rnd">
              <a:noFill/>
              <a:round/>
            </a:ln>
            <a:effectLst>
              <a:outerShdw blurRad="50800" dist="38100" dir="8100000" algn="tr" rotWithShape="0">
                <a:prstClr val="black">
                  <a:alpha val="40000"/>
                </a:prstClr>
              </a:outerShdw>
            </a:effectLst>
          </c:spPr>
          <c:marker>
            <c:symbol val="circle"/>
            <c:size val="9"/>
            <c:spPr>
              <a:noFill/>
              <a:ln w="9525">
                <a:solidFill>
                  <a:schemeClr val="accent5"/>
                </a:solidFill>
              </a:ln>
              <a:effectLst>
                <a:outerShdw blurRad="50800" dist="38100" dir="8100000" algn="tr" rotWithShape="0">
                  <a:prstClr val="black">
                    <a:alpha val="40000"/>
                  </a:prstClr>
                </a:outerShdw>
              </a:effectLst>
            </c:spPr>
          </c:marker>
          <c:xVal>
            <c:numRef>
              <c:f>Processing!$O$18</c:f>
              <c:numCache>
                <c:formatCode>0%</c:formatCode>
                <c:ptCount val="1"/>
                <c:pt idx="0">
                  <c:v>0.03</c:v>
                </c:pt>
              </c:numCache>
            </c:numRef>
          </c:xVal>
          <c:yVal>
            <c:numRef>
              <c:f>Processing!$P$18</c:f>
              <c:numCache>
                <c:formatCode>_-[$$-409]* #,##0_ ;_-[$$-409]* \-#,##0\ ;_-[$$-409]* "-"??_ ;_-@_ </c:formatCode>
                <c:ptCount val="1"/>
                <c:pt idx="0">
                  <c:v>28842.857142857141</c:v>
                </c:pt>
              </c:numCache>
            </c:numRef>
          </c:yVal>
          <c:smooth val="0"/>
          <c:extLst>
            <c:ext xmlns:c16="http://schemas.microsoft.com/office/drawing/2014/chart" uri="{C3380CC4-5D6E-409C-BE32-E72D297353CC}">
              <c16:uniqueId val="{00000004-9734-4C1E-A22C-C51D89E6D3EA}"/>
            </c:ext>
          </c:extLst>
        </c:ser>
        <c:ser>
          <c:idx val="5"/>
          <c:order val="5"/>
          <c:spPr>
            <a:ln w="25400" cap="rnd">
              <a:noFill/>
              <a:round/>
            </a:ln>
            <a:effectLst>
              <a:outerShdw blurRad="50800" dist="38100" dir="8100000" algn="tr" rotWithShape="0">
                <a:prstClr val="black">
                  <a:alpha val="40000"/>
                </a:prstClr>
              </a:outerShdw>
            </a:effectLst>
          </c:spPr>
          <c:marker>
            <c:symbol val="circle"/>
            <c:size val="7"/>
            <c:spPr>
              <a:solidFill>
                <a:srgbClr val="AD27FE"/>
              </a:solidFill>
              <a:ln w="9525">
                <a:noFill/>
              </a:ln>
              <a:effectLst>
                <a:outerShdw blurRad="50800" dist="38100" dir="8100000" algn="tr" rotWithShape="0">
                  <a:prstClr val="black">
                    <a:alpha val="40000"/>
                  </a:prstClr>
                </a:outerShdw>
              </a:effectLst>
            </c:spPr>
          </c:marker>
          <c:xVal>
            <c:numRef>
              <c:f>Processing!$O$19</c:f>
              <c:numCache>
                <c:formatCode>0%</c:formatCode>
                <c:ptCount val="1"/>
                <c:pt idx="0">
                  <c:v>0.1</c:v>
                </c:pt>
              </c:numCache>
            </c:numRef>
          </c:xVal>
          <c:yVal>
            <c:numRef>
              <c:f>Processing!$P$19</c:f>
              <c:numCache>
                <c:formatCode>_-[$$-409]* #,##0_ ;_-[$$-409]* \-#,##0\ ;_-[$$-409]* "-"??_ ;_-@_ </c:formatCode>
                <c:ptCount val="1"/>
                <c:pt idx="0">
                  <c:v>12336.734693877552</c:v>
                </c:pt>
              </c:numCache>
            </c:numRef>
          </c:yVal>
          <c:smooth val="0"/>
          <c:extLst>
            <c:ext xmlns:c16="http://schemas.microsoft.com/office/drawing/2014/chart" uri="{C3380CC4-5D6E-409C-BE32-E72D297353CC}">
              <c16:uniqueId val="{00000005-9734-4C1E-A22C-C51D89E6D3EA}"/>
            </c:ext>
          </c:extLst>
        </c:ser>
        <c:ser>
          <c:idx val="6"/>
          <c:order val="6"/>
          <c:spPr>
            <a:ln w="25400" cap="rnd">
              <a:noFill/>
              <a:round/>
            </a:ln>
            <a:effectLst>
              <a:outerShdw blurRad="50800" dist="38100" dir="8100000" algn="tr" rotWithShape="0">
                <a:prstClr val="black">
                  <a:alpha val="40000"/>
                </a:prstClr>
              </a:outerShdw>
            </a:effectLst>
          </c:spPr>
          <c:marker>
            <c:symbol val="circle"/>
            <c:size val="6"/>
            <c:spPr>
              <a:solidFill>
                <a:srgbClr val="3647E3"/>
              </a:solidFill>
              <a:ln w="9525">
                <a:noFill/>
              </a:ln>
              <a:effectLst>
                <a:outerShdw blurRad="50800" dist="38100" dir="8100000" algn="tr" rotWithShape="0">
                  <a:prstClr val="black">
                    <a:alpha val="40000"/>
                  </a:prstClr>
                </a:outerShdw>
              </a:effectLst>
            </c:spPr>
          </c:marker>
          <c:xVal>
            <c:numRef>
              <c:f>Processing!$O$20</c:f>
              <c:numCache>
                <c:formatCode>0%</c:formatCode>
                <c:ptCount val="1"/>
                <c:pt idx="0">
                  <c:v>0.05</c:v>
                </c:pt>
              </c:numCache>
            </c:numRef>
          </c:xVal>
          <c:yVal>
            <c:numRef>
              <c:f>Processing!$P$20</c:f>
              <c:numCache>
                <c:formatCode>_-[$$-409]* #,##0_ ;_-[$$-409]* \-#,##0\ ;_-[$$-409]* "-"??_ ;_-@_ </c:formatCode>
                <c:ptCount val="1"/>
                <c:pt idx="0">
                  <c:v>8681.4408163265307</c:v>
                </c:pt>
              </c:numCache>
            </c:numRef>
          </c:yVal>
          <c:smooth val="0"/>
          <c:extLst>
            <c:ext xmlns:c16="http://schemas.microsoft.com/office/drawing/2014/chart" uri="{C3380CC4-5D6E-409C-BE32-E72D297353CC}">
              <c16:uniqueId val="{00000006-9734-4C1E-A22C-C51D89E6D3EA}"/>
            </c:ext>
          </c:extLst>
        </c:ser>
        <c:ser>
          <c:idx val="7"/>
          <c:order val="7"/>
          <c:spPr>
            <a:ln w="25400" cap="rnd">
              <a:noFill/>
              <a:round/>
            </a:ln>
            <a:effectLst>
              <a:outerShdw blurRad="50800" dist="38100" dir="8100000" algn="tr" rotWithShape="0">
                <a:prstClr val="black">
                  <a:alpha val="40000"/>
                </a:prstClr>
              </a:outerShdw>
            </a:effectLst>
          </c:spPr>
          <c:marker>
            <c:symbol val="circle"/>
            <c:size val="8"/>
            <c:spPr>
              <a:solidFill>
                <a:srgbClr val="00B7D2"/>
              </a:solidFill>
              <a:ln w="9525">
                <a:noFill/>
              </a:ln>
              <a:effectLst>
                <a:outerShdw blurRad="50800" dist="38100" dir="8100000" algn="tr" rotWithShape="0">
                  <a:prstClr val="black">
                    <a:alpha val="40000"/>
                  </a:prstClr>
                </a:outerShdw>
              </a:effectLst>
            </c:spPr>
          </c:marker>
          <c:xVal>
            <c:numRef>
              <c:f>Processing!$O$21</c:f>
              <c:numCache>
                <c:formatCode>0%</c:formatCode>
                <c:ptCount val="1"/>
                <c:pt idx="0">
                  <c:v>7.0000000000000007E-2</c:v>
                </c:pt>
              </c:numCache>
            </c:numRef>
          </c:xVal>
          <c:yVal>
            <c:numRef>
              <c:f>Processing!$P$21</c:f>
              <c:numCache>
                <c:formatCode>_-[$$-409]* #,##0_ ;_-[$$-409]* \-#,##0\ ;_-[$$-409]* "-"??_ ;_-@_ </c:formatCode>
                <c:ptCount val="1"/>
                <c:pt idx="0">
                  <c:v>18122.673469387755</c:v>
                </c:pt>
              </c:numCache>
            </c:numRef>
          </c:yVal>
          <c:smooth val="0"/>
          <c:extLst>
            <c:ext xmlns:c16="http://schemas.microsoft.com/office/drawing/2014/chart" uri="{C3380CC4-5D6E-409C-BE32-E72D297353CC}">
              <c16:uniqueId val="{00000007-9734-4C1E-A22C-C51D89E6D3EA}"/>
            </c:ext>
          </c:extLst>
        </c:ser>
        <c:dLbls>
          <c:showLegendKey val="0"/>
          <c:showVal val="0"/>
          <c:showCatName val="0"/>
          <c:showSerName val="0"/>
          <c:showPercent val="0"/>
          <c:showBubbleSize val="0"/>
        </c:dLbls>
        <c:axId val="1392639248"/>
        <c:axId val="1392636368"/>
      </c:scatterChart>
      <c:valAx>
        <c:axId val="1392639248"/>
        <c:scaling>
          <c:orientation val="minMax"/>
        </c:scaling>
        <c:delete val="1"/>
        <c:axPos val="b"/>
        <c:numFmt formatCode="0%" sourceLinked="1"/>
        <c:majorTickMark val="none"/>
        <c:minorTickMark val="none"/>
        <c:tickLblPos val="nextTo"/>
        <c:crossAx val="1392636368"/>
        <c:crosses val="autoZero"/>
        <c:crossBetween val="midCat"/>
      </c:valAx>
      <c:valAx>
        <c:axId val="1392636368"/>
        <c:scaling>
          <c:orientation val="minMax"/>
        </c:scaling>
        <c:delete val="1"/>
        <c:axPos val="l"/>
        <c:numFmt formatCode="_-[$$-409]* #,##0_ ;_-[$$-409]* \-#,##0\ ;_-[$$-409]* &quot;-&quot;??_ ;_-@_ " sourceLinked="1"/>
        <c:majorTickMark val="none"/>
        <c:minorTickMark val="none"/>
        <c:tickLblPos val="nextTo"/>
        <c:crossAx val="1392639248"/>
        <c:crosses val="autoZero"/>
        <c:crossBetween val="midCat"/>
      </c:valAx>
      <c:spPr>
        <a:noFill/>
        <a:ln>
          <a:noFill/>
        </a:ln>
        <a:effectLst/>
      </c:spPr>
    </c:plotArea>
    <c:legend>
      <c:legendPos val="r"/>
      <c:legendEntry>
        <c:idx val="4"/>
        <c:delete val="1"/>
      </c:legendEntry>
      <c:legendEntry>
        <c:idx val="5"/>
        <c:delete val="1"/>
      </c:legendEntry>
      <c:legendEntry>
        <c:idx val="6"/>
        <c:delete val="1"/>
      </c:legendEntry>
      <c:legendEntry>
        <c:idx val="7"/>
        <c:delete val="1"/>
      </c:legendEntry>
      <c:layout>
        <c:manualLayout>
          <c:xMode val="edge"/>
          <c:yMode val="edge"/>
          <c:x val="0.51864529330527898"/>
          <c:y val="0.24841852395569197"/>
          <c:w val="0.33460424542422912"/>
          <c:h val="0.5416025327342556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2">
                  <a:lumMod val="40000"/>
                  <a:lumOff val="6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476BEE"/>
                  </a:gs>
                  <a:gs pos="100000">
                    <a:srgbClr val="3A5CE2"/>
                  </a:gs>
                </a:gsLst>
                <a:lin ang="8100000" scaled="1"/>
              </a:gradFill>
              <a:ln w="19050">
                <a:noFill/>
              </a:ln>
              <a:effectLst/>
            </c:spPr>
            <c:extLst>
              <c:ext xmlns:c16="http://schemas.microsoft.com/office/drawing/2014/chart" uri="{C3380CC4-5D6E-409C-BE32-E72D297353CC}">
                <c16:uniqueId val="{00000001-F4C8-4B55-AEAB-B7725C25C5A9}"/>
              </c:ext>
            </c:extLst>
          </c:dPt>
          <c:dPt>
            <c:idx val="1"/>
            <c:bubble3D val="0"/>
            <c:spPr>
              <a:solidFill>
                <a:srgbClr val="8199F3"/>
              </a:solidFill>
              <a:ln w="19050">
                <a:noFill/>
              </a:ln>
              <a:effectLst/>
            </c:spPr>
            <c:extLst>
              <c:ext xmlns:c16="http://schemas.microsoft.com/office/drawing/2014/chart" uri="{C3380CC4-5D6E-409C-BE32-E72D297353CC}">
                <c16:uniqueId val="{00000003-F4C8-4B55-AEAB-B7725C25C5A9}"/>
              </c:ext>
            </c:extLst>
          </c:dPt>
          <c:dPt>
            <c:idx val="2"/>
            <c:bubble3D val="0"/>
            <c:spPr>
              <a:solidFill>
                <a:srgbClr val="CAD4FA">
                  <a:alpha val="20000"/>
                </a:srgbClr>
              </a:solidFill>
              <a:ln w="19050">
                <a:noFill/>
              </a:ln>
              <a:effectLst/>
            </c:spPr>
            <c:extLst>
              <c:ext xmlns:c16="http://schemas.microsoft.com/office/drawing/2014/chart" uri="{C3380CC4-5D6E-409C-BE32-E72D297353CC}">
                <c16:uniqueId val="{00000005-F4C8-4B55-AEAB-B7725C25C5A9}"/>
              </c:ext>
            </c:extLst>
          </c:dPt>
          <c:dPt>
            <c:idx val="3"/>
            <c:bubble3D val="0"/>
            <c:spPr>
              <a:noFill/>
              <a:ln w="19050">
                <a:noFill/>
              </a:ln>
              <a:effectLst/>
            </c:spPr>
            <c:extLst>
              <c:ext xmlns:c16="http://schemas.microsoft.com/office/drawing/2014/chart" uri="{C3380CC4-5D6E-409C-BE32-E72D297353CC}">
                <c16:uniqueId val="{00000007-F4C8-4B55-AEAB-B7725C25C5A9}"/>
              </c:ext>
            </c:extLst>
          </c:dPt>
          <c:val>
            <c:numRef>
              <c:f>Processing!$B$39:$B$42</c:f>
              <c:numCache>
                <c:formatCode>0%</c:formatCode>
                <c:ptCount val="4"/>
                <c:pt idx="0">
                  <c:v>0.13274912536443151</c:v>
                </c:pt>
                <c:pt idx="1">
                  <c:v>0.15945866684336074</c:v>
                </c:pt>
                <c:pt idx="2">
                  <c:v>0.45779220779220775</c:v>
                </c:pt>
                <c:pt idx="3">
                  <c:v>0.25</c:v>
                </c:pt>
              </c:numCache>
            </c:numRef>
          </c:val>
          <c:extLst>
            <c:ext xmlns:c16="http://schemas.microsoft.com/office/drawing/2014/chart" uri="{C3380CC4-5D6E-409C-BE32-E72D297353CC}">
              <c16:uniqueId val="{00000008-F4C8-4B55-AEAB-B7725C25C5A9}"/>
            </c:ext>
          </c:extLst>
        </c:ser>
        <c:ser>
          <c:idx val="1"/>
          <c:order val="1"/>
          <c:spPr>
            <a:noFill/>
            <a:ln>
              <a:noFill/>
            </a:ln>
          </c:spPr>
          <c:dPt>
            <c:idx val="0"/>
            <c:bubble3D val="0"/>
            <c:spPr>
              <a:noFill/>
              <a:ln w="19050">
                <a:noFill/>
              </a:ln>
              <a:effectLst/>
            </c:spPr>
            <c:extLst>
              <c:ext xmlns:c16="http://schemas.microsoft.com/office/drawing/2014/chart" uri="{C3380CC4-5D6E-409C-BE32-E72D297353CC}">
                <c16:uniqueId val="{0000000A-F4C8-4B55-AEAB-B7725C25C5A9}"/>
              </c:ext>
            </c:extLst>
          </c:dPt>
          <c:dPt>
            <c:idx val="1"/>
            <c:bubble3D val="0"/>
            <c:spPr>
              <a:noFill/>
              <a:ln w="19050">
                <a:noFill/>
              </a:ln>
              <a:effectLst/>
            </c:spPr>
            <c:extLst>
              <c:ext xmlns:c16="http://schemas.microsoft.com/office/drawing/2014/chart" uri="{C3380CC4-5D6E-409C-BE32-E72D297353CC}">
                <c16:uniqueId val="{0000000C-F4C8-4B55-AEAB-B7725C25C5A9}"/>
              </c:ext>
            </c:extLst>
          </c:dPt>
          <c:dPt>
            <c:idx val="2"/>
            <c:bubble3D val="0"/>
            <c:spPr>
              <a:noFill/>
              <a:ln w="19050">
                <a:noFill/>
              </a:ln>
              <a:effectLst/>
            </c:spPr>
            <c:extLst>
              <c:ext xmlns:c16="http://schemas.microsoft.com/office/drawing/2014/chart" uri="{C3380CC4-5D6E-409C-BE32-E72D297353CC}">
                <c16:uniqueId val="{0000000E-F4C8-4B55-AEAB-B7725C25C5A9}"/>
              </c:ext>
            </c:extLst>
          </c:dPt>
          <c:dPt>
            <c:idx val="3"/>
            <c:bubble3D val="0"/>
            <c:spPr>
              <a:noFill/>
              <a:ln w="19050">
                <a:noFill/>
              </a:ln>
              <a:effectLst/>
            </c:spPr>
            <c:extLst>
              <c:ext xmlns:c16="http://schemas.microsoft.com/office/drawing/2014/chart" uri="{C3380CC4-5D6E-409C-BE32-E72D297353CC}">
                <c16:uniqueId val="{00000010-F4C8-4B55-AEAB-B7725C25C5A9}"/>
              </c:ext>
            </c:extLst>
          </c:dPt>
          <c:val>
            <c:numRef>
              <c:f>Processing!$C$39:$C$42</c:f>
              <c:numCache>
                <c:formatCode>0%</c:formatCode>
                <c:ptCount val="4"/>
                <c:pt idx="0">
                  <c:v>0.13274912536443151</c:v>
                </c:pt>
                <c:pt idx="1">
                  <c:v>0.15945866684336074</c:v>
                </c:pt>
                <c:pt idx="2">
                  <c:v>0.45779220779220775</c:v>
                </c:pt>
                <c:pt idx="3">
                  <c:v>0.25</c:v>
                </c:pt>
              </c:numCache>
            </c:numRef>
          </c:val>
          <c:extLst>
            <c:ext xmlns:c16="http://schemas.microsoft.com/office/drawing/2014/chart" uri="{C3380CC4-5D6E-409C-BE32-E72D297353CC}">
              <c16:uniqueId val="{00000011-F4C8-4B55-AEAB-B7725C25C5A9}"/>
            </c:ext>
          </c:extLst>
        </c:ser>
        <c:ser>
          <c:idx val="2"/>
          <c:order val="2"/>
          <c:spPr>
            <a:ln>
              <a:noFill/>
            </a:ln>
          </c:spPr>
          <c:dPt>
            <c:idx val="0"/>
            <c:bubble3D val="0"/>
            <c:spPr>
              <a:gradFill>
                <a:gsLst>
                  <a:gs pos="0">
                    <a:srgbClr val="476BEE"/>
                  </a:gs>
                  <a:gs pos="100000">
                    <a:srgbClr val="3A5CE2"/>
                  </a:gs>
                </a:gsLst>
                <a:lin ang="8100000" scaled="1"/>
              </a:gradFill>
              <a:ln w="19050">
                <a:noFill/>
              </a:ln>
              <a:effectLst/>
            </c:spPr>
            <c:extLst>
              <c:ext xmlns:c16="http://schemas.microsoft.com/office/drawing/2014/chart" uri="{C3380CC4-5D6E-409C-BE32-E72D297353CC}">
                <c16:uniqueId val="{00000013-F4C8-4B55-AEAB-B7725C25C5A9}"/>
              </c:ext>
            </c:extLst>
          </c:dPt>
          <c:dPt>
            <c:idx val="1"/>
            <c:bubble3D val="0"/>
            <c:spPr>
              <a:solidFill>
                <a:srgbClr val="8199F3"/>
              </a:solidFill>
              <a:ln w="19050">
                <a:noFill/>
              </a:ln>
              <a:effectLst/>
            </c:spPr>
            <c:extLst>
              <c:ext xmlns:c16="http://schemas.microsoft.com/office/drawing/2014/chart" uri="{C3380CC4-5D6E-409C-BE32-E72D297353CC}">
                <c16:uniqueId val="{00000015-F4C8-4B55-AEAB-B7725C25C5A9}"/>
              </c:ext>
            </c:extLst>
          </c:dPt>
          <c:dPt>
            <c:idx val="2"/>
            <c:bubble3D val="0"/>
            <c:spPr>
              <a:solidFill>
                <a:srgbClr val="CAD4FA">
                  <a:alpha val="20000"/>
                </a:srgbClr>
              </a:solidFill>
              <a:ln w="19050">
                <a:noFill/>
              </a:ln>
              <a:effectLst/>
            </c:spPr>
            <c:extLst>
              <c:ext xmlns:c16="http://schemas.microsoft.com/office/drawing/2014/chart" uri="{C3380CC4-5D6E-409C-BE32-E72D297353CC}">
                <c16:uniqueId val="{00000017-F4C8-4B55-AEAB-B7725C25C5A9}"/>
              </c:ext>
            </c:extLst>
          </c:dPt>
          <c:dPt>
            <c:idx val="3"/>
            <c:bubble3D val="0"/>
            <c:spPr>
              <a:noFill/>
              <a:ln w="19050">
                <a:noFill/>
              </a:ln>
              <a:effectLst/>
            </c:spPr>
            <c:extLst>
              <c:ext xmlns:c16="http://schemas.microsoft.com/office/drawing/2014/chart" uri="{C3380CC4-5D6E-409C-BE32-E72D297353CC}">
                <c16:uniqueId val="{00000019-F4C8-4B55-AEAB-B7725C25C5A9}"/>
              </c:ext>
            </c:extLst>
          </c:dPt>
          <c:val>
            <c:numRef>
              <c:f>Processing!$D$39:$D$42</c:f>
              <c:numCache>
                <c:formatCode>0%</c:formatCode>
                <c:ptCount val="4"/>
                <c:pt idx="0">
                  <c:v>0.21390194805194804</c:v>
                </c:pt>
                <c:pt idx="1">
                  <c:v>0.35103311688311689</c:v>
                </c:pt>
                <c:pt idx="2">
                  <c:v>0.18506493506493504</c:v>
                </c:pt>
                <c:pt idx="3">
                  <c:v>0.25</c:v>
                </c:pt>
              </c:numCache>
            </c:numRef>
          </c:val>
          <c:extLst>
            <c:ext xmlns:c16="http://schemas.microsoft.com/office/drawing/2014/chart" uri="{C3380CC4-5D6E-409C-BE32-E72D297353CC}">
              <c16:uniqueId val="{0000001A-F4C8-4B55-AEAB-B7725C25C5A9}"/>
            </c:ext>
          </c:extLst>
        </c:ser>
        <c:ser>
          <c:idx val="3"/>
          <c:order val="3"/>
          <c:spPr>
            <a:noFill/>
            <a:ln>
              <a:noFill/>
            </a:ln>
          </c:spPr>
          <c:dPt>
            <c:idx val="0"/>
            <c:bubble3D val="0"/>
            <c:spPr>
              <a:noFill/>
              <a:ln w="19050">
                <a:noFill/>
              </a:ln>
              <a:effectLst/>
            </c:spPr>
            <c:extLst>
              <c:ext xmlns:c16="http://schemas.microsoft.com/office/drawing/2014/chart" uri="{C3380CC4-5D6E-409C-BE32-E72D297353CC}">
                <c16:uniqueId val="{0000001C-F4C8-4B55-AEAB-B7725C25C5A9}"/>
              </c:ext>
            </c:extLst>
          </c:dPt>
          <c:dPt>
            <c:idx val="1"/>
            <c:bubble3D val="0"/>
            <c:spPr>
              <a:noFill/>
              <a:ln w="19050">
                <a:noFill/>
              </a:ln>
              <a:effectLst/>
            </c:spPr>
            <c:extLst>
              <c:ext xmlns:c16="http://schemas.microsoft.com/office/drawing/2014/chart" uri="{C3380CC4-5D6E-409C-BE32-E72D297353CC}">
                <c16:uniqueId val="{0000001E-F4C8-4B55-AEAB-B7725C25C5A9}"/>
              </c:ext>
            </c:extLst>
          </c:dPt>
          <c:dPt>
            <c:idx val="2"/>
            <c:bubble3D val="0"/>
            <c:spPr>
              <a:noFill/>
              <a:ln w="19050">
                <a:noFill/>
              </a:ln>
              <a:effectLst/>
            </c:spPr>
            <c:extLst>
              <c:ext xmlns:c16="http://schemas.microsoft.com/office/drawing/2014/chart" uri="{C3380CC4-5D6E-409C-BE32-E72D297353CC}">
                <c16:uniqueId val="{00000020-F4C8-4B55-AEAB-B7725C25C5A9}"/>
              </c:ext>
            </c:extLst>
          </c:dPt>
          <c:dPt>
            <c:idx val="3"/>
            <c:bubble3D val="0"/>
            <c:spPr>
              <a:noFill/>
              <a:ln w="19050">
                <a:noFill/>
              </a:ln>
              <a:effectLst/>
            </c:spPr>
            <c:extLst>
              <c:ext xmlns:c16="http://schemas.microsoft.com/office/drawing/2014/chart" uri="{C3380CC4-5D6E-409C-BE32-E72D297353CC}">
                <c16:uniqueId val="{00000022-F4C8-4B55-AEAB-B7725C25C5A9}"/>
              </c:ext>
            </c:extLst>
          </c:dPt>
          <c:val>
            <c:numRef>
              <c:f>Processing!$E$39:$E$42</c:f>
              <c:numCache>
                <c:formatCode>0%</c:formatCode>
                <c:ptCount val="4"/>
                <c:pt idx="0">
                  <c:v>0.21390194805194804</c:v>
                </c:pt>
                <c:pt idx="1">
                  <c:v>0.35103311688311689</c:v>
                </c:pt>
                <c:pt idx="2">
                  <c:v>0.18506493506493504</c:v>
                </c:pt>
                <c:pt idx="3">
                  <c:v>0.25</c:v>
                </c:pt>
              </c:numCache>
            </c:numRef>
          </c:val>
          <c:extLst>
            <c:ext xmlns:c16="http://schemas.microsoft.com/office/drawing/2014/chart" uri="{C3380CC4-5D6E-409C-BE32-E72D297353CC}">
              <c16:uniqueId val="{00000023-F4C8-4B55-AEAB-B7725C25C5A9}"/>
            </c:ext>
          </c:extLst>
        </c:ser>
        <c:ser>
          <c:idx val="4"/>
          <c:order val="4"/>
          <c:spPr>
            <a:ln>
              <a:noFill/>
            </a:ln>
          </c:spPr>
          <c:dPt>
            <c:idx val="0"/>
            <c:bubble3D val="0"/>
            <c:spPr>
              <a:gradFill>
                <a:gsLst>
                  <a:gs pos="0">
                    <a:srgbClr val="476BEE"/>
                  </a:gs>
                  <a:gs pos="100000">
                    <a:srgbClr val="3A5CE2"/>
                  </a:gs>
                </a:gsLst>
                <a:lin ang="8100000" scaled="1"/>
              </a:gradFill>
              <a:ln w="19050">
                <a:noFill/>
              </a:ln>
              <a:effectLst/>
            </c:spPr>
            <c:extLst>
              <c:ext xmlns:c16="http://schemas.microsoft.com/office/drawing/2014/chart" uri="{C3380CC4-5D6E-409C-BE32-E72D297353CC}">
                <c16:uniqueId val="{00000025-F4C8-4B55-AEAB-B7725C25C5A9}"/>
              </c:ext>
            </c:extLst>
          </c:dPt>
          <c:dPt>
            <c:idx val="1"/>
            <c:bubble3D val="0"/>
            <c:spPr>
              <a:solidFill>
                <a:srgbClr val="8199F3"/>
              </a:solidFill>
              <a:ln w="19050">
                <a:noFill/>
              </a:ln>
              <a:effectLst/>
            </c:spPr>
            <c:extLst>
              <c:ext xmlns:c16="http://schemas.microsoft.com/office/drawing/2014/chart" uri="{C3380CC4-5D6E-409C-BE32-E72D297353CC}">
                <c16:uniqueId val="{00000027-F4C8-4B55-AEAB-B7725C25C5A9}"/>
              </c:ext>
            </c:extLst>
          </c:dPt>
          <c:dPt>
            <c:idx val="2"/>
            <c:bubble3D val="0"/>
            <c:spPr>
              <a:solidFill>
                <a:srgbClr val="CAD4FA">
                  <a:alpha val="20000"/>
                </a:srgbClr>
              </a:solidFill>
              <a:ln w="19050">
                <a:noFill/>
              </a:ln>
              <a:effectLst/>
            </c:spPr>
            <c:extLst>
              <c:ext xmlns:c16="http://schemas.microsoft.com/office/drawing/2014/chart" uri="{C3380CC4-5D6E-409C-BE32-E72D297353CC}">
                <c16:uniqueId val="{00000029-F4C8-4B55-AEAB-B7725C25C5A9}"/>
              </c:ext>
            </c:extLst>
          </c:dPt>
          <c:dPt>
            <c:idx val="3"/>
            <c:bubble3D val="0"/>
            <c:spPr>
              <a:noFill/>
              <a:ln w="19050">
                <a:noFill/>
              </a:ln>
              <a:effectLst/>
            </c:spPr>
            <c:extLst>
              <c:ext xmlns:c16="http://schemas.microsoft.com/office/drawing/2014/chart" uri="{C3380CC4-5D6E-409C-BE32-E72D297353CC}">
                <c16:uniqueId val="{0000002B-F4C8-4B55-AEAB-B7725C25C5A9}"/>
              </c:ext>
            </c:extLst>
          </c:dPt>
          <c:val>
            <c:numRef>
              <c:f>Processing!$F$39:$F$42</c:f>
              <c:numCache>
                <c:formatCode>0%</c:formatCode>
                <c:ptCount val="4"/>
                <c:pt idx="0">
                  <c:v>0.28286899019347994</c:v>
                </c:pt>
                <c:pt idx="1">
                  <c:v>0.35024789292340314</c:v>
                </c:pt>
                <c:pt idx="2">
                  <c:v>0.11688311688311692</c:v>
                </c:pt>
                <c:pt idx="3">
                  <c:v>0.25</c:v>
                </c:pt>
              </c:numCache>
            </c:numRef>
          </c:val>
          <c:extLst>
            <c:ext xmlns:c16="http://schemas.microsoft.com/office/drawing/2014/chart" uri="{C3380CC4-5D6E-409C-BE32-E72D297353CC}">
              <c16:uniqueId val="{0000002C-F4C8-4B55-AEAB-B7725C25C5A9}"/>
            </c:ext>
          </c:extLst>
        </c:ser>
        <c:ser>
          <c:idx val="5"/>
          <c:order val="5"/>
          <c:spPr>
            <a:noFill/>
            <a:ln>
              <a:noFill/>
            </a:ln>
          </c:spPr>
          <c:dPt>
            <c:idx val="0"/>
            <c:bubble3D val="0"/>
            <c:spPr>
              <a:noFill/>
              <a:ln w="19050">
                <a:noFill/>
              </a:ln>
              <a:effectLst/>
            </c:spPr>
            <c:extLst>
              <c:ext xmlns:c16="http://schemas.microsoft.com/office/drawing/2014/chart" uri="{C3380CC4-5D6E-409C-BE32-E72D297353CC}">
                <c16:uniqueId val="{0000002E-F4C8-4B55-AEAB-B7725C25C5A9}"/>
              </c:ext>
            </c:extLst>
          </c:dPt>
          <c:dPt>
            <c:idx val="1"/>
            <c:bubble3D val="0"/>
            <c:spPr>
              <a:noFill/>
              <a:ln w="19050">
                <a:noFill/>
              </a:ln>
              <a:effectLst/>
            </c:spPr>
            <c:extLst>
              <c:ext xmlns:c16="http://schemas.microsoft.com/office/drawing/2014/chart" uri="{C3380CC4-5D6E-409C-BE32-E72D297353CC}">
                <c16:uniqueId val="{00000030-F4C8-4B55-AEAB-B7725C25C5A9}"/>
              </c:ext>
            </c:extLst>
          </c:dPt>
          <c:dPt>
            <c:idx val="2"/>
            <c:bubble3D val="0"/>
            <c:spPr>
              <a:noFill/>
              <a:ln w="19050">
                <a:noFill/>
              </a:ln>
              <a:effectLst/>
            </c:spPr>
            <c:extLst>
              <c:ext xmlns:c16="http://schemas.microsoft.com/office/drawing/2014/chart" uri="{C3380CC4-5D6E-409C-BE32-E72D297353CC}">
                <c16:uniqueId val="{00000032-F4C8-4B55-AEAB-B7725C25C5A9}"/>
              </c:ext>
            </c:extLst>
          </c:dPt>
          <c:dPt>
            <c:idx val="3"/>
            <c:bubble3D val="0"/>
            <c:spPr>
              <a:noFill/>
              <a:ln w="19050">
                <a:noFill/>
              </a:ln>
              <a:effectLst/>
            </c:spPr>
            <c:extLst>
              <c:ext xmlns:c16="http://schemas.microsoft.com/office/drawing/2014/chart" uri="{C3380CC4-5D6E-409C-BE32-E72D297353CC}">
                <c16:uniqueId val="{00000034-F4C8-4B55-AEAB-B7725C25C5A9}"/>
              </c:ext>
            </c:extLst>
          </c:dPt>
          <c:val>
            <c:numRef>
              <c:f>Processing!$G$39:$G$42</c:f>
              <c:numCache>
                <c:formatCode>0%</c:formatCode>
                <c:ptCount val="4"/>
                <c:pt idx="0">
                  <c:v>0.28286899019347994</c:v>
                </c:pt>
                <c:pt idx="1">
                  <c:v>0.35024789292340314</c:v>
                </c:pt>
                <c:pt idx="2">
                  <c:v>0.11688311688311692</c:v>
                </c:pt>
                <c:pt idx="3">
                  <c:v>0.25</c:v>
                </c:pt>
              </c:numCache>
            </c:numRef>
          </c:val>
          <c:extLst>
            <c:ext xmlns:c16="http://schemas.microsoft.com/office/drawing/2014/chart" uri="{C3380CC4-5D6E-409C-BE32-E72D297353CC}">
              <c16:uniqueId val="{00000035-F4C8-4B55-AEAB-B7725C25C5A9}"/>
            </c:ext>
          </c:extLst>
        </c:ser>
        <c:ser>
          <c:idx val="6"/>
          <c:order val="6"/>
          <c:spPr>
            <a:ln>
              <a:noFill/>
            </a:ln>
          </c:spPr>
          <c:dPt>
            <c:idx val="0"/>
            <c:bubble3D val="0"/>
            <c:spPr>
              <a:gradFill>
                <a:gsLst>
                  <a:gs pos="0">
                    <a:srgbClr val="476BEE"/>
                  </a:gs>
                  <a:gs pos="100000">
                    <a:srgbClr val="3A5CE2"/>
                  </a:gs>
                </a:gsLst>
                <a:lin ang="8100000" scaled="1"/>
              </a:gradFill>
              <a:ln w="19050">
                <a:noFill/>
              </a:ln>
              <a:effectLst/>
            </c:spPr>
            <c:extLst>
              <c:ext xmlns:c16="http://schemas.microsoft.com/office/drawing/2014/chart" uri="{C3380CC4-5D6E-409C-BE32-E72D297353CC}">
                <c16:uniqueId val="{00000037-F4C8-4B55-AEAB-B7725C25C5A9}"/>
              </c:ext>
            </c:extLst>
          </c:dPt>
          <c:dPt>
            <c:idx val="1"/>
            <c:bubble3D val="0"/>
            <c:spPr>
              <a:solidFill>
                <a:srgbClr val="8199F3"/>
              </a:solidFill>
              <a:ln w="19050">
                <a:noFill/>
              </a:ln>
              <a:effectLst/>
            </c:spPr>
            <c:extLst>
              <c:ext xmlns:c16="http://schemas.microsoft.com/office/drawing/2014/chart" uri="{C3380CC4-5D6E-409C-BE32-E72D297353CC}">
                <c16:uniqueId val="{00000039-F4C8-4B55-AEAB-B7725C25C5A9}"/>
              </c:ext>
            </c:extLst>
          </c:dPt>
          <c:dPt>
            <c:idx val="2"/>
            <c:bubble3D val="0"/>
            <c:spPr>
              <a:solidFill>
                <a:schemeClr val="accent3"/>
              </a:solidFill>
              <a:ln w="19050">
                <a:noFill/>
              </a:ln>
              <a:effectLst/>
            </c:spPr>
            <c:extLst>
              <c:ext xmlns:c16="http://schemas.microsoft.com/office/drawing/2014/chart" uri="{C3380CC4-5D6E-409C-BE32-E72D297353CC}">
                <c16:uniqueId val="{0000003B-F4C8-4B55-AEAB-B7725C25C5A9}"/>
              </c:ext>
            </c:extLst>
          </c:dPt>
          <c:dPt>
            <c:idx val="3"/>
            <c:bubble3D val="0"/>
            <c:spPr>
              <a:noFill/>
              <a:ln w="19050">
                <a:noFill/>
              </a:ln>
              <a:effectLst/>
            </c:spPr>
            <c:extLst>
              <c:ext xmlns:c16="http://schemas.microsoft.com/office/drawing/2014/chart" uri="{C3380CC4-5D6E-409C-BE32-E72D297353CC}">
                <c16:uniqueId val="{0000003D-F4C8-4B55-AEAB-B7725C25C5A9}"/>
              </c:ext>
            </c:extLst>
          </c:dPt>
          <c:val>
            <c:numRef>
              <c:f>Processing!$H$39:$H$42</c:f>
              <c:numCache>
                <c:formatCode>0%</c:formatCode>
                <c:ptCount val="4"/>
                <c:pt idx="0">
                  <c:v>0.46508324940365753</c:v>
                </c:pt>
                <c:pt idx="1">
                  <c:v>0.28491675059634247</c:v>
                </c:pt>
                <c:pt idx="2">
                  <c:v>0</c:v>
                </c:pt>
                <c:pt idx="3">
                  <c:v>0.25</c:v>
                </c:pt>
              </c:numCache>
            </c:numRef>
          </c:val>
          <c:extLst>
            <c:ext xmlns:c16="http://schemas.microsoft.com/office/drawing/2014/chart" uri="{C3380CC4-5D6E-409C-BE32-E72D297353CC}">
              <c16:uniqueId val="{0000003E-F4C8-4B55-AEAB-B7725C25C5A9}"/>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svg"/><Relationship Id="rId26" Type="http://schemas.openxmlformats.org/officeDocument/2006/relationships/image" Target="../media/image19.png"/><Relationship Id="rId3" Type="http://schemas.openxmlformats.org/officeDocument/2006/relationships/image" Target="../media/image3.png"/><Relationship Id="rId21" Type="http://schemas.openxmlformats.org/officeDocument/2006/relationships/chart" Target="../charts/chart3.xml"/><Relationship Id="rId34" Type="http://schemas.openxmlformats.org/officeDocument/2006/relationships/image" Target="../media/image27.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5" Type="http://schemas.openxmlformats.org/officeDocument/2006/relationships/chart" Target="../charts/chart7.xml"/><Relationship Id="rId33" Type="http://schemas.openxmlformats.org/officeDocument/2006/relationships/image" Target="../media/image26.svg"/><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chart" Target="../charts/chart2.xml"/><Relationship Id="rId29" Type="http://schemas.openxmlformats.org/officeDocument/2006/relationships/image" Target="../media/image2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chart" Target="../charts/chart6.xml"/><Relationship Id="rId32" Type="http://schemas.openxmlformats.org/officeDocument/2006/relationships/image" Target="../media/image2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chart" Target="../charts/chart5.xml"/><Relationship Id="rId28" Type="http://schemas.openxmlformats.org/officeDocument/2006/relationships/image" Target="../media/image21.png"/><Relationship Id="rId10" Type="http://schemas.openxmlformats.org/officeDocument/2006/relationships/image" Target="../media/image10.svg"/><Relationship Id="rId19" Type="http://schemas.openxmlformats.org/officeDocument/2006/relationships/chart" Target="../charts/chart1.xml"/><Relationship Id="rId31" Type="http://schemas.openxmlformats.org/officeDocument/2006/relationships/image" Target="../media/image24.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chart" Target="../charts/chart4.xml"/><Relationship Id="rId27" Type="http://schemas.openxmlformats.org/officeDocument/2006/relationships/image" Target="../media/image20.svg"/><Relationship Id="rId30" Type="http://schemas.openxmlformats.org/officeDocument/2006/relationships/image" Target="../media/image23.png"/><Relationship Id="rId35" Type="http://schemas.openxmlformats.org/officeDocument/2006/relationships/image" Target="../media/image28.svg"/><Relationship Id="rId8"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251460</xdr:colOff>
      <xdr:row>2</xdr:row>
      <xdr:rowOff>0</xdr:rowOff>
    </xdr:from>
    <xdr:to>
      <xdr:col>23</xdr:col>
      <xdr:colOff>38100</xdr:colOff>
      <xdr:row>42</xdr:row>
      <xdr:rowOff>0</xdr:rowOff>
    </xdr:to>
    <xdr:sp macro="" textlink="">
      <xdr:nvSpPr>
        <xdr:cNvPr id="4" name="Rectangle: Rounded Corners 3">
          <a:extLst>
            <a:ext uri="{FF2B5EF4-FFF2-40B4-BE49-F238E27FC236}">
              <a16:creationId xmlns:a16="http://schemas.microsoft.com/office/drawing/2014/main" id="{5979B11A-9E6E-41B5-9487-4CC3ED1D64F6}"/>
            </a:ext>
          </a:extLst>
        </xdr:cNvPr>
        <xdr:cNvSpPr/>
      </xdr:nvSpPr>
      <xdr:spPr>
        <a:xfrm>
          <a:off x="251460" y="365760"/>
          <a:ext cx="13807440" cy="7315200"/>
        </a:xfrm>
        <a:prstGeom prst="roundRect">
          <a:avLst>
            <a:gd name="adj" fmla="val 6146"/>
          </a:avLst>
        </a:prstGeom>
        <a:gradFill flip="none" rotWithShape="1">
          <a:gsLst>
            <a:gs pos="0">
              <a:schemeClr val="accent1">
                <a:lumMod val="5000"/>
                <a:lumOff val="95000"/>
              </a:schemeClr>
            </a:gs>
            <a:gs pos="1000">
              <a:srgbClr val="1F2357"/>
            </a:gs>
            <a:gs pos="75000">
              <a:srgbClr val="10123B"/>
            </a:gs>
          </a:gsLst>
          <a:lin ang="8100000" scaled="1"/>
          <a:tileRect/>
        </a:gradFill>
        <a:ln w="9525">
          <a:gradFill flip="none" rotWithShape="1">
            <a:gsLst>
              <a:gs pos="0">
                <a:srgbClr val="4647A6"/>
              </a:gs>
              <a:gs pos="100000">
                <a:srgbClr val="333787"/>
              </a:gs>
            </a:gsLst>
            <a:lin ang="8100000" scaled="1"/>
            <a:tileRect/>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495300</xdr:colOff>
      <xdr:row>3</xdr:row>
      <xdr:rowOff>137160</xdr:rowOff>
    </xdr:from>
    <xdr:to>
      <xdr:col>22</xdr:col>
      <xdr:colOff>251460</xdr:colOff>
      <xdr:row>40</xdr:row>
      <xdr:rowOff>45720</xdr:rowOff>
    </xdr:to>
    <xdr:sp macro="" textlink="">
      <xdr:nvSpPr>
        <xdr:cNvPr id="5" name="Rectangle: Rounded Corners 4">
          <a:extLst>
            <a:ext uri="{FF2B5EF4-FFF2-40B4-BE49-F238E27FC236}">
              <a16:creationId xmlns:a16="http://schemas.microsoft.com/office/drawing/2014/main" id="{6BD5530E-DFB0-4A8F-B726-8EAF22736538}"/>
            </a:ext>
          </a:extLst>
        </xdr:cNvPr>
        <xdr:cNvSpPr/>
      </xdr:nvSpPr>
      <xdr:spPr>
        <a:xfrm>
          <a:off x="495300" y="685800"/>
          <a:ext cx="13167360" cy="6675120"/>
        </a:xfrm>
        <a:prstGeom prst="roundRect">
          <a:avLst>
            <a:gd name="adj" fmla="val 6131"/>
          </a:avLst>
        </a:prstGeom>
        <a:gradFill flip="none" rotWithShape="1">
          <a:gsLst>
            <a:gs pos="0">
              <a:srgbClr val="20245A"/>
            </a:gs>
            <a:gs pos="1000">
              <a:srgbClr val="1F2357"/>
            </a:gs>
            <a:gs pos="75000">
              <a:srgbClr val="10123B"/>
            </a:gs>
          </a:gsLst>
          <a:lin ang="8100000" scaled="1"/>
          <a:tileRect/>
        </a:gradFill>
        <a:ln w="9525">
          <a:gradFill flip="none" rotWithShape="1">
            <a:gsLst>
              <a:gs pos="33000">
                <a:srgbClr val="3D4098"/>
              </a:gs>
              <a:gs pos="0">
                <a:srgbClr val="B9C1FF"/>
              </a:gs>
              <a:gs pos="100000">
                <a:srgbClr val="333787">
                  <a:alpha val="98000"/>
                </a:srgbClr>
              </a:gs>
            </a:gsLst>
            <a:lin ang="9000000" scaled="0"/>
            <a:tileRect/>
          </a:gradFill>
        </a:ln>
        <a:effectLst>
          <a:outerShdw blurRad="444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245214</xdr:colOff>
      <xdr:row>9</xdr:row>
      <xdr:rowOff>57695</xdr:rowOff>
    </xdr:from>
    <xdr:to>
      <xdr:col>3</xdr:col>
      <xdr:colOff>306174</xdr:colOff>
      <xdr:row>38</xdr:row>
      <xdr:rowOff>129540</xdr:rowOff>
    </xdr:to>
    <xdr:sp macro="" textlink="">
      <xdr:nvSpPr>
        <xdr:cNvPr id="6" name="Rectangle: Rounded Corners 5">
          <a:extLst>
            <a:ext uri="{FF2B5EF4-FFF2-40B4-BE49-F238E27FC236}">
              <a16:creationId xmlns:a16="http://schemas.microsoft.com/office/drawing/2014/main" id="{423DD7B7-207E-47D5-8405-B8EBA08E3826}"/>
            </a:ext>
          </a:extLst>
        </xdr:cNvPr>
        <xdr:cNvSpPr/>
      </xdr:nvSpPr>
      <xdr:spPr>
        <a:xfrm>
          <a:off x="854814" y="1703615"/>
          <a:ext cx="1280160" cy="5375365"/>
        </a:xfrm>
        <a:prstGeom prst="roundRect">
          <a:avLst>
            <a:gd name="adj" fmla="val 22534"/>
          </a:avLst>
        </a:prstGeom>
        <a:gradFill>
          <a:gsLst>
            <a:gs pos="0">
              <a:srgbClr val="323687"/>
            </a:gs>
            <a:gs pos="47000">
              <a:srgbClr val="10123A">
                <a:alpha val="97647"/>
              </a:srgbClr>
            </a:gs>
          </a:gsLst>
          <a:lin ang="7800000" scaled="0"/>
        </a:gradFill>
        <a:ln w="9525">
          <a:gradFill>
            <a:gsLst>
              <a:gs pos="0">
                <a:srgbClr val="A2D8F0"/>
              </a:gs>
              <a:gs pos="38000">
                <a:srgbClr val="5D63D1"/>
              </a:gs>
              <a:gs pos="100000">
                <a:srgbClr val="2E327A"/>
              </a:gs>
            </a:gsLst>
            <a:lin ang="5400000" scaled="1"/>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560614</xdr:colOff>
      <xdr:row>5</xdr:row>
      <xdr:rowOff>55517</xdr:rowOff>
    </xdr:from>
    <xdr:to>
      <xdr:col>22</xdr:col>
      <xdr:colOff>42454</xdr:colOff>
      <xdr:row>7</xdr:row>
      <xdr:rowOff>140426</xdr:rowOff>
    </xdr:to>
    <xdr:sp macro="" textlink="">
      <xdr:nvSpPr>
        <xdr:cNvPr id="7" name="Rectangle: Rounded Corners 6">
          <a:extLst>
            <a:ext uri="{FF2B5EF4-FFF2-40B4-BE49-F238E27FC236}">
              <a16:creationId xmlns:a16="http://schemas.microsoft.com/office/drawing/2014/main" id="{184D31ED-D7A4-48B1-8AB1-819CFF3F4EAE}"/>
            </a:ext>
          </a:extLst>
        </xdr:cNvPr>
        <xdr:cNvSpPr/>
      </xdr:nvSpPr>
      <xdr:spPr>
        <a:xfrm>
          <a:off x="2389414" y="969917"/>
          <a:ext cx="11064240" cy="450669"/>
        </a:xfrm>
        <a:prstGeom prst="roundRect">
          <a:avLst>
            <a:gd name="adj" fmla="val 50000"/>
          </a:avLst>
        </a:prstGeom>
        <a:gradFill>
          <a:gsLst>
            <a:gs pos="85000">
              <a:srgbClr val="181B4C"/>
            </a:gs>
            <a:gs pos="10000">
              <a:srgbClr val="2D317C"/>
            </a:gs>
            <a:gs pos="0">
              <a:srgbClr val="323687"/>
            </a:gs>
            <a:gs pos="100000">
              <a:srgbClr val="10123A">
                <a:alpha val="97255"/>
              </a:srgbClr>
            </a:gs>
          </a:gsLst>
          <a:lin ang="6600000" scaled="0"/>
        </a:gradFill>
        <a:ln w="9525">
          <a:gradFill>
            <a:gsLst>
              <a:gs pos="0">
                <a:srgbClr val="A2D8F0"/>
              </a:gs>
              <a:gs pos="38000">
                <a:srgbClr val="5D63D1"/>
              </a:gs>
              <a:gs pos="100000">
                <a:srgbClr val="2E327A"/>
              </a:gs>
            </a:gsLst>
            <a:lin ang="5400000" scaled="1"/>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510540</xdr:colOff>
      <xdr:row>9</xdr:row>
      <xdr:rowOff>94705</xdr:rowOff>
    </xdr:from>
    <xdr:to>
      <xdr:col>13</xdr:col>
      <xdr:colOff>83820</xdr:colOff>
      <xdr:row>23</xdr:row>
      <xdr:rowOff>109945</xdr:rowOff>
    </xdr:to>
    <xdr:sp macro="" textlink="">
      <xdr:nvSpPr>
        <xdr:cNvPr id="8" name="Rectangle: Rounded Corners 7">
          <a:extLst>
            <a:ext uri="{FF2B5EF4-FFF2-40B4-BE49-F238E27FC236}">
              <a16:creationId xmlns:a16="http://schemas.microsoft.com/office/drawing/2014/main" id="{3A83B87C-7FED-43F7-9FFC-E2C205AA2337}"/>
            </a:ext>
          </a:extLst>
        </xdr:cNvPr>
        <xdr:cNvSpPr/>
      </xdr:nvSpPr>
      <xdr:spPr>
        <a:xfrm>
          <a:off x="2339340" y="1740625"/>
          <a:ext cx="5669280" cy="2575560"/>
        </a:xfrm>
        <a:prstGeom prst="roundRect">
          <a:avLst>
            <a:gd name="adj" fmla="val 10819"/>
          </a:avLst>
        </a:prstGeom>
        <a:gradFill>
          <a:gsLst>
            <a:gs pos="0">
              <a:srgbClr val="323687"/>
            </a:gs>
            <a:gs pos="80000">
              <a:srgbClr val="10123A">
                <a:alpha val="97647"/>
              </a:srgbClr>
            </a:gs>
          </a:gsLst>
          <a:lin ang="6600000" scaled="0"/>
        </a:gradFill>
        <a:ln w="9525">
          <a:gradFill>
            <a:gsLst>
              <a:gs pos="0">
                <a:srgbClr val="A2D8F0"/>
              </a:gs>
              <a:gs pos="38000">
                <a:srgbClr val="5D63D1"/>
              </a:gs>
              <a:gs pos="100000">
                <a:srgbClr val="2E327A"/>
              </a:gs>
            </a:gsLst>
            <a:lin ang="5400000" scaled="1"/>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353785</xdr:colOff>
      <xdr:row>9</xdr:row>
      <xdr:rowOff>116477</xdr:rowOff>
    </xdr:from>
    <xdr:to>
      <xdr:col>17</xdr:col>
      <xdr:colOff>292825</xdr:colOff>
      <xdr:row>23</xdr:row>
      <xdr:rowOff>129540</xdr:rowOff>
    </xdr:to>
    <xdr:sp macro="" textlink="">
      <xdr:nvSpPr>
        <xdr:cNvPr id="9" name="Rectangle: Rounded Corners 8">
          <a:extLst>
            <a:ext uri="{FF2B5EF4-FFF2-40B4-BE49-F238E27FC236}">
              <a16:creationId xmlns:a16="http://schemas.microsoft.com/office/drawing/2014/main" id="{A2B9A07E-2C62-4F27-B811-697F2D9220BE}"/>
            </a:ext>
          </a:extLst>
        </xdr:cNvPr>
        <xdr:cNvSpPr/>
      </xdr:nvSpPr>
      <xdr:spPr>
        <a:xfrm>
          <a:off x="8278585" y="1762397"/>
          <a:ext cx="2377440" cy="2573383"/>
        </a:xfrm>
        <a:prstGeom prst="roundRect">
          <a:avLst>
            <a:gd name="adj" fmla="val 11630"/>
          </a:avLst>
        </a:prstGeom>
        <a:gradFill>
          <a:gsLst>
            <a:gs pos="0">
              <a:srgbClr val="323687"/>
            </a:gs>
            <a:gs pos="86000">
              <a:srgbClr val="10123A">
                <a:alpha val="97647"/>
              </a:srgbClr>
            </a:gs>
          </a:gsLst>
          <a:lin ang="6600000" scaled="0"/>
        </a:gradFill>
        <a:ln w="9525">
          <a:gradFill>
            <a:gsLst>
              <a:gs pos="0">
                <a:srgbClr val="A2D8F0"/>
              </a:gs>
              <a:gs pos="38000">
                <a:srgbClr val="5D63D1"/>
              </a:gs>
              <a:gs pos="100000">
                <a:srgbClr val="2E327A"/>
              </a:gs>
            </a:gsLst>
            <a:lin ang="5400000" scaled="1"/>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495300</xdr:colOff>
      <xdr:row>9</xdr:row>
      <xdr:rowOff>129540</xdr:rowOff>
    </xdr:from>
    <xdr:to>
      <xdr:col>22</xdr:col>
      <xdr:colOff>7620</xdr:colOff>
      <xdr:row>22</xdr:row>
      <xdr:rowOff>11974</xdr:rowOff>
    </xdr:to>
    <xdr:sp macro="" textlink="">
      <xdr:nvSpPr>
        <xdr:cNvPr id="10" name="Rectangle: Rounded Corners 9">
          <a:extLst>
            <a:ext uri="{FF2B5EF4-FFF2-40B4-BE49-F238E27FC236}">
              <a16:creationId xmlns:a16="http://schemas.microsoft.com/office/drawing/2014/main" id="{5701C467-E81A-498F-9E43-83902B0B781A}"/>
            </a:ext>
          </a:extLst>
        </xdr:cNvPr>
        <xdr:cNvSpPr/>
      </xdr:nvSpPr>
      <xdr:spPr>
        <a:xfrm>
          <a:off x="10858500" y="1775460"/>
          <a:ext cx="2560320" cy="2259874"/>
        </a:xfrm>
        <a:prstGeom prst="roundRect">
          <a:avLst>
            <a:gd name="adj" fmla="val 10000"/>
          </a:avLst>
        </a:prstGeom>
        <a:gradFill>
          <a:gsLst>
            <a:gs pos="0">
              <a:srgbClr val="323687"/>
            </a:gs>
            <a:gs pos="100000">
              <a:srgbClr val="10123A">
                <a:alpha val="97647"/>
              </a:srgbClr>
            </a:gs>
          </a:gsLst>
          <a:lin ang="6600000" scaled="0"/>
        </a:gradFill>
        <a:ln w="9525">
          <a:gradFill>
            <a:gsLst>
              <a:gs pos="0">
                <a:srgbClr val="A2D8F0"/>
              </a:gs>
              <a:gs pos="38000">
                <a:srgbClr val="5D63D1"/>
              </a:gs>
              <a:gs pos="100000">
                <a:srgbClr val="2E327A"/>
              </a:gs>
            </a:gsLst>
            <a:lin ang="5400000" scaled="1"/>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510540</xdr:colOff>
      <xdr:row>24</xdr:row>
      <xdr:rowOff>160020</xdr:rowOff>
    </xdr:from>
    <xdr:to>
      <xdr:col>7</xdr:col>
      <xdr:colOff>495300</xdr:colOff>
      <xdr:row>38</xdr:row>
      <xdr:rowOff>129540</xdr:rowOff>
    </xdr:to>
    <xdr:sp macro="" textlink="">
      <xdr:nvSpPr>
        <xdr:cNvPr id="11" name="Rectangle: Rounded Corners 10">
          <a:extLst>
            <a:ext uri="{FF2B5EF4-FFF2-40B4-BE49-F238E27FC236}">
              <a16:creationId xmlns:a16="http://schemas.microsoft.com/office/drawing/2014/main" id="{69B2CED5-715D-43AA-B16F-3DA08A21D609}"/>
            </a:ext>
          </a:extLst>
        </xdr:cNvPr>
        <xdr:cNvSpPr/>
      </xdr:nvSpPr>
      <xdr:spPr>
        <a:xfrm>
          <a:off x="2339340" y="4549140"/>
          <a:ext cx="2423160" cy="2529840"/>
        </a:xfrm>
        <a:prstGeom prst="roundRect">
          <a:avLst>
            <a:gd name="adj" fmla="val 11725"/>
          </a:avLst>
        </a:prstGeom>
        <a:gradFill>
          <a:gsLst>
            <a:gs pos="0">
              <a:srgbClr val="323687"/>
            </a:gs>
            <a:gs pos="24000">
              <a:srgbClr val="10123A">
                <a:alpha val="97647"/>
              </a:srgbClr>
            </a:gs>
          </a:gsLst>
          <a:lin ang="6000000" scaled="0"/>
        </a:gradFill>
        <a:ln w="9525">
          <a:gradFill>
            <a:gsLst>
              <a:gs pos="0">
                <a:srgbClr val="A2D8F0"/>
              </a:gs>
              <a:gs pos="38000">
                <a:srgbClr val="5D63D1"/>
              </a:gs>
              <a:gs pos="100000">
                <a:srgbClr val="2E327A"/>
              </a:gs>
            </a:gsLst>
            <a:lin ang="5400000" scaled="1"/>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414745</xdr:colOff>
      <xdr:row>24</xdr:row>
      <xdr:rowOff>160020</xdr:rowOff>
    </xdr:from>
    <xdr:to>
      <xdr:col>17</xdr:col>
      <xdr:colOff>292825</xdr:colOff>
      <xdr:row>38</xdr:row>
      <xdr:rowOff>129540</xdr:rowOff>
    </xdr:to>
    <xdr:sp macro="" textlink="">
      <xdr:nvSpPr>
        <xdr:cNvPr id="12" name="Rectangle: Rounded Corners 11">
          <a:extLst>
            <a:ext uri="{FF2B5EF4-FFF2-40B4-BE49-F238E27FC236}">
              <a16:creationId xmlns:a16="http://schemas.microsoft.com/office/drawing/2014/main" id="{F878B221-C1AE-4EB6-A982-AF79B91EADD8}"/>
            </a:ext>
          </a:extLst>
        </xdr:cNvPr>
        <xdr:cNvSpPr/>
      </xdr:nvSpPr>
      <xdr:spPr>
        <a:xfrm>
          <a:off x="7729945" y="4549140"/>
          <a:ext cx="2926080" cy="2529840"/>
        </a:xfrm>
        <a:prstGeom prst="roundRect">
          <a:avLst>
            <a:gd name="adj" fmla="val 11990"/>
          </a:avLst>
        </a:prstGeom>
        <a:gradFill>
          <a:gsLst>
            <a:gs pos="0">
              <a:srgbClr val="323687"/>
            </a:gs>
            <a:gs pos="68000">
              <a:srgbClr val="10123A">
                <a:alpha val="97647"/>
              </a:srgbClr>
            </a:gs>
          </a:gsLst>
          <a:lin ang="6600000" scaled="0"/>
        </a:gradFill>
        <a:ln w="9525">
          <a:gradFill>
            <a:gsLst>
              <a:gs pos="0">
                <a:srgbClr val="A2D8F0"/>
              </a:gs>
              <a:gs pos="38000">
                <a:srgbClr val="5D63D1"/>
              </a:gs>
              <a:gs pos="100000">
                <a:srgbClr val="2E327A"/>
              </a:gs>
            </a:gsLst>
            <a:lin ang="5400000" scaled="1"/>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twoCellAnchor>
    <xdr:from>
      <xdr:col>17</xdr:col>
      <xdr:colOff>495300</xdr:colOff>
      <xdr:row>23</xdr:row>
      <xdr:rowOff>27215</xdr:rowOff>
    </xdr:from>
    <xdr:to>
      <xdr:col>22</xdr:col>
      <xdr:colOff>7620</xdr:colOff>
      <xdr:row>38</xdr:row>
      <xdr:rowOff>129540</xdr:rowOff>
    </xdr:to>
    <xdr:sp macro="" textlink="">
      <xdr:nvSpPr>
        <xdr:cNvPr id="13" name="Rectangle: Rounded Corners 12">
          <a:extLst>
            <a:ext uri="{FF2B5EF4-FFF2-40B4-BE49-F238E27FC236}">
              <a16:creationId xmlns:a16="http://schemas.microsoft.com/office/drawing/2014/main" id="{47640038-2B13-4534-9795-2F98A75E6C8C}"/>
            </a:ext>
          </a:extLst>
        </xdr:cNvPr>
        <xdr:cNvSpPr/>
      </xdr:nvSpPr>
      <xdr:spPr>
        <a:xfrm>
          <a:off x="10858500" y="4233455"/>
          <a:ext cx="2560320" cy="2845525"/>
        </a:xfrm>
        <a:prstGeom prst="roundRect">
          <a:avLst>
            <a:gd name="adj" fmla="val 11140"/>
          </a:avLst>
        </a:prstGeom>
        <a:gradFill>
          <a:gsLst>
            <a:gs pos="0">
              <a:srgbClr val="323687"/>
            </a:gs>
            <a:gs pos="74000">
              <a:srgbClr val="10123A">
                <a:alpha val="97647"/>
              </a:srgbClr>
            </a:gs>
          </a:gsLst>
          <a:lin ang="6600000" scaled="0"/>
        </a:gradFill>
        <a:ln w="9525">
          <a:gradFill>
            <a:gsLst>
              <a:gs pos="0">
                <a:srgbClr val="A2D8F0"/>
              </a:gs>
              <a:gs pos="38000">
                <a:srgbClr val="5D63D1"/>
              </a:gs>
              <a:gs pos="100000">
                <a:srgbClr val="2E327A"/>
              </a:gs>
            </a:gsLst>
            <a:lin ang="5400000" scaled="1"/>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8</xdr:col>
      <xdr:colOff>173085</xdr:colOff>
      <xdr:row>32</xdr:row>
      <xdr:rowOff>106680</xdr:rowOff>
    </xdr:from>
    <xdr:to>
      <xdr:col>12</xdr:col>
      <xdr:colOff>157845</xdr:colOff>
      <xdr:row>38</xdr:row>
      <xdr:rowOff>106679</xdr:rowOff>
    </xdr:to>
    <xdr:sp macro="" textlink="">
      <xdr:nvSpPr>
        <xdr:cNvPr id="15" name="Rectangle: Rounded Corners 14">
          <a:extLst>
            <a:ext uri="{FF2B5EF4-FFF2-40B4-BE49-F238E27FC236}">
              <a16:creationId xmlns:a16="http://schemas.microsoft.com/office/drawing/2014/main" id="{70E98992-1711-4493-8A0F-935771C74F5D}"/>
            </a:ext>
          </a:extLst>
        </xdr:cNvPr>
        <xdr:cNvSpPr/>
      </xdr:nvSpPr>
      <xdr:spPr>
        <a:xfrm>
          <a:off x="5049885" y="5958840"/>
          <a:ext cx="2423160" cy="1097279"/>
        </a:xfrm>
        <a:prstGeom prst="roundRect">
          <a:avLst>
            <a:gd name="adj" fmla="val 15647"/>
          </a:avLst>
        </a:prstGeom>
        <a:gradFill>
          <a:gsLst>
            <a:gs pos="0">
              <a:srgbClr val="323687"/>
            </a:gs>
            <a:gs pos="36000">
              <a:srgbClr val="10123A">
                <a:alpha val="97647"/>
              </a:srgbClr>
            </a:gs>
          </a:gsLst>
          <a:lin ang="6000000" scaled="0"/>
        </a:gradFill>
        <a:ln w="9525">
          <a:gradFill>
            <a:gsLst>
              <a:gs pos="0">
                <a:srgbClr val="A2D8F0"/>
              </a:gs>
              <a:gs pos="38000">
                <a:srgbClr val="5D63D1"/>
              </a:gs>
              <a:gs pos="100000">
                <a:srgbClr val="2E327A"/>
              </a:gs>
            </a:gsLst>
            <a:lin ang="5400000" scaled="1"/>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167636</xdr:colOff>
      <xdr:row>25</xdr:row>
      <xdr:rowOff>11974</xdr:rowOff>
    </xdr:from>
    <xdr:to>
      <xdr:col>12</xdr:col>
      <xdr:colOff>152396</xdr:colOff>
      <xdr:row>31</xdr:row>
      <xdr:rowOff>129540</xdr:rowOff>
    </xdr:to>
    <xdr:sp macro="" textlink="">
      <xdr:nvSpPr>
        <xdr:cNvPr id="16" name="Rectangle: Rounded Corners 15">
          <a:extLst>
            <a:ext uri="{FF2B5EF4-FFF2-40B4-BE49-F238E27FC236}">
              <a16:creationId xmlns:a16="http://schemas.microsoft.com/office/drawing/2014/main" id="{D8A87E1F-9F7A-4A5B-BF95-60630F724C23}"/>
            </a:ext>
          </a:extLst>
        </xdr:cNvPr>
        <xdr:cNvSpPr/>
      </xdr:nvSpPr>
      <xdr:spPr>
        <a:xfrm>
          <a:off x="5044436" y="4583974"/>
          <a:ext cx="2423160" cy="1214846"/>
        </a:xfrm>
        <a:prstGeom prst="roundRect">
          <a:avLst>
            <a:gd name="adj" fmla="val 18588"/>
          </a:avLst>
        </a:prstGeom>
        <a:gradFill>
          <a:gsLst>
            <a:gs pos="0">
              <a:srgbClr val="323687"/>
            </a:gs>
            <a:gs pos="36000">
              <a:srgbClr val="10123A">
                <a:alpha val="97647"/>
              </a:srgbClr>
            </a:gs>
          </a:gsLst>
          <a:lin ang="6000000" scaled="0"/>
        </a:gradFill>
        <a:ln w="9525">
          <a:gradFill>
            <a:gsLst>
              <a:gs pos="0">
                <a:srgbClr val="A2D8F0"/>
              </a:gs>
              <a:gs pos="38000">
                <a:srgbClr val="5D63D1"/>
              </a:gs>
              <a:gs pos="100000">
                <a:srgbClr val="2E327A"/>
              </a:gs>
            </a:gsLst>
            <a:lin ang="5400000" scaled="1"/>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304800</xdr:colOff>
      <xdr:row>5</xdr:row>
      <xdr:rowOff>106680</xdr:rowOff>
    </xdr:from>
    <xdr:to>
      <xdr:col>4</xdr:col>
      <xdr:colOff>0</xdr:colOff>
      <xdr:row>8</xdr:row>
      <xdr:rowOff>106680</xdr:rowOff>
    </xdr:to>
    <xdr:sp macro="" textlink="">
      <xdr:nvSpPr>
        <xdr:cNvPr id="17" name="TextBox 16">
          <a:extLst>
            <a:ext uri="{FF2B5EF4-FFF2-40B4-BE49-F238E27FC236}">
              <a16:creationId xmlns:a16="http://schemas.microsoft.com/office/drawing/2014/main" id="{10B52BA5-6124-AD5E-BF4E-AEA04A3317AF}"/>
            </a:ext>
          </a:extLst>
        </xdr:cNvPr>
        <xdr:cNvSpPr txBox="1"/>
      </xdr:nvSpPr>
      <xdr:spPr>
        <a:xfrm>
          <a:off x="1524000" y="1021080"/>
          <a:ext cx="91440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accent1">
                  <a:lumMod val="40000"/>
                  <a:lumOff val="60000"/>
                </a:schemeClr>
              </a:solidFill>
            </a:rPr>
            <a:t>PERSONAL</a:t>
          </a:r>
        </a:p>
        <a:p>
          <a:r>
            <a:rPr lang="en-IN" sz="1200">
              <a:solidFill>
                <a:schemeClr val="accent1">
                  <a:lumMod val="40000"/>
                  <a:lumOff val="60000"/>
                </a:schemeClr>
              </a:solidFill>
            </a:rPr>
            <a:t>FINANCE</a:t>
          </a:r>
        </a:p>
      </xdr:txBody>
    </xdr:sp>
    <xdr:clientData/>
  </xdr:twoCellAnchor>
  <xdr:twoCellAnchor>
    <xdr:from>
      <xdr:col>2</xdr:col>
      <xdr:colOff>327660</xdr:colOff>
      <xdr:row>5</xdr:row>
      <xdr:rowOff>106680</xdr:rowOff>
    </xdr:from>
    <xdr:to>
      <xdr:col>2</xdr:col>
      <xdr:colOff>327660</xdr:colOff>
      <xdr:row>8</xdr:row>
      <xdr:rowOff>15240</xdr:rowOff>
    </xdr:to>
    <xdr:cxnSp macro="">
      <xdr:nvCxnSpPr>
        <xdr:cNvPr id="21" name="Straight Connector 20">
          <a:extLst>
            <a:ext uri="{FF2B5EF4-FFF2-40B4-BE49-F238E27FC236}">
              <a16:creationId xmlns:a16="http://schemas.microsoft.com/office/drawing/2014/main" id="{E52DD166-8027-FE9E-EBA9-E0131EEB4EFF}"/>
            </a:ext>
          </a:extLst>
        </xdr:cNvPr>
        <xdr:cNvCxnSpPr/>
      </xdr:nvCxnSpPr>
      <xdr:spPr>
        <a:xfrm>
          <a:off x="1546860" y="1021080"/>
          <a:ext cx="0" cy="457200"/>
        </a:xfrm>
        <a:prstGeom prst="line">
          <a:avLst/>
        </a:prstGeom>
        <a:ln w="12700">
          <a:solidFill>
            <a:schemeClr val="accent1">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320040</xdr:colOff>
      <xdr:row>5</xdr:row>
      <xdr:rowOff>68580</xdr:rowOff>
    </xdr:from>
    <xdr:to>
      <xdr:col>2</xdr:col>
      <xdr:colOff>259080</xdr:colOff>
      <xdr:row>8</xdr:row>
      <xdr:rowOff>68580</xdr:rowOff>
    </xdr:to>
    <xdr:pic>
      <xdr:nvPicPr>
        <xdr:cNvPr id="25" name="Graphic 24" descr="Pie chart">
          <a:extLst>
            <a:ext uri="{FF2B5EF4-FFF2-40B4-BE49-F238E27FC236}">
              <a16:creationId xmlns:a16="http://schemas.microsoft.com/office/drawing/2014/main" id="{7E34A910-6D5A-51E5-BC23-04479903BF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9640" y="982980"/>
          <a:ext cx="548640" cy="548640"/>
        </a:xfrm>
        <a:prstGeom prst="rect">
          <a:avLst/>
        </a:prstGeom>
      </xdr:spPr>
    </xdr:pic>
    <xdr:clientData/>
  </xdr:twoCellAnchor>
  <xdr:twoCellAnchor>
    <xdr:from>
      <xdr:col>1</xdr:col>
      <xdr:colOff>246294</xdr:colOff>
      <xdr:row>12</xdr:row>
      <xdr:rowOff>129540</xdr:rowOff>
    </xdr:from>
    <xdr:to>
      <xdr:col>3</xdr:col>
      <xdr:colOff>305094</xdr:colOff>
      <xdr:row>14</xdr:row>
      <xdr:rowOff>121920</xdr:rowOff>
    </xdr:to>
    <xdr:sp macro="" textlink="">
      <xdr:nvSpPr>
        <xdr:cNvPr id="30" name="TextBox 29">
          <a:extLst>
            <a:ext uri="{FF2B5EF4-FFF2-40B4-BE49-F238E27FC236}">
              <a16:creationId xmlns:a16="http://schemas.microsoft.com/office/drawing/2014/main" id="{B2E5FE3B-FF5E-483F-92E5-CCF8587F0D99}"/>
            </a:ext>
          </a:extLst>
        </xdr:cNvPr>
        <xdr:cNvSpPr txBox="1"/>
      </xdr:nvSpPr>
      <xdr:spPr>
        <a:xfrm>
          <a:off x="855894" y="2324100"/>
          <a:ext cx="12780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solidFill>
            </a:rPr>
            <a:t>Dashboard </a:t>
          </a:r>
        </a:p>
      </xdr:txBody>
    </xdr:sp>
    <xdr:clientData/>
  </xdr:twoCellAnchor>
  <xdr:twoCellAnchor editAs="oneCell">
    <xdr:from>
      <xdr:col>2</xdr:col>
      <xdr:colOff>46809</xdr:colOff>
      <xdr:row>10</xdr:row>
      <xdr:rowOff>68580</xdr:rowOff>
    </xdr:from>
    <xdr:to>
      <xdr:col>2</xdr:col>
      <xdr:colOff>504009</xdr:colOff>
      <xdr:row>12</xdr:row>
      <xdr:rowOff>160020</xdr:rowOff>
    </xdr:to>
    <xdr:pic>
      <xdr:nvPicPr>
        <xdr:cNvPr id="32" name="Graphic 31" descr="Home">
          <a:extLst>
            <a:ext uri="{FF2B5EF4-FFF2-40B4-BE49-F238E27FC236}">
              <a16:creationId xmlns:a16="http://schemas.microsoft.com/office/drawing/2014/main" id="{E23D1152-710F-C4E0-B52D-BE82761CEF7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66009" y="1897380"/>
          <a:ext cx="457200" cy="457200"/>
        </a:xfrm>
        <a:prstGeom prst="rect">
          <a:avLst/>
        </a:prstGeom>
        <a:effectLst>
          <a:glow rad="127000">
            <a:srgbClr val="0B2EFD">
              <a:alpha val="43000"/>
            </a:srgbClr>
          </a:glow>
        </a:effectLst>
      </xdr:spPr>
    </xdr:pic>
    <xdr:clientData/>
  </xdr:twoCellAnchor>
  <xdr:twoCellAnchor>
    <xdr:from>
      <xdr:col>1</xdr:col>
      <xdr:colOff>245214</xdr:colOff>
      <xdr:row>16</xdr:row>
      <xdr:rowOff>93436</xdr:rowOff>
    </xdr:from>
    <xdr:to>
      <xdr:col>3</xdr:col>
      <xdr:colOff>304014</xdr:colOff>
      <xdr:row>18</xdr:row>
      <xdr:rowOff>85816</xdr:rowOff>
    </xdr:to>
    <xdr:sp macro="" textlink="">
      <xdr:nvSpPr>
        <xdr:cNvPr id="33" name="TextBox 32">
          <a:extLst>
            <a:ext uri="{FF2B5EF4-FFF2-40B4-BE49-F238E27FC236}">
              <a16:creationId xmlns:a16="http://schemas.microsoft.com/office/drawing/2014/main" id="{82C5500D-D7D9-4E89-AE2C-D50C4AC4403A}"/>
            </a:ext>
          </a:extLst>
        </xdr:cNvPr>
        <xdr:cNvSpPr txBox="1"/>
      </xdr:nvSpPr>
      <xdr:spPr>
        <a:xfrm>
          <a:off x="854814" y="3019516"/>
          <a:ext cx="12780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6372A4"/>
              </a:solidFill>
            </a:rPr>
            <a:t>Budgeting</a:t>
          </a:r>
        </a:p>
      </xdr:txBody>
    </xdr:sp>
    <xdr:clientData/>
  </xdr:twoCellAnchor>
  <xdr:twoCellAnchor editAs="oneCell">
    <xdr:from>
      <xdr:col>2</xdr:col>
      <xdr:colOff>47094</xdr:colOff>
      <xdr:row>22</xdr:row>
      <xdr:rowOff>91440</xdr:rowOff>
    </xdr:from>
    <xdr:to>
      <xdr:col>2</xdr:col>
      <xdr:colOff>504294</xdr:colOff>
      <xdr:row>25</xdr:row>
      <xdr:rowOff>0</xdr:rowOff>
    </xdr:to>
    <xdr:pic>
      <xdr:nvPicPr>
        <xdr:cNvPr id="37" name="Graphic 36" descr="Bar graph with downward trend">
          <a:extLst>
            <a:ext uri="{FF2B5EF4-FFF2-40B4-BE49-F238E27FC236}">
              <a16:creationId xmlns:a16="http://schemas.microsoft.com/office/drawing/2014/main" id="{44513203-038A-D794-F550-681D79B294C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66294" y="4114800"/>
          <a:ext cx="457200" cy="457200"/>
        </a:xfrm>
        <a:prstGeom prst="rect">
          <a:avLst/>
        </a:prstGeom>
      </xdr:spPr>
    </xdr:pic>
    <xdr:clientData/>
  </xdr:twoCellAnchor>
  <xdr:twoCellAnchor editAs="oneCell">
    <xdr:from>
      <xdr:col>2</xdr:col>
      <xdr:colOff>47094</xdr:colOff>
      <xdr:row>18</xdr:row>
      <xdr:rowOff>129540</xdr:rowOff>
    </xdr:from>
    <xdr:to>
      <xdr:col>2</xdr:col>
      <xdr:colOff>504294</xdr:colOff>
      <xdr:row>21</xdr:row>
      <xdr:rowOff>38100</xdr:rowOff>
    </xdr:to>
    <xdr:pic>
      <xdr:nvPicPr>
        <xdr:cNvPr id="39" name="Graphic 38" descr="Bar graph with upward trend">
          <a:extLst>
            <a:ext uri="{FF2B5EF4-FFF2-40B4-BE49-F238E27FC236}">
              <a16:creationId xmlns:a16="http://schemas.microsoft.com/office/drawing/2014/main" id="{0DDC3205-B842-9A40-547E-D90B2C48277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66294" y="3421380"/>
          <a:ext cx="457200" cy="457200"/>
        </a:xfrm>
        <a:prstGeom prst="rect">
          <a:avLst/>
        </a:prstGeom>
      </xdr:spPr>
    </xdr:pic>
    <xdr:clientData/>
  </xdr:twoCellAnchor>
  <xdr:twoCellAnchor editAs="oneCell">
    <xdr:from>
      <xdr:col>2</xdr:col>
      <xdr:colOff>47094</xdr:colOff>
      <xdr:row>26</xdr:row>
      <xdr:rowOff>38100</xdr:rowOff>
    </xdr:from>
    <xdr:to>
      <xdr:col>2</xdr:col>
      <xdr:colOff>504294</xdr:colOff>
      <xdr:row>28</xdr:row>
      <xdr:rowOff>129540</xdr:rowOff>
    </xdr:to>
    <xdr:pic>
      <xdr:nvPicPr>
        <xdr:cNvPr id="45" name="Graphic 44" descr="Open hand with plant">
          <a:extLst>
            <a:ext uri="{FF2B5EF4-FFF2-40B4-BE49-F238E27FC236}">
              <a16:creationId xmlns:a16="http://schemas.microsoft.com/office/drawing/2014/main" id="{8A87B520-750F-2A17-D1EC-9CC30C6B667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66294" y="4792980"/>
          <a:ext cx="457200" cy="457200"/>
        </a:xfrm>
        <a:prstGeom prst="rect">
          <a:avLst/>
        </a:prstGeom>
      </xdr:spPr>
    </xdr:pic>
    <xdr:clientData/>
  </xdr:twoCellAnchor>
  <xdr:twoCellAnchor editAs="oneCell">
    <xdr:from>
      <xdr:col>2</xdr:col>
      <xdr:colOff>47094</xdr:colOff>
      <xdr:row>33</xdr:row>
      <xdr:rowOff>91440</xdr:rowOff>
    </xdr:from>
    <xdr:to>
      <xdr:col>2</xdr:col>
      <xdr:colOff>504294</xdr:colOff>
      <xdr:row>36</xdr:row>
      <xdr:rowOff>0</xdr:rowOff>
    </xdr:to>
    <xdr:pic>
      <xdr:nvPicPr>
        <xdr:cNvPr id="47" name="Graphic 46" descr="Bullseye">
          <a:extLst>
            <a:ext uri="{FF2B5EF4-FFF2-40B4-BE49-F238E27FC236}">
              <a16:creationId xmlns:a16="http://schemas.microsoft.com/office/drawing/2014/main" id="{5F20EE23-A486-FE8C-05D8-1808AC9EB3F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266294" y="6126480"/>
          <a:ext cx="457200" cy="457200"/>
        </a:xfrm>
        <a:prstGeom prst="rect">
          <a:avLst/>
        </a:prstGeom>
      </xdr:spPr>
    </xdr:pic>
    <xdr:clientData/>
  </xdr:twoCellAnchor>
  <xdr:twoCellAnchor editAs="oneCell">
    <xdr:from>
      <xdr:col>2</xdr:col>
      <xdr:colOff>47094</xdr:colOff>
      <xdr:row>14</xdr:row>
      <xdr:rowOff>160020</xdr:rowOff>
    </xdr:from>
    <xdr:to>
      <xdr:col>2</xdr:col>
      <xdr:colOff>504294</xdr:colOff>
      <xdr:row>17</xdr:row>
      <xdr:rowOff>68580</xdr:rowOff>
    </xdr:to>
    <xdr:pic>
      <xdr:nvPicPr>
        <xdr:cNvPr id="49" name="Graphic 48" descr="Gold bars">
          <a:extLst>
            <a:ext uri="{FF2B5EF4-FFF2-40B4-BE49-F238E27FC236}">
              <a16:creationId xmlns:a16="http://schemas.microsoft.com/office/drawing/2014/main" id="{E3983FCD-D2FC-DDBA-A0CC-39BFEEEF264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66294" y="2720340"/>
          <a:ext cx="457200" cy="457200"/>
        </a:xfrm>
        <a:prstGeom prst="rect">
          <a:avLst/>
        </a:prstGeom>
      </xdr:spPr>
    </xdr:pic>
    <xdr:clientData/>
  </xdr:twoCellAnchor>
  <xdr:twoCellAnchor>
    <xdr:from>
      <xdr:col>1</xdr:col>
      <xdr:colOff>245430</xdr:colOff>
      <xdr:row>20</xdr:row>
      <xdr:rowOff>57332</xdr:rowOff>
    </xdr:from>
    <xdr:to>
      <xdr:col>3</xdr:col>
      <xdr:colOff>304230</xdr:colOff>
      <xdr:row>22</xdr:row>
      <xdr:rowOff>49712</xdr:rowOff>
    </xdr:to>
    <xdr:sp macro="" textlink="">
      <xdr:nvSpPr>
        <xdr:cNvPr id="50" name="TextBox 49">
          <a:extLst>
            <a:ext uri="{FF2B5EF4-FFF2-40B4-BE49-F238E27FC236}">
              <a16:creationId xmlns:a16="http://schemas.microsoft.com/office/drawing/2014/main" id="{C230E3E7-6AC6-44C3-8FB7-031469BA7929}"/>
            </a:ext>
          </a:extLst>
        </xdr:cNvPr>
        <xdr:cNvSpPr txBox="1"/>
      </xdr:nvSpPr>
      <xdr:spPr>
        <a:xfrm>
          <a:off x="855030" y="3714932"/>
          <a:ext cx="12780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6372A4"/>
              </a:solidFill>
            </a:rPr>
            <a:t>Income</a:t>
          </a:r>
        </a:p>
      </xdr:txBody>
    </xdr:sp>
    <xdr:clientData/>
  </xdr:twoCellAnchor>
  <xdr:twoCellAnchor>
    <xdr:from>
      <xdr:col>1</xdr:col>
      <xdr:colOff>245646</xdr:colOff>
      <xdr:row>24</xdr:row>
      <xdr:rowOff>21228</xdr:rowOff>
    </xdr:from>
    <xdr:to>
      <xdr:col>3</xdr:col>
      <xdr:colOff>304446</xdr:colOff>
      <xdr:row>26</xdr:row>
      <xdr:rowOff>13608</xdr:rowOff>
    </xdr:to>
    <xdr:sp macro="" textlink="">
      <xdr:nvSpPr>
        <xdr:cNvPr id="51" name="TextBox 50">
          <a:extLst>
            <a:ext uri="{FF2B5EF4-FFF2-40B4-BE49-F238E27FC236}">
              <a16:creationId xmlns:a16="http://schemas.microsoft.com/office/drawing/2014/main" id="{470C2A10-5C3E-48B9-8593-D20E51DFDFFA}"/>
            </a:ext>
          </a:extLst>
        </xdr:cNvPr>
        <xdr:cNvSpPr txBox="1"/>
      </xdr:nvSpPr>
      <xdr:spPr>
        <a:xfrm>
          <a:off x="855246" y="4410348"/>
          <a:ext cx="12780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6372A4"/>
              </a:solidFill>
            </a:rPr>
            <a:t>Expenses</a:t>
          </a:r>
        </a:p>
      </xdr:txBody>
    </xdr:sp>
    <xdr:clientData/>
  </xdr:twoCellAnchor>
  <xdr:twoCellAnchor>
    <xdr:from>
      <xdr:col>1</xdr:col>
      <xdr:colOff>245862</xdr:colOff>
      <xdr:row>31</xdr:row>
      <xdr:rowOff>131900</xdr:rowOff>
    </xdr:from>
    <xdr:to>
      <xdr:col>3</xdr:col>
      <xdr:colOff>304662</xdr:colOff>
      <xdr:row>33</xdr:row>
      <xdr:rowOff>124280</xdr:rowOff>
    </xdr:to>
    <xdr:sp macro="" textlink="">
      <xdr:nvSpPr>
        <xdr:cNvPr id="52" name="TextBox 51">
          <a:extLst>
            <a:ext uri="{FF2B5EF4-FFF2-40B4-BE49-F238E27FC236}">
              <a16:creationId xmlns:a16="http://schemas.microsoft.com/office/drawing/2014/main" id="{6D08BE94-7588-475B-BC6D-2FF65A154002}"/>
            </a:ext>
          </a:extLst>
        </xdr:cNvPr>
        <xdr:cNvSpPr txBox="1"/>
      </xdr:nvSpPr>
      <xdr:spPr>
        <a:xfrm>
          <a:off x="855462" y="5801180"/>
          <a:ext cx="12780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6372A4"/>
              </a:solidFill>
            </a:rPr>
            <a:t>Debts</a:t>
          </a:r>
        </a:p>
      </xdr:txBody>
    </xdr:sp>
    <xdr:clientData/>
  </xdr:twoCellAnchor>
  <xdr:twoCellAnchor>
    <xdr:from>
      <xdr:col>1</xdr:col>
      <xdr:colOff>246078</xdr:colOff>
      <xdr:row>35</xdr:row>
      <xdr:rowOff>95795</xdr:rowOff>
    </xdr:from>
    <xdr:to>
      <xdr:col>3</xdr:col>
      <xdr:colOff>304878</xdr:colOff>
      <xdr:row>37</xdr:row>
      <xdr:rowOff>88175</xdr:rowOff>
    </xdr:to>
    <xdr:sp macro="" textlink="">
      <xdr:nvSpPr>
        <xdr:cNvPr id="53" name="TextBox 52">
          <a:extLst>
            <a:ext uri="{FF2B5EF4-FFF2-40B4-BE49-F238E27FC236}">
              <a16:creationId xmlns:a16="http://schemas.microsoft.com/office/drawing/2014/main" id="{B8FD8ADF-2490-4CC4-8E74-76C4BEF0B40E}"/>
            </a:ext>
          </a:extLst>
        </xdr:cNvPr>
        <xdr:cNvSpPr txBox="1"/>
      </xdr:nvSpPr>
      <xdr:spPr>
        <a:xfrm>
          <a:off x="855678" y="6496595"/>
          <a:ext cx="12780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6372A4"/>
              </a:solidFill>
            </a:rPr>
            <a:t>Fin Goals</a:t>
          </a:r>
        </a:p>
      </xdr:txBody>
    </xdr:sp>
    <xdr:clientData/>
  </xdr:twoCellAnchor>
  <xdr:twoCellAnchor>
    <xdr:from>
      <xdr:col>1</xdr:col>
      <xdr:colOff>245214</xdr:colOff>
      <xdr:row>27</xdr:row>
      <xdr:rowOff>168004</xdr:rowOff>
    </xdr:from>
    <xdr:to>
      <xdr:col>3</xdr:col>
      <xdr:colOff>304014</xdr:colOff>
      <xdr:row>29</xdr:row>
      <xdr:rowOff>160384</xdr:rowOff>
    </xdr:to>
    <xdr:sp macro="" textlink="">
      <xdr:nvSpPr>
        <xdr:cNvPr id="54" name="TextBox 53">
          <a:extLst>
            <a:ext uri="{FF2B5EF4-FFF2-40B4-BE49-F238E27FC236}">
              <a16:creationId xmlns:a16="http://schemas.microsoft.com/office/drawing/2014/main" id="{096F26AE-BA73-430B-927B-F53ABAA733CB}"/>
            </a:ext>
          </a:extLst>
        </xdr:cNvPr>
        <xdr:cNvSpPr txBox="1"/>
      </xdr:nvSpPr>
      <xdr:spPr>
        <a:xfrm>
          <a:off x="854814" y="5105764"/>
          <a:ext cx="12780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6372A4"/>
              </a:solidFill>
            </a:rPr>
            <a:t>Investments</a:t>
          </a:r>
        </a:p>
      </xdr:txBody>
    </xdr:sp>
    <xdr:clientData/>
  </xdr:twoCellAnchor>
  <xdr:twoCellAnchor>
    <xdr:from>
      <xdr:col>1</xdr:col>
      <xdr:colOff>245214</xdr:colOff>
      <xdr:row>30</xdr:row>
      <xdr:rowOff>34835</xdr:rowOff>
    </xdr:from>
    <xdr:to>
      <xdr:col>3</xdr:col>
      <xdr:colOff>304014</xdr:colOff>
      <xdr:row>32</xdr:row>
      <xdr:rowOff>27215</xdr:rowOff>
    </xdr:to>
    <xdr:sp macro="" textlink="">
      <xdr:nvSpPr>
        <xdr:cNvPr id="56" name="TextBox 55">
          <a:extLst>
            <a:ext uri="{FF2B5EF4-FFF2-40B4-BE49-F238E27FC236}">
              <a16:creationId xmlns:a16="http://schemas.microsoft.com/office/drawing/2014/main" id="{8943ECE2-DFAE-47F0-8C04-D7B8821A539C}"/>
            </a:ext>
          </a:extLst>
        </xdr:cNvPr>
        <xdr:cNvSpPr txBox="1"/>
      </xdr:nvSpPr>
      <xdr:spPr>
        <a:xfrm>
          <a:off x="854814" y="5521235"/>
          <a:ext cx="12780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a:solidFill>
                <a:srgbClr val="6372A4"/>
              </a:solidFill>
            </a:rPr>
            <a:t>%</a:t>
          </a:r>
          <a:endParaRPr lang="en-IN" sz="1400">
            <a:solidFill>
              <a:srgbClr val="6372A4"/>
            </a:solidFill>
          </a:endParaRPr>
        </a:p>
      </xdr:txBody>
    </xdr:sp>
    <xdr:clientData/>
  </xdr:twoCellAnchor>
  <xdr:twoCellAnchor>
    <xdr:from>
      <xdr:col>18</xdr:col>
      <xdr:colOff>228600</xdr:colOff>
      <xdr:row>11</xdr:row>
      <xdr:rowOff>91440</xdr:rowOff>
    </xdr:from>
    <xdr:to>
      <xdr:col>21</xdr:col>
      <xdr:colOff>320040</xdr:colOff>
      <xdr:row>18</xdr:row>
      <xdr:rowOff>0</xdr:rowOff>
    </xdr:to>
    <xdr:sp macro="" textlink="">
      <xdr:nvSpPr>
        <xdr:cNvPr id="57" name="Rectangle: Rounded Corners 56">
          <a:extLst>
            <a:ext uri="{FF2B5EF4-FFF2-40B4-BE49-F238E27FC236}">
              <a16:creationId xmlns:a16="http://schemas.microsoft.com/office/drawing/2014/main" id="{4BB34F9A-4343-4548-96A6-7CA4255675AA}"/>
            </a:ext>
          </a:extLst>
        </xdr:cNvPr>
        <xdr:cNvSpPr/>
      </xdr:nvSpPr>
      <xdr:spPr>
        <a:xfrm>
          <a:off x="11201400" y="2103120"/>
          <a:ext cx="1920240" cy="1188720"/>
        </a:xfrm>
        <a:prstGeom prst="roundRect">
          <a:avLst>
            <a:gd name="adj" fmla="val 5129"/>
          </a:avLst>
        </a:prstGeom>
        <a:gradFill flip="none" rotWithShape="1">
          <a:gsLst>
            <a:gs pos="0">
              <a:srgbClr val="22248D"/>
            </a:gs>
            <a:gs pos="67000">
              <a:srgbClr val="060839"/>
            </a:gs>
          </a:gsLst>
          <a:lin ang="8100000" scaled="0"/>
          <a:tileRect/>
        </a:gradFill>
        <a:ln w="9525">
          <a:gradFill>
            <a:gsLst>
              <a:gs pos="25000">
                <a:srgbClr val="7079FF"/>
              </a:gs>
              <a:gs pos="85000">
                <a:srgbClr val="1C1D86">
                  <a:lumMod val="98000"/>
                </a:srgbClr>
              </a:gs>
            </a:gsLst>
            <a:lin ang="8100000" scaled="0"/>
          </a:gradFill>
        </a:ln>
        <a:effectLst>
          <a:outerShdw blurRad="508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487680</xdr:colOff>
      <xdr:row>14</xdr:row>
      <xdr:rowOff>15240</xdr:rowOff>
    </xdr:from>
    <xdr:to>
      <xdr:col>19</xdr:col>
      <xdr:colOff>188976</xdr:colOff>
      <xdr:row>15</xdr:row>
      <xdr:rowOff>97536</xdr:rowOff>
    </xdr:to>
    <xdr:sp macro="" textlink="">
      <xdr:nvSpPr>
        <xdr:cNvPr id="58" name="Rectangle: Rounded Corners 57">
          <a:extLst>
            <a:ext uri="{FF2B5EF4-FFF2-40B4-BE49-F238E27FC236}">
              <a16:creationId xmlns:a16="http://schemas.microsoft.com/office/drawing/2014/main" id="{48E34750-BCE2-BA7A-F032-EDD9A532DC9B}"/>
            </a:ext>
          </a:extLst>
        </xdr:cNvPr>
        <xdr:cNvSpPr/>
      </xdr:nvSpPr>
      <xdr:spPr>
        <a:xfrm>
          <a:off x="11460480" y="2575560"/>
          <a:ext cx="310896" cy="265176"/>
        </a:xfrm>
        <a:prstGeom prst="roundRect">
          <a:avLst/>
        </a:prstGeom>
        <a:solidFill>
          <a:srgbClr val="FFFFB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601980</xdr:colOff>
      <xdr:row>12</xdr:row>
      <xdr:rowOff>22860</xdr:rowOff>
    </xdr:from>
    <xdr:to>
      <xdr:col>21</xdr:col>
      <xdr:colOff>202692</xdr:colOff>
      <xdr:row>13</xdr:row>
      <xdr:rowOff>86868</xdr:rowOff>
    </xdr:to>
    <xdr:grpSp>
      <xdr:nvGrpSpPr>
        <xdr:cNvPr id="79" name="Group 78">
          <a:extLst>
            <a:ext uri="{FF2B5EF4-FFF2-40B4-BE49-F238E27FC236}">
              <a16:creationId xmlns:a16="http://schemas.microsoft.com/office/drawing/2014/main" id="{A1EA453E-B22C-759D-B278-96C8B77E3AB9}"/>
            </a:ext>
          </a:extLst>
        </xdr:cNvPr>
        <xdr:cNvGrpSpPr/>
      </xdr:nvGrpSpPr>
      <xdr:grpSpPr>
        <a:xfrm>
          <a:off x="12829422" y="2255697"/>
          <a:ext cx="212084" cy="250078"/>
          <a:chOff x="12682728" y="2214087"/>
          <a:chExt cx="278892" cy="354329"/>
        </a:xfrm>
      </xdr:grpSpPr>
      <xdr:sp macro="" textlink="">
        <xdr:nvSpPr>
          <xdr:cNvPr id="72" name="Freeform: Shape 71">
            <a:extLst>
              <a:ext uri="{FF2B5EF4-FFF2-40B4-BE49-F238E27FC236}">
                <a16:creationId xmlns:a16="http://schemas.microsoft.com/office/drawing/2014/main" id="{0CF409E8-C51B-14A6-C1F5-DAE3F71C1A62}"/>
              </a:ext>
            </a:extLst>
          </xdr:cNvPr>
          <xdr:cNvSpPr/>
        </xdr:nvSpPr>
        <xdr:spPr>
          <a:xfrm>
            <a:off x="12866315" y="2214087"/>
            <a:ext cx="95305" cy="354329"/>
          </a:xfrm>
          <a:custGeom>
            <a:avLst/>
            <a:gdLst>
              <a:gd name="csX0" fmla="*/ 56102 w 95305"/>
              <a:gd name="csY0" fmla="*/ 191453 h 354329"/>
              <a:gd name="csX1" fmla="*/ 0 w 95305"/>
              <a:gd name="csY1" fmla="*/ 325755 h 354329"/>
              <a:gd name="csX2" fmla="*/ 24956 w 95305"/>
              <a:gd name="csY2" fmla="*/ 354330 h 354329"/>
              <a:gd name="csX3" fmla="*/ 30861 w 95305"/>
              <a:gd name="csY3" fmla="*/ 0 h 354329"/>
              <a:gd name="csX4" fmla="*/ 2286 w 95305"/>
              <a:gd name="csY4" fmla="*/ 24575 h 354329"/>
              <a:gd name="csX5" fmla="*/ 56102 w 95305"/>
              <a:gd name="csY5" fmla="*/ 191453 h 354329"/>
            </a:gdLst>
            <a:ahLst/>
            <a:cxnLst>
              <a:cxn ang="0">
                <a:pos x="csX0" y="csY0"/>
              </a:cxn>
              <a:cxn ang="0">
                <a:pos x="csX1" y="csY1"/>
              </a:cxn>
              <a:cxn ang="0">
                <a:pos x="csX2" y="csY2"/>
              </a:cxn>
              <a:cxn ang="0">
                <a:pos x="csX3" y="csY3"/>
              </a:cxn>
              <a:cxn ang="0">
                <a:pos x="csX4" y="csY4"/>
              </a:cxn>
              <a:cxn ang="0">
                <a:pos x="csX5" y="csY5"/>
              </a:cxn>
            </a:cxnLst>
            <a:rect l="l" t="t" r="r" b="b"/>
            <a:pathLst>
              <a:path w="95305" h="354329">
                <a:moveTo>
                  <a:pt x="56102" y="191453"/>
                </a:moveTo>
                <a:cubicBezTo>
                  <a:pt x="52582" y="241148"/>
                  <a:pt x="32876" y="288322"/>
                  <a:pt x="0" y="325755"/>
                </a:cubicBezTo>
                <a:lnTo>
                  <a:pt x="24956" y="354330"/>
                </a:lnTo>
                <a:cubicBezTo>
                  <a:pt x="116453" y="254791"/>
                  <a:pt x="118990" y="102533"/>
                  <a:pt x="30861" y="0"/>
                </a:cubicBezTo>
                <a:lnTo>
                  <a:pt x="2286" y="24575"/>
                </a:lnTo>
                <a:cubicBezTo>
                  <a:pt x="41693" y="70836"/>
                  <a:pt x="61058" y="130885"/>
                  <a:pt x="56102" y="191453"/>
                </a:cubicBezTo>
                <a:close/>
              </a:path>
            </a:pathLst>
          </a:custGeom>
          <a:solidFill>
            <a:schemeClr val="bg1"/>
          </a:solidFill>
          <a:ln w="9525" cap="flat">
            <a:noFill/>
            <a:prstDash val="solid"/>
            <a:miter/>
          </a:ln>
        </xdr:spPr>
      </xdr:sp>
      <xdr:sp macro="" textlink="">
        <xdr:nvSpPr>
          <xdr:cNvPr id="73" name="Freeform: Shape 72">
            <a:extLst>
              <a:ext uri="{FF2B5EF4-FFF2-40B4-BE49-F238E27FC236}">
                <a16:creationId xmlns:a16="http://schemas.microsoft.com/office/drawing/2014/main" id="{83C6B7D1-D7CA-F882-6F8E-70CC0710DAD7}"/>
              </a:ext>
            </a:extLst>
          </xdr:cNvPr>
          <xdr:cNvSpPr/>
        </xdr:nvSpPr>
        <xdr:spPr>
          <a:xfrm>
            <a:off x="12809927" y="2264569"/>
            <a:ext cx="75014" cy="245649"/>
          </a:xfrm>
          <a:custGeom>
            <a:avLst/>
            <a:gdLst>
              <a:gd name="csX0" fmla="*/ 36481 w 75014"/>
              <a:gd name="csY0" fmla="*/ 135255 h 245649"/>
              <a:gd name="csX1" fmla="*/ 5334 w 75014"/>
              <a:gd name="csY1" fmla="*/ 216408 h 245649"/>
              <a:gd name="csX2" fmla="*/ 30480 w 75014"/>
              <a:gd name="csY2" fmla="*/ 245650 h 245649"/>
              <a:gd name="csX3" fmla="*/ 28575 w 75014"/>
              <a:gd name="csY3" fmla="*/ 0 h 245649"/>
              <a:gd name="csX4" fmla="*/ 0 w 75014"/>
              <a:gd name="csY4" fmla="*/ 24575 h 245649"/>
              <a:gd name="csX5" fmla="*/ 36481 w 75014"/>
              <a:gd name="csY5" fmla="*/ 135255 h 245649"/>
            </a:gdLst>
            <a:ahLst/>
            <a:cxnLst>
              <a:cxn ang="0">
                <a:pos x="csX0" y="csY0"/>
              </a:cxn>
              <a:cxn ang="0">
                <a:pos x="csX1" y="csY1"/>
              </a:cxn>
              <a:cxn ang="0">
                <a:pos x="csX2" y="csY2"/>
              </a:cxn>
              <a:cxn ang="0">
                <a:pos x="csX3" y="csY3"/>
              </a:cxn>
              <a:cxn ang="0">
                <a:pos x="csX4" y="csY4"/>
              </a:cxn>
              <a:cxn ang="0">
                <a:pos x="csX5" y="csY5"/>
              </a:cxn>
            </a:cxnLst>
            <a:rect l="l" t="t" r="r" b="b"/>
            <a:pathLst>
              <a:path w="75014" h="245649">
                <a:moveTo>
                  <a:pt x="36481" y="135255"/>
                </a:moveTo>
                <a:cubicBezTo>
                  <a:pt x="34274" y="164773"/>
                  <a:pt x="23443" y="192993"/>
                  <a:pt x="5334" y="216408"/>
                </a:cubicBezTo>
                <a:lnTo>
                  <a:pt x="30480" y="245650"/>
                </a:lnTo>
                <a:cubicBezTo>
                  <a:pt x="90573" y="174524"/>
                  <a:pt x="89765" y="70186"/>
                  <a:pt x="28575" y="0"/>
                </a:cubicBezTo>
                <a:lnTo>
                  <a:pt x="0" y="24575"/>
                </a:lnTo>
                <a:cubicBezTo>
                  <a:pt x="26418" y="55135"/>
                  <a:pt x="39549" y="94975"/>
                  <a:pt x="36481" y="135255"/>
                </a:cubicBezTo>
                <a:close/>
              </a:path>
            </a:pathLst>
          </a:custGeom>
          <a:solidFill>
            <a:schemeClr val="bg1"/>
          </a:solidFill>
          <a:ln w="9525" cap="flat">
            <a:noFill/>
            <a:prstDash val="solid"/>
            <a:miter/>
          </a:ln>
        </xdr:spPr>
      </xdr:sp>
      <xdr:sp macro="" textlink="">
        <xdr:nvSpPr>
          <xdr:cNvPr id="78" name="Oval 77">
            <a:extLst>
              <a:ext uri="{FF2B5EF4-FFF2-40B4-BE49-F238E27FC236}">
                <a16:creationId xmlns:a16="http://schemas.microsoft.com/office/drawing/2014/main" id="{5456FBC5-E52D-13E0-4DD7-B67BFB32F42C}"/>
              </a:ext>
            </a:extLst>
          </xdr:cNvPr>
          <xdr:cNvSpPr/>
        </xdr:nvSpPr>
        <xdr:spPr>
          <a:xfrm>
            <a:off x="12682728" y="2324100"/>
            <a:ext cx="118872" cy="118872"/>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18</xdr:col>
      <xdr:colOff>563880</xdr:colOff>
      <xdr:row>16</xdr:row>
      <xdr:rowOff>45721</xdr:rowOff>
    </xdr:from>
    <xdr:to>
      <xdr:col>21</xdr:col>
      <xdr:colOff>139080</xdr:colOff>
      <xdr:row>17</xdr:row>
      <xdr:rowOff>45720</xdr:rowOff>
    </xdr:to>
    <xdr:sp macro="" textlink="">
      <xdr:nvSpPr>
        <xdr:cNvPr id="80" name="TextBox 79">
          <a:extLst>
            <a:ext uri="{FF2B5EF4-FFF2-40B4-BE49-F238E27FC236}">
              <a16:creationId xmlns:a16="http://schemas.microsoft.com/office/drawing/2014/main" id="{E000F416-5C6A-4532-BE0E-735F3F6F1DA9}"/>
            </a:ext>
          </a:extLst>
        </xdr:cNvPr>
        <xdr:cNvSpPr txBox="1"/>
      </xdr:nvSpPr>
      <xdr:spPr>
        <a:xfrm>
          <a:off x="11536680" y="2971801"/>
          <a:ext cx="1404000" cy="182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 **** ****</a:t>
          </a:r>
        </a:p>
      </xdr:txBody>
    </xdr:sp>
    <xdr:clientData/>
  </xdr:twoCellAnchor>
  <xdr:twoCellAnchor editAs="oneCell">
    <xdr:from>
      <xdr:col>19</xdr:col>
      <xdr:colOff>365760</xdr:colOff>
      <xdr:row>12</xdr:row>
      <xdr:rowOff>15240</xdr:rowOff>
    </xdr:from>
    <xdr:to>
      <xdr:col>20</xdr:col>
      <xdr:colOff>121920</xdr:colOff>
      <xdr:row>14</xdr:row>
      <xdr:rowOff>15240</xdr:rowOff>
    </xdr:to>
    <xdr:pic>
      <xdr:nvPicPr>
        <xdr:cNvPr id="82" name="Graphic 81" descr="Sun">
          <a:extLst>
            <a:ext uri="{FF2B5EF4-FFF2-40B4-BE49-F238E27FC236}">
              <a16:creationId xmlns:a16="http://schemas.microsoft.com/office/drawing/2014/main" id="{3774200E-73FD-9617-DEDD-914D1BA8C1D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1948160" y="2209800"/>
          <a:ext cx="365760" cy="365760"/>
        </a:xfrm>
        <a:prstGeom prst="rect">
          <a:avLst/>
        </a:prstGeom>
      </xdr:spPr>
    </xdr:pic>
    <xdr:clientData/>
  </xdr:twoCellAnchor>
  <xdr:twoCellAnchor editAs="oneCell">
    <xdr:from>
      <xdr:col>20</xdr:col>
      <xdr:colOff>114300</xdr:colOff>
      <xdr:row>12</xdr:row>
      <xdr:rowOff>7620</xdr:rowOff>
    </xdr:from>
    <xdr:to>
      <xdr:col>20</xdr:col>
      <xdr:colOff>480060</xdr:colOff>
      <xdr:row>14</xdr:row>
      <xdr:rowOff>7620</xdr:rowOff>
    </xdr:to>
    <xdr:pic>
      <xdr:nvPicPr>
        <xdr:cNvPr id="84" name="Graphic 83" descr="Moon">
          <a:extLst>
            <a:ext uri="{FF2B5EF4-FFF2-40B4-BE49-F238E27FC236}">
              <a16:creationId xmlns:a16="http://schemas.microsoft.com/office/drawing/2014/main" id="{BD372E54-CB0D-8597-939D-9E5D77B3DB5E}"/>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2306300" y="2202180"/>
          <a:ext cx="365760" cy="365760"/>
        </a:xfrm>
        <a:prstGeom prst="rect">
          <a:avLst/>
        </a:prstGeom>
      </xdr:spPr>
    </xdr:pic>
    <xdr:clientData/>
  </xdr:twoCellAnchor>
  <xdr:twoCellAnchor>
    <xdr:from>
      <xdr:col>18</xdr:col>
      <xdr:colOff>85980</xdr:colOff>
      <xdr:row>18</xdr:row>
      <xdr:rowOff>160020</xdr:rowOff>
    </xdr:from>
    <xdr:to>
      <xdr:col>20</xdr:col>
      <xdr:colOff>144780</xdr:colOff>
      <xdr:row>20</xdr:row>
      <xdr:rowOff>152400</xdr:rowOff>
    </xdr:to>
    <xdr:sp macro="" textlink="">
      <xdr:nvSpPr>
        <xdr:cNvPr id="85" name="TextBox 84">
          <a:extLst>
            <a:ext uri="{FF2B5EF4-FFF2-40B4-BE49-F238E27FC236}">
              <a16:creationId xmlns:a16="http://schemas.microsoft.com/office/drawing/2014/main" id="{A17FEECB-9A8E-4ECC-B3D9-474E172893D5}"/>
            </a:ext>
          </a:extLst>
        </xdr:cNvPr>
        <xdr:cNvSpPr txBox="1"/>
      </xdr:nvSpPr>
      <xdr:spPr>
        <a:xfrm>
          <a:off x="11058780" y="3451860"/>
          <a:ext cx="12780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rgbClr val="6372A4"/>
              </a:solidFill>
            </a:rPr>
            <a:t>Balance:</a:t>
          </a:r>
        </a:p>
      </xdr:txBody>
    </xdr:sp>
    <xdr:clientData/>
  </xdr:twoCellAnchor>
  <xdr:twoCellAnchor>
    <xdr:from>
      <xdr:col>4</xdr:col>
      <xdr:colOff>156300</xdr:colOff>
      <xdr:row>12</xdr:row>
      <xdr:rowOff>0</xdr:rowOff>
    </xdr:from>
    <xdr:to>
      <xdr:col>12</xdr:col>
      <xdr:colOff>571500</xdr:colOff>
      <xdr:row>23</xdr:row>
      <xdr:rowOff>0</xdr:rowOff>
    </xdr:to>
    <xdr:graphicFrame macro="">
      <xdr:nvGraphicFramePr>
        <xdr:cNvPr id="87" name="Chart 86">
          <a:extLst>
            <a:ext uri="{FF2B5EF4-FFF2-40B4-BE49-F238E27FC236}">
              <a16:creationId xmlns:a16="http://schemas.microsoft.com/office/drawing/2014/main" id="{0E09B286-EBF6-43A1-B207-744B2E579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4</xdr:col>
      <xdr:colOff>487680</xdr:colOff>
      <xdr:row>5</xdr:row>
      <xdr:rowOff>64008</xdr:rowOff>
    </xdr:from>
    <xdr:to>
      <xdr:col>21</xdr:col>
      <xdr:colOff>365760</xdr:colOff>
      <xdr:row>7</xdr:row>
      <xdr:rowOff>137160</xdr:rowOff>
    </xdr:to>
    <mc:AlternateContent xmlns:mc="http://schemas.openxmlformats.org/markup-compatibility/2006" xmlns:a14="http://schemas.microsoft.com/office/drawing/2010/main">
      <mc:Choice Requires="a14">
        <xdr:graphicFrame macro="">
          <xdr:nvGraphicFramePr>
            <xdr:cNvPr id="88" name="Month">
              <a:extLst>
                <a:ext uri="{FF2B5EF4-FFF2-40B4-BE49-F238E27FC236}">
                  <a16:creationId xmlns:a16="http://schemas.microsoft.com/office/drawing/2014/main" id="{1672AE34-FDC4-44F8-BCCD-5A285E9DDBC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926080" y="978408"/>
              <a:ext cx="10241280" cy="4389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495300</xdr:colOff>
      <xdr:row>19</xdr:row>
      <xdr:rowOff>0</xdr:rowOff>
    </xdr:from>
    <xdr:to>
      <xdr:col>21</xdr:col>
      <xdr:colOff>554100</xdr:colOff>
      <xdr:row>20</xdr:row>
      <xdr:rowOff>175260</xdr:rowOff>
    </xdr:to>
    <xdr:sp macro="" textlink="Processing!K6">
      <xdr:nvSpPr>
        <xdr:cNvPr id="89" name="TextBox 88">
          <a:extLst>
            <a:ext uri="{FF2B5EF4-FFF2-40B4-BE49-F238E27FC236}">
              <a16:creationId xmlns:a16="http://schemas.microsoft.com/office/drawing/2014/main" id="{DBE26F8B-9492-4745-90EB-CC26535F8057}"/>
            </a:ext>
          </a:extLst>
        </xdr:cNvPr>
        <xdr:cNvSpPr txBox="1"/>
      </xdr:nvSpPr>
      <xdr:spPr>
        <a:xfrm>
          <a:off x="12077700" y="3474720"/>
          <a:ext cx="12780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386A754-FDDA-4BE1-BEC4-A09F7DB1DE8D}" type="TxLink">
            <a:rPr lang="en-US" sz="2000" b="0" i="0" u="none" strike="noStrike">
              <a:solidFill>
                <a:schemeClr val="bg1"/>
              </a:solidFill>
              <a:latin typeface="Calibri"/>
              <a:ea typeface="Calibri"/>
              <a:cs typeface="Calibri"/>
            </a:rPr>
            <a:pPr algn="l"/>
            <a:t>$4,465</a:t>
          </a:fld>
          <a:endParaRPr lang="en-IN" sz="3600">
            <a:solidFill>
              <a:schemeClr val="bg1"/>
            </a:solidFill>
          </a:endParaRPr>
        </a:p>
      </xdr:txBody>
    </xdr:sp>
    <xdr:clientData/>
  </xdr:twoCellAnchor>
  <xdr:twoCellAnchor>
    <xdr:from>
      <xdr:col>5</xdr:col>
      <xdr:colOff>0</xdr:colOff>
      <xdr:row>10</xdr:row>
      <xdr:rowOff>30480</xdr:rowOff>
    </xdr:from>
    <xdr:to>
      <xdr:col>6</xdr:col>
      <xdr:colOff>146400</xdr:colOff>
      <xdr:row>12</xdr:row>
      <xdr:rowOff>22860</xdr:rowOff>
    </xdr:to>
    <xdr:sp macro="" textlink="Processing!D1">
      <xdr:nvSpPr>
        <xdr:cNvPr id="90" name="TextBox 89">
          <a:extLst>
            <a:ext uri="{FF2B5EF4-FFF2-40B4-BE49-F238E27FC236}">
              <a16:creationId xmlns:a16="http://schemas.microsoft.com/office/drawing/2014/main" id="{932CFD1F-AA52-4552-8A35-71BAF2E623EB}"/>
            </a:ext>
          </a:extLst>
        </xdr:cNvPr>
        <xdr:cNvSpPr txBox="1"/>
      </xdr:nvSpPr>
      <xdr:spPr>
        <a:xfrm>
          <a:off x="3048000" y="1859280"/>
          <a:ext cx="7560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D3E1773-C77E-4D7A-AACD-9695A762BCAE}" type="TxLink">
            <a:rPr lang="en-US" sz="1200" b="0" i="0" u="none" strike="noStrike">
              <a:solidFill>
                <a:srgbClr val="FFFFFF"/>
              </a:solidFill>
              <a:latin typeface="Calibri"/>
              <a:ea typeface="Calibri"/>
              <a:cs typeface="Calibri"/>
            </a:rPr>
            <a:pPr algn="r"/>
            <a:t>Income</a:t>
          </a:fld>
          <a:endParaRPr lang="en-IN" sz="2000" b="0">
            <a:solidFill>
              <a:srgbClr val="6372A4"/>
            </a:solidFill>
          </a:endParaRPr>
        </a:p>
      </xdr:txBody>
    </xdr:sp>
    <xdr:clientData/>
  </xdr:twoCellAnchor>
  <xdr:twoCellAnchor>
    <xdr:from>
      <xdr:col>8</xdr:col>
      <xdr:colOff>0</xdr:colOff>
      <xdr:row>10</xdr:row>
      <xdr:rowOff>45720</xdr:rowOff>
    </xdr:from>
    <xdr:to>
      <xdr:col>9</xdr:col>
      <xdr:colOff>146400</xdr:colOff>
      <xdr:row>12</xdr:row>
      <xdr:rowOff>38100</xdr:rowOff>
    </xdr:to>
    <xdr:sp macro="" textlink="Processing!E1">
      <xdr:nvSpPr>
        <xdr:cNvPr id="91" name="TextBox 90">
          <a:extLst>
            <a:ext uri="{FF2B5EF4-FFF2-40B4-BE49-F238E27FC236}">
              <a16:creationId xmlns:a16="http://schemas.microsoft.com/office/drawing/2014/main" id="{B1D27AD7-D677-4DCD-8F30-24F42A1EDE84}"/>
            </a:ext>
          </a:extLst>
        </xdr:cNvPr>
        <xdr:cNvSpPr txBox="1"/>
      </xdr:nvSpPr>
      <xdr:spPr>
        <a:xfrm>
          <a:off x="4876800" y="1874520"/>
          <a:ext cx="7560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F7E03AA-B868-49BB-B6FE-0FC20121D425}" type="TxLink">
            <a:rPr lang="en-US" sz="1200" b="0" i="0" u="none" strike="noStrike">
              <a:solidFill>
                <a:srgbClr val="FFFFFF"/>
              </a:solidFill>
              <a:latin typeface="Calibri"/>
              <a:ea typeface="Calibri"/>
              <a:cs typeface="Calibri"/>
            </a:rPr>
            <a:pPr marL="0" indent="0" algn="r"/>
            <a:t>Expenses</a:t>
          </a:fld>
          <a:endParaRPr lang="en-IN" sz="1200" b="0" i="0" u="none" strike="noStrike">
            <a:solidFill>
              <a:srgbClr val="FFFFFF"/>
            </a:solidFill>
            <a:latin typeface="Calibri"/>
            <a:ea typeface="Calibri"/>
            <a:cs typeface="Calibri"/>
          </a:endParaRPr>
        </a:p>
      </xdr:txBody>
    </xdr:sp>
    <xdr:clientData/>
  </xdr:twoCellAnchor>
  <xdr:twoCellAnchor>
    <xdr:from>
      <xdr:col>6</xdr:col>
      <xdr:colOff>97440</xdr:colOff>
      <xdr:row>10</xdr:row>
      <xdr:rowOff>22860</xdr:rowOff>
    </xdr:from>
    <xdr:to>
      <xdr:col>7</xdr:col>
      <xdr:colOff>315840</xdr:colOff>
      <xdr:row>12</xdr:row>
      <xdr:rowOff>15240</xdr:rowOff>
    </xdr:to>
    <xdr:sp macro="" textlink="Processing!D14">
      <xdr:nvSpPr>
        <xdr:cNvPr id="92" name="TextBox 91">
          <a:extLst>
            <a:ext uri="{FF2B5EF4-FFF2-40B4-BE49-F238E27FC236}">
              <a16:creationId xmlns:a16="http://schemas.microsoft.com/office/drawing/2014/main" id="{86051F96-EF7F-44E7-B1C5-2A99CCE5EBB5}"/>
            </a:ext>
          </a:extLst>
        </xdr:cNvPr>
        <xdr:cNvSpPr txBox="1"/>
      </xdr:nvSpPr>
      <xdr:spPr>
        <a:xfrm>
          <a:off x="3755040" y="1851660"/>
          <a:ext cx="8280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C5D25CEC-4333-4B49-9C50-3FFB426003BB}" type="TxLink">
            <a:rPr lang="en-US" sz="1400" b="0" i="0" u="none" strike="noStrike">
              <a:solidFill>
                <a:schemeClr val="accent1">
                  <a:lumMod val="40000"/>
                  <a:lumOff val="60000"/>
                </a:schemeClr>
              </a:solidFill>
              <a:latin typeface="Calibri"/>
              <a:ea typeface="Calibri"/>
              <a:cs typeface="Calibri"/>
            </a:rPr>
            <a:pPr algn="r"/>
            <a:t>$2,44,388</a:t>
          </a:fld>
          <a:endParaRPr lang="en-IN" sz="2800" b="0">
            <a:solidFill>
              <a:schemeClr val="accent1">
                <a:lumMod val="40000"/>
                <a:lumOff val="60000"/>
              </a:schemeClr>
            </a:solidFill>
          </a:endParaRPr>
        </a:p>
      </xdr:txBody>
    </xdr:sp>
    <xdr:clientData/>
  </xdr:twoCellAnchor>
  <xdr:twoCellAnchor>
    <xdr:from>
      <xdr:col>9</xdr:col>
      <xdr:colOff>166020</xdr:colOff>
      <xdr:row>10</xdr:row>
      <xdr:rowOff>45720</xdr:rowOff>
    </xdr:from>
    <xdr:to>
      <xdr:col>10</xdr:col>
      <xdr:colOff>373380</xdr:colOff>
      <xdr:row>12</xdr:row>
      <xdr:rowOff>38100</xdr:rowOff>
    </xdr:to>
    <xdr:sp macro="" textlink="Processing!E14">
      <xdr:nvSpPr>
        <xdr:cNvPr id="93" name="TextBox 92">
          <a:extLst>
            <a:ext uri="{FF2B5EF4-FFF2-40B4-BE49-F238E27FC236}">
              <a16:creationId xmlns:a16="http://schemas.microsoft.com/office/drawing/2014/main" id="{C76F9A12-55B8-40AC-9E16-C2ABCDC613C8}"/>
            </a:ext>
          </a:extLst>
        </xdr:cNvPr>
        <xdr:cNvSpPr txBox="1"/>
      </xdr:nvSpPr>
      <xdr:spPr>
        <a:xfrm>
          <a:off x="5652420" y="1874520"/>
          <a:ext cx="8169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5D061606-20E7-4318-8E37-58F5E35B3694}" type="TxLink">
            <a:rPr lang="en-US" sz="1400" b="0" i="0" u="none" strike="noStrike">
              <a:solidFill>
                <a:srgbClr val="FF00FF"/>
              </a:solidFill>
              <a:latin typeface="Calibri"/>
              <a:ea typeface="Calibri"/>
              <a:cs typeface="Calibri"/>
            </a:rPr>
            <a:pPr algn="r"/>
            <a:t>$1,80,477</a:t>
          </a:fld>
          <a:endParaRPr lang="en-IN" sz="2800" b="0">
            <a:solidFill>
              <a:srgbClr val="FF00FF"/>
            </a:solidFill>
          </a:endParaRPr>
        </a:p>
      </xdr:txBody>
    </xdr:sp>
    <xdr:clientData/>
  </xdr:twoCellAnchor>
  <xdr:twoCellAnchor>
    <xdr:from>
      <xdr:col>14</xdr:col>
      <xdr:colOff>0</xdr:colOff>
      <xdr:row>9</xdr:row>
      <xdr:rowOff>0</xdr:rowOff>
    </xdr:from>
    <xdr:to>
      <xdr:col>17</xdr:col>
      <xdr:colOff>99060</xdr:colOff>
      <xdr:row>23</xdr:row>
      <xdr:rowOff>0</xdr:rowOff>
    </xdr:to>
    <xdr:graphicFrame macro="">
      <xdr:nvGraphicFramePr>
        <xdr:cNvPr id="94" name="Chart 93">
          <a:extLst>
            <a:ext uri="{FF2B5EF4-FFF2-40B4-BE49-F238E27FC236}">
              <a16:creationId xmlns:a16="http://schemas.microsoft.com/office/drawing/2014/main" id="{BF31B38C-BA68-455D-93B2-FF0C9200E9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14</xdr:col>
      <xdr:colOff>585120</xdr:colOff>
      <xdr:row>15</xdr:row>
      <xdr:rowOff>144780</xdr:rowOff>
    </xdr:from>
    <xdr:to>
      <xdr:col>16</xdr:col>
      <xdr:colOff>121920</xdr:colOff>
      <xdr:row>17</xdr:row>
      <xdr:rowOff>137160</xdr:rowOff>
    </xdr:to>
    <xdr:sp macro="" textlink="Processing!M2">
      <xdr:nvSpPr>
        <xdr:cNvPr id="95" name="TextBox 94">
          <a:extLst>
            <a:ext uri="{FF2B5EF4-FFF2-40B4-BE49-F238E27FC236}">
              <a16:creationId xmlns:a16="http://schemas.microsoft.com/office/drawing/2014/main" id="{FC275B7A-B329-45A2-B80B-186AD012DD88}"/>
            </a:ext>
          </a:extLst>
        </xdr:cNvPr>
        <xdr:cNvSpPr txBox="1"/>
      </xdr:nvSpPr>
      <xdr:spPr>
        <a:xfrm>
          <a:off x="9119520" y="2887980"/>
          <a:ext cx="7560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26F411-CA6E-4966-9627-18E45A6C7A9F}" type="TxLink">
            <a:rPr lang="en-US" sz="2400" b="0" i="0" u="none" strike="noStrike">
              <a:solidFill>
                <a:schemeClr val="bg1"/>
              </a:solidFill>
              <a:latin typeface="Calibri"/>
              <a:ea typeface="Calibri"/>
              <a:cs typeface="Calibri"/>
            </a:rPr>
            <a:pPr algn="ctr"/>
            <a:t>62%</a:t>
          </a:fld>
          <a:endParaRPr lang="en-IN" sz="2400" b="0">
            <a:solidFill>
              <a:schemeClr val="bg1"/>
            </a:solidFill>
          </a:endParaRPr>
        </a:p>
      </xdr:txBody>
    </xdr:sp>
    <xdr:clientData/>
  </xdr:twoCellAnchor>
  <xdr:twoCellAnchor>
    <xdr:from>
      <xdr:col>14</xdr:col>
      <xdr:colOff>0</xdr:colOff>
      <xdr:row>20</xdr:row>
      <xdr:rowOff>160020</xdr:rowOff>
    </xdr:from>
    <xdr:to>
      <xdr:col>15</xdr:col>
      <xdr:colOff>146400</xdr:colOff>
      <xdr:row>22</xdr:row>
      <xdr:rowOff>152400</xdr:rowOff>
    </xdr:to>
    <xdr:sp macro="" textlink="Processing!D1">
      <xdr:nvSpPr>
        <xdr:cNvPr id="96" name="TextBox 95">
          <a:extLst>
            <a:ext uri="{FF2B5EF4-FFF2-40B4-BE49-F238E27FC236}">
              <a16:creationId xmlns:a16="http://schemas.microsoft.com/office/drawing/2014/main" id="{804D9A7D-1A3C-4BD2-BBF7-6C290C5384F7}"/>
            </a:ext>
          </a:extLst>
        </xdr:cNvPr>
        <xdr:cNvSpPr txBox="1"/>
      </xdr:nvSpPr>
      <xdr:spPr>
        <a:xfrm>
          <a:off x="8534400" y="3817620"/>
          <a:ext cx="7560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D3E1773-C77E-4D7A-AACD-9695A762BCAE}" type="TxLink">
            <a:rPr lang="en-US" sz="1200" b="0" i="0" u="none" strike="noStrike">
              <a:solidFill>
                <a:srgbClr val="FFFFFF"/>
              </a:solidFill>
              <a:latin typeface="Calibri"/>
              <a:ea typeface="Calibri"/>
              <a:cs typeface="Calibri"/>
            </a:rPr>
            <a:pPr algn="r"/>
            <a:t>Income</a:t>
          </a:fld>
          <a:endParaRPr lang="en-IN" sz="2000" b="0">
            <a:solidFill>
              <a:srgbClr val="6372A4"/>
            </a:solidFill>
          </a:endParaRPr>
        </a:p>
      </xdr:txBody>
    </xdr:sp>
    <xdr:clientData/>
  </xdr:twoCellAnchor>
  <xdr:twoCellAnchor>
    <xdr:from>
      <xdr:col>15</xdr:col>
      <xdr:colOff>486060</xdr:colOff>
      <xdr:row>20</xdr:row>
      <xdr:rowOff>160020</xdr:rowOff>
    </xdr:from>
    <xdr:to>
      <xdr:col>17</xdr:col>
      <xdr:colOff>22860</xdr:colOff>
      <xdr:row>22</xdr:row>
      <xdr:rowOff>152400</xdr:rowOff>
    </xdr:to>
    <xdr:sp macro="" textlink="Processing!E1">
      <xdr:nvSpPr>
        <xdr:cNvPr id="97" name="TextBox 96">
          <a:extLst>
            <a:ext uri="{FF2B5EF4-FFF2-40B4-BE49-F238E27FC236}">
              <a16:creationId xmlns:a16="http://schemas.microsoft.com/office/drawing/2014/main" id="{B5C63F4D-EF18-4AB7-A9E3-6356645D062F}"/>
            </a:ext>
          </a:extLst>
        </xdr:cNvPr>
        <xdr:cNvSpPr txBox="1"/>
      </xdr:nvSpPr>
      <xdr:spPr>
        <a:xfrm>
          <a:off x="9630060" y="3817620"/>
          <a:ext cx="7560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F7E03AA-B868-49BB-B6FE-0FC20121D425}" type="TxLink">
            <a:rPr lang="en-US" sz="1200" b="0" i="0" u="none" strike="noStrike">
              <a:solidFill>
                <a:srgbClr val="FFFFFF"/>
              </a:solidFill>
              <a:latin typeface="Calibri"/>
              <a:ea typeface="Calibri"/>
              <a:cs typeface="Calibri"/>
            </a:rPr>
            <a:pPr marL="0" indent="0" algn="r"/>
            <a:t>Expenses</a:t>
          </a:fld>
          <a:endParaRPr lang="en-IN" sz="1200" b="0" i="0" u="none" strike="noStrike">
            <a:solidFill>
              <a:srgbClr val="FFFFFF"/>
            </a:solidFill>
            <a:latin typeface="Calibri"/>
            <a:ea typeface="Calibri"/>
            <a:cs typeface="Calibri"/>
          </a:endParaRPr>
        </a:p>
      </xdr:txBody>
    </xdr:sp>
    <xdr:clientData/>
  </xdr:twoCellAnchor>
  <xdr:twoCellAnchor>
    <xdr:from>
      <xdr:col>13</xdr:col>
      <xdr:colOff>594360</xdr:colOff>
      <xdr:row>21</xdr:row>
      <xdr:rowOff>91440</xdr:rowOff>
    </xdr:from>
    <xdr:to>
      <xdr:col>14</xdr:col>
      <xdr:colOff>121920</xdr:colOff>
      <xdr:row>22</xdr:row>
      <xdr:rowOff>45720</xdr:rowOff>
    </xdr:to>
    <xdr:sp macro="" textlink="">
      <xdr:nvSpPr>
        <xdr:cNvPr id="98" name="Oval 97">
          <a:extLst>
            <a:ext uri="{FF2B5EF4-FFF2-40B4-BE49-F238E27FC236}">
              <a16:creationId xmlns:a16="http://schemas.microsoft.com/office/drawing/2014/main" id="{58614F6E-E8B5-40CC-0F0E-816FB52797B2}"/>
            </a:ext>
          </a:extLst>
        </xdr:cNvPr>
        <xdr:cNvSpPr/>
      </xdr:nvSpPr>
      <xdr:spPr>
        <a:xfrm>
          <a:off x="8519160" y="3931920"/>
          <a:ext cx="137160" cy="137160"/>
        </a:xfrm>
        <a:prstGeom prst="ellipse">
          <a:avLst/>
        </a:prstGeom>
        <a:solidFill>
          <a:srgbClr val="4A59E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373380</xdr:colOff>
      <xdr:row>21</xdr:row>
      <xdr:rowOff>91440</xdr:rowOff>
    </xdr:from>
    <xdr:to>
      <xdr:col>15</xdr:col>
      <xdr:colOff>510540</xdr:colOff>
      <xdr:row>22</xdr:row>
      <xdr:rowOff>45720</xdr:rowOff>
    </xdr:to>
    <xdr:sp macro="" textlink="">
      <xdr:nvSpPr>
        <xdr:cNvPr id="99" name="Oval 98">
          <a:extLst>
            <a:ext uri="{FF2B5EF4-FFF2-40B4-BE49-F238E27FC236}">
              <a16:creationId xmlns:a16="http://schemas.microsoft.com/office/drawing/2014/main" id="{E6B847CD-FFC5-43DB-9D05-7DC0C5FF240F}"/>
            </a:ext>
          </a:extLst>
        </xdr:cNvPr>
        <xdr:cNvSpPr/>
      </xdr:nvSpPr>
      <xdr:spPr>
        <a:xfrm>
          <a:off x="9517380" y="3931920"/>
          <a:ext cx="137160" cy="137160"/>
        </a:xfrm>
        <a:prstGeom prst="ellipse">
          <a:avLst/>
        </a:prstGeom>
        <a:solidFill>
          <a:srgbClr val="FF00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137160</xdr:colOff>
      <xdr:row>28</xdr:row>
      <xdr:rowOff>0</xdr:rowOff>
    </xdr:from>
    <xdr:to>
      <xdr:col>7</xdr:col>
      <xdr:colOff>137160</xdr:colOff>
      <xdr:row>38</xdr:row>
      <xdr:rowOff>0</xdr:rowOff>
    </xdr:to>
    <xdr:sp macro="" textlink="">
      <xdr:nvSpPr>
        <xdr:cNvPr id="103" name="Oval 102">
          <a:extLst>
            <a:ext uri="{FF2B5EF4-FFF2-40B4-BE49-F238E27FC236}">
              <a16:creationId xmlns:a16="http://schemas.microsoft.com/office/drawing/2014/main" id="{DEB063C8-44F6-F0C9-5783-95FD45DFFEDA}"/>
            </a:ext>
          </a:extLst>
        </xdr:cNvPr>
        <xdr:cNvSpPr/>
      </xdr:nvSpPr>
      <xdr:spPr>
        <a:xfrm>
          <a:off x="2575560" y="5120640"/>
          <a:ext cx="1828800" cy="1828800"/>
        </a:xfrm>
        <a:prstGeom prst="ellips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503760</xdr:colOff>
      <xdr:row>30</xdr:row>
      <xdr:rowOff>0</xdr:rowOff>
    </xdr:from>
    <xdr:to>
      <xdr:col>6</xdr:col>
      <xdr:colOff>381840</xdr:colOff>
      <xdr:row>36</xdr:row>
      <xdr:rowOff>0</xdr:rowOff>
    </xdr:to>
    <xdr:sp macro="" textlink="">
      <xdr:nvSpPr>
        <xdr:cNvPr id="101" name="Oval 100">
          <a:extLst>
            <a:ext uri="{FF2B5EF4-FFF2-40B4-BE49-F238E27FC236}">
              <a16:creationId xmlns:a16="http://schemas.microsoft.com/office/drawing/2014/main" id="{E81A1246-2F0E-C9CA-A80E-C863ABD875F6}"/>
            </a:ext>
          </a:extLst>
        </xdr:cNvPr>
        <xdr:cNvSpPr/>
      </xdr:nvSpPr>
      <xdr:spPr>
        <a:xfrm>
          <a:off x="2942160" y="5486400"/>
          <a:ext cx="1097280" cy="1097280"/>
        </a:xfrm>
        <a:prstGeom prst="ellipse">
          <a:avLst/>
        </a:prstGeom>
        <a:gradFill>
          <a:gsLst>
            <a:gs pos="0">
              <a:srgbClr val="34349E"/>
            </a:gs>
            <a:gs pos="100000">
              <a:srgbClr val="212469">
                <a:lumMod val="95000"/>
              </a:srgbClr>
            </a:gs>
          </a:gsLst>
          <a:lin ang="5400000" scaled="1"/>
        </a:gradFill>
        <a:ln w="9525">
          <a:solidFill>
            <a:srgbClr val="3647E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3</xdr:col>
      <xdr:colOff>350100</xdr:colOff>
      <xdr:row>26</xdr:row>
      <xdr:rowOff>0</xdr:rowOff>
    </xdr:from>
    <xdr:to>
      <xdr:col>8</xdr:col>
      <xdr:colOff>38100</xdr:colOff>
      <xdr:row>39</xdr:row>
      <xdr:rowOff>142560</xdr:rowOff>
    </xdr:to>
    <xdr:graphicFrame macro="">
      <xdr:nvGraphicFramePr>
        <xdr:cNvPr id="100" name="Chart 99">
          <a:extLst>
            <a:ext uri="{FF2B5EF4-FFF2-40B4-BE49-F238E27FC236}">
              <a16:creationId xmlns:a16="http://schemas.microsoft.com/office/drawing/2014/main" id="{FB051D92-58B6-442C-8D48-1D5362CCB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4</xdr:col>
      <xdr:colOff>136500</xdr:colOff>
      <xdr:row>27</xdr:row>
      <xdr:rowOff>112080</xdr:rowOff>
    </xdr:from>
    <xdr:to>
      <xdr:col>7</xdr:col>
      <xdr:colOff>251700</xdr:colOff>
      <xdr:row>38</xdr:row>
      <xdr:rowOff>44400</xdr:rowOff>
    </xdr:to>
    <xdr:sp macro="" textlink="">
      <xdr:nvSpPr>
        <xdr:cNvPr id="102" name="Circle: Hollow 101">
          <a:extLst>
            <a:ext uri="{FF2B5EF4-FFF2-40B4-BE49-F238E27FC236}">
              <a16:creationId xmlns:a16="http://schemas.microsoft.com/office/drawing/2014/main" id="{FF4CD391-B144-C591-4661-C66A3E49456A}"/>
            </a:ext>
          </a:extLst>
        </xdr:cNvPr>
        <xdr:cNvSpPr/>
      </xdr:nvSpPr>
      <xdr:spPr>
        <a:xfrm>
          <a:off x="2574900" y="5049840"/>
          <a:ext cx="1944000" cy="1944000"/>
        </a:xfrm>
        <a:prstGeom prst="donut">
          <a:avLst>
            <a:gd name="adj" fmla="val 8303"/>
          </a:avLst>
        </a:prstGeom>
        <a:solidFill>
          <a:srgbClr val="10123A"/>
        </a:solidFill>
        <a:ln>
          <a:noFill/>
        </a:ln>
        <a:effectLst>
          <a:outerShdw blurRad="38100" sx="93000" sy="93000" algn="ctr" rotWithShape="0">
            <a:prstClr val="black">
              <a:alpha val="5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 </a:t>
          </a:r>
        </a:p>
      </xdr:txBody>
    </xdr:sp>
    <xdr:clientData/>
  </xdr:twoCellAnchor>
  <xdr:twoCellAnchor>
    <xdr:from>
      <xdr:col>5</xdr:col>
      <xdr:colOff>91440</xdr:colOff>
      <xdr:row>30</xdr:row>
      <xdr:rowOff>106680</xdr:rowOff>
    </xdr:from>
    <xdr:to>
      <xdr:col>6</xdr:col>
      <xdr:colOff>304800</xdr:colOff>
      <xdr:row>35</xdr:row>
      <xdr:rowOff>15240</xdr:rowOff>
    </xdr:to>
    <xdr:sp macro="" textlink="">
      <xdr:nvSpPr>
        <xdr:cNvPr id="104" name="Oval 103">
          <a:extLst>
            <a:ext uri="{FF2B5EF4-FFF2-40B4-BE49-F238E27FC236}">
              <a16:creationId xmlns:a16="http://schemas.microsoft.com/office/drawing/2014/main" id="{83F268A8-75DC-DBCB-2BF4-29FDDB8ACF12}"/>
            </a:ext>
          </a:extLst>
        </xdr:cNvPr>
        <xdr:cNvSpPr/>
      </xdr:nvSpPr>
      <xdr:spPr>
        <a:xfrm>
          <a:off x="3139440" y="5593080"/>
          <a:ext cx="822960" cy="822960"/>
        </a:xfrm>
        <a:prstGeom prst="ellipse">
          <a:avLst/>
        </a:prstGeom>
        <a:solidFill>
          <a:srgbClr val="10123A"/>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601980</xdr:colOff>
      <xdr:row>30</xdr:row>
      <xdr:rowOff>53340</xdr:rowOff>
    </xdr:from>
    <xdr:to>
      <xdr:col>6</xdr:col>
      <xdr:colOff>411480</xdr:colOff>
      <xdr:row>35</xdr:row>
      <xdr:rowOff>83820</xdr:rowOff>
    </xdr:to>
    <xdr:graphicFrame macro="">
      <xdr:nvGraphicFramePr>
        <xdr:cNvPr id="105" name="Chart 104">
          <a:extLst>
            <a:ext uri="{FF2B5EF4-FFF2-40B4-BE49-F238E27FC236}">
              <a16:creationId xmlns:a16="http://schemas.microsoft.com/office/drawing/2014/main" id="{E64E416B-CDF0-4249-BD04-5ED5B3CF7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xdr:col>
      <xdr:colOff>76200</xdr:colOff>
      <xdr:row>25</xdr:row>
      <xdr:rowOff>60960</xdr:rowOff>
    </xdr:from>
    <xdr:to>
      <xdr:col>5</xdr:col>
      <xdr:colOff>222600</xdr:colOff>
      <xdr:row>27</xdr:row>
      <xdr:rowOff>53340</xdr:rowOff>
    </xdr:to>
    <xdr:sp macro="" textlink="Processing!A16">
      <xdr:nvSpPr>
        <xdr:cNvPr id="106" name="TextBox 105">
          <a:extLst>
            <a:ext uri="{FF2B5EF4-FFF2-40B4-BE49-F238E27FC236}">
              <a16:creationId xmlns:a16="http://schemas.microsoft.com/office/drawing/2014/main" id="{4EF171B1-E07B-4C60-8F7E-615544C004CA}"/>
            </a:ext>
          </a:extLst>
        </xdr:cNvPr>
        <xdr:cNvSpPr txBox="1"/>
      </xdr:nvSpPr>
      <xdr:spPr>
        <a:xfrm>
          <a:off x="2514600" y="4632960"/>
          <a:ext cx="7560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7BED42E-078A-481F-96B6-522B9A9C7147}" type="TxLink">
            <a:rPr lang="en-US" sz="1200" b="0" i="0" u="none" strike="noStrike">
              <a:solidFill>
                <a:schemeClr val="bg1"/>
              </a:solidFill>
              <a:latin typeface="Calibri"/>
              <a:ea typeface="Calibri"/>
              <a:cs typeface="Calibri"/>
            </a:rPr>
            <a:pPr algn="l"/>
            <a:t>Budget</a:t>
          </a:fld>
          <a:endParaRPr lang="en-IN" sz="2400" b="0">
            <a:solidFill>
              <a:schemeClr val="bg1"/>
            </a:solidFill>
          </a:endParaRPr>
        </a:p>
      </xdr:txBody>
    </xdr:sp>
    <xdr:clientData/>
  </xdr:twoCellAnchor>
  <xdr:twoCellAnchor>
    <xdr:from>
      <xdr:col>6</xdr:col>
      <xdr:colOff>114300</xdr:colOff>
      <xdr:row>25</xdr:row>
      <xdr:rowOff>60960</xdr:rowOff>
    </xdr:from>
    <xdr:to>
      <xdr:col>7</xdr:col>
      <xdr:colOff>382620</xdr:colOff>
      <xdr:row>27</xdr:row>
      <xdr:rowOff>53340</xdr:rowOff>
    </xdr:to>
    <xdr:sp macro="" textlink="Processing!B16">
      <xdr:nvSpPr>
        <xdr:cNvPr id="107" name="TextBox 106">
          <a:extLst>
            <a:ext uri="{FF2B5EF4-FFF2-40B4-BE49-F238E27FC236}">
              <a16:creationId xmlns:a16="http://schemas.microsoft.com/office/drawing/2014/main" id="{ADB3D5DD-6F64-4634-AA1E-B5168E199E9A}"/>
            </a:ext>
          </a:extLst>
        </xdr:cNvPr>
        <xdr:cNvSpPr txBox="1"/>
      </xdr:nvSpPr>
      <xdr:spPr>
        <a:xfrm>
          <a:off x="3771900" y="4632960"/>
          <a:ext cx="8779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0DF0197B-0BDD-46C2-BF88-A82C1B6A6F95}" type="TxLink">
            <a:rPr lang="en-US" sz="1400" b="0" i="0" u="none" strike="noStrike">
              <a:solidFill>
                <a:schemeClr val="accent1">
                  <a:lumMod val="40000"/>
                  <a:lumOff val="60000"/>
                </a:schemeClr>
              </a:solidFill>
              <a:latin typeface="Calibri"/>
              <a:ea typeface="Calibri"/>
              <a:cs typeface="Calibri"/>
            </a:rPr>
            <a:pPr algn="r"/>
            <a:t>$64,083</a:t>
          </a:fld>
          <a:endParaRPr lang="en-IN" sz="3200" b="0">
            <a:solidFill>
              <a:schemeClr val="accent1">
                <a:lumMod val="40000"/>
                <a:lumOff val="60000"/>
              </a:schemeClr>
            </a:solidFill>
          </a:endParaRPr>
        </a:p>
      </xdr:txBody>
    </xdr:sp>
    <xdr:clientData/>
  </xdr:twoCellAnchor>
  <xdr:twoCellAnchor>
    <xdr:from>
      <xdr:col>5</xdr:col>
      <xdr:colOff>128767</xdr:colOff>
      <xdr:row>31</xdr:row>
      <xdr:rowOff>144780</xdr:rowOff>
    </xdr:from>
    <xdr:to>
      <xdr:col>6</xdr:col>
      <xdr:colOff>275167</xdr:colOff>
      <xdr:row>33</xdr:row>
      <xdr:rowOff>137160</xdr:rowOff>
    </xdr:to>
    <xdr:sp macro="" textlink="Processing!B26">
      <xdr:nvSpPr>
        <xdr:cNvPr id="108" name="TextBox 107">
          <a:extLst>
            <a:ext uri="{FF2B5EF4-FFF2-40B4-BE49-F238E27FC236}">
              <a16:creationId xmlns:a16="http://schemas.microsoft.com/office/drawing/2014/main" id="{098EAABB-F402-4AF2-A80E-9290088B68B2}"/>
            </a:ext>
          </a:extLst>
        </xdr:cNvPr>
        <xdr:cNvSpPr txBox="1"/>
      </xdr:nvSpPr>
      <xdr:spPr>
        <a:xfrm>
          <a:off x="3176767" y="5919047"/>
          <a:ext cx="756000" cy="364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27B342-EC87-43DE-B3B9-EB9228688967}" type="TxLink">
            <a:rPr lang="en-US" sz="1800" b="0" i="0" u="none" strike="noStrike">
              <a:solidFill>
                <a:schemeClr val="accent1">
                  <a:lumMod val="40000"/>
                  <a:lumOff val="60000"/>
                </a:schemeClr>
              </a:solidFill>
              <a:latin typeface="Calibri"/>
              <a:ea typeface="Calibri"/>
              <a:cs typeface="Calibri"/>
            </a:rPr>
            <a:pPr algn="ctr"/>
            <a:t>79%</a:t>
          </a:fld>
          <a:endParaRPr lang="en-IN" sz="4000" b="0">
            <a:solidFill>
              <a:schemeClr val="accent1">
                <a:lumMod val="40000"/>
                <a:lumOff val="60000"/>
              </a:schemeClr>
            </a:solidFill>
          </a:endParaRPr>
        </a:p>
      </xdr:txBody>
    </xdr:sp>
    <xdr:clientData/>
  </xdr:twoCellAnchor>
  <xdr:twoCellAnchor>
    <xdr:from>
      <xdr:col>10</xdr:col>
      <xdr:colOff>0</xdr:colOff>
      <xdr:row>29</xdr:row>
      <xdr:rowOff>15240</xdr:rowOff>
    </xdr:from>
    <xdr:to>
      <xdr:col>11</xdr:col>
      <xdr:colOff>146400</xdr:colOff>
      <xdr:row>31</xdr:row>
      <xdr:rowOff>101700</xdr:rowOff>
    </xdr:to>
    <xdr:grpSp>
      <xdr:nvGrpSpPr>
        <xdr:cNvPr id="112" name="Group 111">
          <a:extLst>
            <a:ext uri="{FF2B5EF4-FFF2-40B4-BE49-F238E27FC236}">
              <a16:creationId xmlns:a16="http://schemas.microsoft.com/office/drawing/2014/main" id="{B865E560-D524-8E00-C193-8E9C7144C169}"/>
            </a:ext>
          </a:extLst>
        </xdr:cNvPr>
        <xdr:cNvGrpSpPr/>
      </xdr:nvGrpSpPr>
      <xdr:grpSpPr>
        <a:xfrm>
          <a:off x="6113721" y="5411263"/>
          <a:ext cx="757772" cy="458600"/>
          <a:chOff x="6096000" y="5318760"/>
          <a:chExt cx="756000" cy="452220"/>
        </a:xfrm>
      </xdr:grpSpPr>
      <xdr:sp macro="" textlink="">
        <xdr:nvSpPr>
          <xdr:cNvPr id="110" name="Oval 109">
            <a:extLst>
              <a:ext uri="{FF2B5EF4-FFF2-40B4-BE49-F238E27FC236}">
                <a16:creationId xmlns:a16="http://schemas.microsoft.com/office/drawing/2014/main" id="{079C0044-9860-3A50-B2FB-594879A0978D}"/>
              </a:ext>
            </a:extLst>
          </xdr:cNvPr>
          <xdr:cNvSpPr/>
        </xdr:nvSpPr>
        <xdr:spPr>
          <a:xfrm>
            <a:off x="6217920" y="5318760"/>
            <a:ext cx="411480" cy="411480"/>
          </a:xfrm>
          <a:prstGeom prst="ellipse">
            <a:avLst/>
          </a:prstGeom>
          <a:solidFill>
            <a:srgbClr val="8D76FC">
              <a:alpha val="56000"/>
            </a:srgbClr>
          </a:solidFill>
          <a:ln>
            <a:solidFill>
              <a:schemeClr val="tx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1" name="Rectangle 110">
            <a:extLst>
              <a:ext uri="{FF2B5EF4-FFF2-40B4-BE49-F238E27FC236}">
                <a16:creationId xmlns:a16="http://schemas.microsoft.com/office/drawing/2014/main" id="{4BDF3353-339B-5286-0327-E5E1F7B6A211}"/>
              </a:ext>
            </a:extLst>
          </xdr:cNvPr>
          <xdr:cNvSpPr/>
        </xdr:nvSpPr>
        <xdr:spPr>
          <a:xfrm>
            <a:off x="6096000" y="5554980"/>
            <a:ext cx="756000" cy="216000"/>
          </a:xfrm>
          <a:prstGeom prst="rect">
            <a:avLst/>
          </a:prstGeom>
          <a:solidFill>
            <a:srgbClr val="1012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7</xdr:col>
      <xdr:colOff>22860</xdr:colOff>
      <xdr:row>24</xdr:row>
      <xdr:rowOff>0</xdr:rowOff>
    </xdr:from>
    <xdr:to>
      <xdr:col>14</xdr:col>
      <xdr:colOff>22860</xdr:colOff>
      <xdr:row>38</xdr:row>
      <xdr:rowOff>0</xdr:rowOff>
    </xdr:to>
    <xdr:graphicFrame macro="">
      <xdr:nvGraphicFramePr>
        <xdr:cNvPr id="109" name="Chart 108">
          <a:extLst>
            <a:ext uri="{FF2B5EF4-FFF2-40B4-BE49-F238E27FC236}">
              <a16:creationId xmlns:a16="http://schemas.microsoft.com/office/drawing/2014/main" id="{2072ADC9-8145-4E41-AC19-627DAF67B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xdr:col>
      <xdr:colOff>220980</xdr:colOff>
      <xdr:row>25</xdr:row>
      <xdr:rowOff>45720</xdr:rowOff>
    </xdr:from>
    <xdr:to>
      <xdr:col>9</xdr:col>
      <xdr:colOff>367380</xdr:colOff>
      <xdr:row>27</xdr:row>
      <xdr:rowOff>38100</xdr:rowOff>
    </xdr:to>
    <xdr:sp macro="" textlink="Processing!A16">
      <xdr:nvSpPr>
        <xdr:cNvPr id="113" name="TextBox 112">
          <a:extLst>
            <a:ext uri="{FF2B5EF4-FFF2-40B4-BE49-F238E27FC236}">
              <a16:creationId xmlns:a16="http://schemas.microsoft.com/office/drawing/2014/main" id="{AC42C0F8-D809-412B-926B-A540C2561135}"/>
            </a:ext>
          </a:extLst>
        </xdr:cNvPr>
        <xdr:cNvSpPr txBox="1"/>
      </xdr:nvSpPr>
      <xdr:spPr>
        <a:xfrm>
          <a:off x="5097780" y="4617720"/>
          <a:ext cx="7560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bg1"/>
              </a:solidFill>
              <a:latin typeface="Calibri"/>
              <a:ea typeface="Calibri"/>
              <a:cs typeface="Calibri"/>
            </a:rPr>
            <a:t>Invest</a:t>
          </a:r>
          <a:endParaRPr lang="en-IN" sz="2400" b="0">
            <a:solidFill>
              <a:schemeClr val="bg1"/>
            </a:solidFill>
          </a:endParaRPr>
        </a:p>
      </xdr:txBody>
    </xdr:sp>
    <xdr:clientData/>
  </xdr:twoCellAnchor>
  <xdr:twoCellAnchor>
    <xdr:from>
      <xdr:col>10</xdr:col>
      <xdr:colOff>470820</xdr:colOff>
      <xdr:row>25</xdr:row>
      <xdr:rowOff>0</xdr:rowOff>
    </xdr:from>
    <xdr:to>
      <xdr:col>12</xdr:col>
      <xdr:colOff>129540</xdr:colOff>
      <xdr:row>26</xdr:row>
      <xdr:rowOff>175260</xdr:rowOff>
    </xdr:to>
    <xdr:sp macro="" textlink="Processing!G22">
      <xdr:nvSpPr>
        <xdr:cNvPr id="114" name="TextBox 113">
          <a:extLst>
            <a:ext uri="{FF2B5EF4-FFF2-40B4-BE49-F238E27FC236}">
              <a16:creationId xmlns:a16="http://schemas.microsoft.com/office/drawing/2014/main" id="{2C49B54E-94C4-4446-ADA1-1929AD6A6F17}"/>
            </a:ext>
          </a:extLst>
        </xdr:cNvPr>
        <xdr:cNvSpPr txBox="1"/>
      </xdr:nvSpPr>
      <xdr:spPr>
        <a:xfrm>
          <a:off x="6566820" y="4572000"/>
          <a:ext cx="8779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EC41C7E-CBF4-472F-ABE3-F72057F49410}" type="TxLink">
            <a:rPr lang="en-US" sz="1400" b="0" i="0" u="none" strike="noStrike">
              <a:solidFill>
                <a:schemeClr val="accent1">
                  <a:lumMod val="40000"/>
                  <a:lumOff val="60000"/>
                </a:schemeClr>
              </a:solidFill>
              <a:latin typeface="Calibri"/>
              <a:ea typeface="Calibri"/>
              <a:cs typeface="Calibri"/>
            </a:rPr>
            <a:pPr marL="0" indent="0" algn="r"/>
            <a:t>$1,03,615</a:t>
          </a:fld>
          <a:endParaRPr lang="en-IN" sz="1400" b="0" i="0" u="none" strike="noStrike">
            <a:solidFill>
              <a:schemeClr val="accent1">
                <a:lumMod val="40000"/>
                <a:lumOff val="60000"/>
              </a:schemeClr>
            </a:solidFill>
            <a:latin typeface="Calibri"/>
            <a:ea typeface="Calibri"/>
            <a:cs typeface="Calibri"/>
          </a:endParaRPr>
        </a:p>
      </xdr:txBody>
    </xdr:sp>
    <xdr:clientData/>
  </xdr:twoCellAnchor>
  <xdr:twoCellAnchor>
    <xdr:from>
      <xdr:col>8</xdr:col>
      <xdr:colOff>152400</xdr:colOff>
      <xdr:row>32</xdr:row>
      <xdr:rowOff>91440</xdr:rowOff>
    </xdr:from>
    <xdr:to>
      <xdr:col>12</xdr:col>
      <xdr:colOff>480060</xdr:colOff>
      <xdr:row>39</xdr:row>
      <xdr:rowOff>160020</xdr:rowOff>
    </xdr:to>
    <xdr:graphicFrame macro="">
      <xdr:nvGraphicFramePr>
        <xdr:cNvPr id="2" name="Chart 1">
          <a:extLst>
            <a:ext uri="{FF2B5EF4-FFF2-40B4-BE49-F238E27FC236}">
              <a16:creationId xmlns:a16="http://schemas.microsoft.com/office/drawing/2014/main" id="{490885F7-E410-4DB4-9F38-DA46E0B93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9</xdr:col>
      <xdr:colOff>403860</xdr:colOff>
      <xdr:row>32</xdr:row>
      <xdr:rowOff>91440</xdr:rowOff>
    </xdr:from>
    <xdr:to>
      <xdr:col>10</xdr:col>
      <xdr:colOff>550260</xdr:colOff>
      <xdr:row>34</xdr:row>
      <xdr:rowOff>83820</xdr:rowOff>
    </xdr:to>
    <xdr:sp macro="" textlink="Processing!N17">
      <xdr:nvSpPr>
        <xdr:cNvPr id="3" name="TextBox 2">
          <a:extLst>
            <a:ext uri="{FF2B5EF4-FFF2-40B4-BE49-F238E27FC236}">
              <a16:creationId xmlns:a16="http://schemas.microsoft.com/office/drawing/2014/main" id="{1C4C5185-8544-4071-8317-5B42FD99B678}"/>
            </a:ext>
          </a:extLst>
        </xdr:cNvPr>
        <xdr:cNvSpPr txBox="1"/>
      </xdr:nvSpPr>
      <xdr:spPr>
        <a:xfrm>
          <a:off x="5890260" y="5943600"/>
          <a:ext cx="7560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A1589AE-063E-489A-82F2-12F5C84496CF}" type="TxLink">
            <a:rPr lang="en-US" sz="1200" b="0" i="0" u="none" strike="noStrike">
              <a:solidFill>
                <a:schemeClr val="bg1"/>
              </a:solidFill>
              <a:latin typeface="Calibri"/>
              <a:ea typeface="Calibri"/>
              <a:cs typeface="Calibri"/>
            </a:rPr>
            <a:pPr marL="0" indent="0" algn="l"/>
            <a:t>Debts</a:t>
          </a:fld>
          <a:endParaRPr lang="en-IN" sz="1200" b="0" i="0" u="none" strike="noStrike">
            <a:solidFill>
              <a:schemeClr val="bg1"/>
            </a:solidFill>
            <a:latin typeface="Calibri"/>
            <a:ea typeface="Calibri"/>
            <a:cs typeface="Calibri"/>
          </a:endParaRPr>
        </a:p>
      </xdr:txBody>
    </xdr:sp>
    <xdr:clientData/>
  </xdr:twoCellAnchor>
  <xdr:twoCellAnchor>
    <xdr:from>
      <xdr:col>10</xdr:col>
      <xdr:colOff>350520</xdr:colOff>
      <xdr:row>32</xdr:row>
      <xdr:rowOff>91440</xdr:rowOff>
    </xdr:from>
    <xdr:to>
      <xdr:col>12</xdr:col>
      <xdr:colOff>9240</xdr:colOff>
      <xdr:row>34</xdr:row>
      <xdr:rowOff>83820</xdr:rowOff>
    </xdr:to>
    <xdr:sp macro="" textlink="Processing!P22">
      <xdr:nvSpPr>
        <xdr:cNvPr id="14" name="TextBox 13">
          <a:extLst>
            <a:ext uri="{FF2B5EF4-FFF2-40B4-BE49-F238E27FC236}">
              <a16:creationId xmlns:a16="http://schemas.microsoft.com/office/drawing/2014/main" id="{14D716DB-CDDB-4627-826D-C071CEB581D9}"/>
            </a:ext>
          </a:extLst>
        </xdr:cNvPr>
        <xdr:cNvSpPr txBox="1"/>
      </xdr:nvSpPr>
      <xdr:spPr>
        <a:xfrm>
          <a:off x="6446520" y="5943600"/>
          <a:ext cx="8779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6937CB1-59EC-4717-94CA-C9709C7EED12}" type="TxLink">
            <a:rPr lang="en-US" sz="1400" b="0" i="0" u="none" strike="noStrike">
              <a:solidFill>
                <a:schemeClr val="accent1">
                  <a:lumMod val="40000"/>
                  <a:lumOff val="60000"/>
                </a:schemeClr>
              </a:solidFill>
              <a:latin typeface="Calibri"/>
              <a:ea typeface="Calibri"/>
              <a:cs typeface="Calibri"/>
            </a:rPr>
            <a:pPr marL="0" indent="0" algn="r"/>
            <a:t> $67,984 </a:t>
          </a:fld>
          <a:endParaRPr lang="en-IN" sz="1400" b="0" i="0" u="none" strike="noStrike">
            <a:solidFill>
              <a:schemeClr val="accent1">
                <a:lumMod val="40000"/>
                <a:lumOff val="60000"/>
              </a:schemeClr>
            </a:solidFill>
            <a:latin typeface="Calibri"/>
            <a:ea typeface="Calibri"/>
            <a:cs typeface="Calibri"/>
          </a:endParaRPr>
        </a:p>
      </xdr:txBody>
    </xdr:sp>
    <xdr:clientData/>
  </xdr:twoCellAnchor>
  <xdr:twoCellAnchor>
    <xdr:from>
      <xdr:col>12</xdr:col>
      <xdr:colOff>198120</xdr:colOff>
      <xdr:row>24</xdr:row>
      <xdr:rowOff>160020</xdr:rowOff>
    </xdr:from>
    <xdr:to>
      <xdr:col>17</xdr:col>
      <xdr:colOff>533400</xdr:colOff>
      <xdr:row>38</xdr:row>
      <xdr:rowOff>68580</xdr:rowOff>
    </xdr:to>
    <xdr:graphicFrame macro="">
      <xdr:nvGraphicFramePr>
        <xdr:cNvPr id="18" name="Chart 17">
          <a:extLst>
            <a:ext uri="{FF2B5EF4-FFF2-40B4-BE49-F238E27FC236}">
              <a16:creationId xmlns:a16="http://schemas.microsoft.com/office/drawing/2014/main" id="{5AF0EF94-F162-4AD2-A406-CFB46D5005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14</xdr:col>
      <xdr:colOff>266700</xdr:colOff>
      <xdr:row>29</xdr:row>
      <xdr:rowOff>68580</xdr:rowOff>
    </xdr:from>
    <xdr:to>
      <xdr:col>15</xdr:col>
      <xdr:colOff>480060</xdr:colOff>
      <xdr:row>33</xdr:row>
      <xdr:rowOff>160020</xdr:rowOff>
    </xdr:to>
    <xdr:sp macro="" textlink="Processing!F34">
      <xdr:nvSpPr>
        <xdr:cNvPr id="19" name="Oval 18">
          <a:extLst>
            <a:ext uri="{FF2B5EF4-FFF2-40B4-BE49-F238E27FC236}">
              <a16:creationId xmlns:a16="http://schemas.microsoft.com/office/drawing/2014/main" id="{F97D3259-ABC3-A1F9-9776-8CCC492A4D4E}"/>
            </a:ext>
          </a:extLst>
        </xdr:cNvPr>
        <xdr:cNvSpPr/>
      </xdr:nvSpPr>
      <xdr:spPr>
        <a:xfrm>
          <a:off x="8801100" y="5372100"/>
          <a:ext cx="822960" cy="822960"/>
        </a:xfrm>
        <a:prstGeom prst="ellipse">
          <a:avLst/>
        </a:prstGeom>
        <a:solidFill>
          <a:srgbClr val="8D76FC">
            <a:alpha val="42000"/>
          </a:srgbClr>
        </a:solidFill>
        <a:ln w="9525">
          <a:solidFill>
            <a:srgbClr val="CAD4F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B6561C9-1C17-475A-AF84-F37A5305FCC8}" type="TxLink">
            <a:rPr lang="en-US" sz="1600" b="0" i="0" u="none" strike="noStrike">
              <a:solidFill>
                <a:schemeClr val="bg1"/>
              </a:solidFill>
              <a:latin typeface="Calibri"/>
              <a:ea typeface="Calibri"/>
              <a:cs typeface="Calibri"/>
            </a:rPr>
            <a:pPr algn="ctr"/>
            <a:t>49%</a:t>
          </a:fld>
          <a:endParaRPr lang="en-IN" sz="1600">
            <a:solidFill>
              <a:schemeClr val="bg1"/>
            </a:solidFill>
          </a:endParaRPr>
        </a:p>
      </xdr:txBody>
    </xdr:sp>
    <xdr:clientData/>
  </xdr:twoCellAnchor>
  <xdr:twoCellAnchor>
    <xdr:from>
      <xdr:col>13</xdr:col>
      <xdr:colOff>419100</xdr:colOff>
      <xdr:row>24</xdr:row>
      <xdr:rowOff>164375</xdr:rowOff>
    </xdr:from>
    <xdr:to>
      <xdr:col>15</xdr:col>
      <xdr:colOff>77820</xdr:colOff>
      <xdr:row>26</xdr:row>
      <xdr:rowOff>156755</xdr:rowOff>
    </xdr:to>
    <xdr:sp macro="" textlink="Processing!B30">
      <xdr:nvSpPr>
        <xdr:cNvPr id="20" name="TextBox 19">
          <a:extLst>
            <a:ext uri="{FF2B5EF4-FFF2-40B4-BE49-F238E27FC236}">
              <a16:creationId xmlns:a16="http://schemas.microsoft.com/office/drawing/2014/main" id="{DC2B0EC4-718A-4491-AD0F-97CA07F1A664}"/>
            </a:ext>
          </a:extLst>
        </xdr:cNvPr>
        <xdr:cNvSpPr txBox="1"/>
      </xdr:nvSpPr>
      <xdr:spPr>
        <a:xfrm>
          <a:off x="8343900" y="4553495"/>
          <a:ext cx="8779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C78EA46-9501-4663-9D47-619ECD95E2D1}" type="TxLink">
            <a:rPr lang="en-US" sz="1100" b="1" i="0" u="none" strike="noStrike">
              <a:solidFill>
                <a:srgbClr val="FFFFFF"/>
              </a:solidFill>
              <a:latin typeface="Calibri"/>
              <a:ea typeface="Calibri"/>
              <a:cs typeface="Calibri"/>
            </a:rPr>
            <a:pPr marL="0" indent="0" algn="r"/>
            <a:t>Goal 1</a:t>
          </a:fld>
          <a:endParaRPr lang="en-IN" sz="1400" b="0" i="0" u="none" strike="noStrike">
            <a:solidFill>
              <a:schemeClr val="accent1">
                <a:lumMod val="40000"/>
                <a:lumOff val="60000"/>
              </a:schemeClr>
            </a:solidFill>
            <a:latin typeface="Calibri"/>
            <a:ea typeface="Calibri"/>
            <a:cs typeface="Calibri"/>
          </a:endParaRPr>
        </a:p>
      </xdr:txBody>
    </xdr:sp>
    <xdr:clientData/>
  </xdr:twoCellAnchor>
  <xdr:twoCellAnchor>
    <xdr:from>
      <xdr:col>13</xdr:col>
      <xdr:colOff>419100</xdr:colOff>
      <xdr:row>25</xdr:row>
      <xdr:rowOff>136435</xdr:rowOff>
    </xdr:from>
    <xdr:to>
      <xdr:col>15</xdr:col>
      <xdr:colOff>77820</xdr:colOff>
      <xdr:row>27</xdr:row>
      <xdr:rowOff>128815</xdr:rowOff>
    </xdr:to>
    <xdr:sp macro="" textlink="Processing!C30">
      <xdr:nvSpPr>
        <xdr:cNvPr id="22" name="TextBox 21">
          <a:extLst>
            <a:ext uri="{FF2B5EF4-FFF2-40B4-BE49-F238E27FC236}">
              <a16:creationId xmlns:a16="http://schemas.microsoft.com/office/drawing/2014/main" id="{C3DE9A01-6022-4C52-93A2-5ECFEE8BDA0C}"/>
            </a:ext>
          </a:extLst>
        </xdr:cNvPr>
        <xdr:cNvSpPr txBox="1"/>
      </xdr:nvSpPr>
      <xdr:spPr>
        <a:xfrm>
          <a:off x="8343900" y="4708435"/>
          <a:ext cx="8779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0A4FDA8-4C03-4204-8DEB-A20C01A5D8F7}" type="TxLink">
            <a:rPr lang="en-US" sz="1100" b="1" i="0" u="none" strike="noStrike">
              <a:solidFill>
                <a:srgbClr val="FFFFFF"/>
              </a:solidFill>
              <a:latin typeface="Calibri"/>
              <a:ea typeface="Calibri"/>
              <a:cs typeface="Calibri"/>
            </a:rPr>
            <a:pPr marL="0" indent="0" algn="r"/>
            <a:t>Goal 2</a:t>
          </a:fld>
          <a:endParaRPr lang="en-IN" sz="1400" b="0" i="0" u="none" strike="noStrike">
            <a:solidFill>
              <a:schemeClr val="accent1">
                <a:lumMod val="40000"/>
                <a:lumOff val="60000"/>
              </a:schemeClr>
            </a:solidFill>
            <a:latin typeface="Calibri"/>
            <a:ea typeface="Calibri"/>
            <a:cs typeface="Calibri"/>
          </a:endParaRPr>
        </a:p>
      </xdr:txBody>
    </xdr:sp>
    <xdr:clientData/>
  </xdr:twoCellAnchor>
  <xdr:twoCellAnchor>
    <xdr:from>
      <xdr:col>13</xdr:col>
      <xdr:colOff>419100</xdr:colOff>
      <xdr:row>26</xdr:row>
      <xdr:rowOff>108495</xdr:rowOff>
    </xdr:from>
    <xdr:to>
      <xdr:col>15</xdr:col>
      <xdr:colOff>77820</xdr:colOff>
      <xdr:row>28</xdr:row>
      <xdr:rowOff>100875</xdr:rowOff>
    </xdr:to>
    <xdr:sp macro="" textlink="Processing!D30">
      <xdr:nvSpPr>
        <xdr:cNvPr id="23" name="TextBox 22">
          <a:extLst>
            <a:ext uri="{FF2B5EF4-FFF2-40B4-BE49-F238E27FC236}">
              <a16:creationId xmlns:a16="http://schemas.microsoft.com/office/drawing/2014/main" id="{C73CCB6F-58BB-468E-938F-F761952043B1}"/>
            </a:ext>
          </a:extLst>
        </xdr:cNvPr>
        <xdr:cNvSpPr txBox="1"/>
      </xdr:nvSpPr>
      <xdr:spPr>
        <a:xfrm>
          <a:off x="8343900" y="4863375"/>
          <a:ext cx="8779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9B37F1B-0C05-481C-A5A1-A0B5DC1C434C}" type="TxLink">
            <a:rPr lang="en-US" sz="1100" b="1" i="0" u="none" strike="noStrike">
              <a:solidFill>
                <a:srgbClr val="FFFFFF"/>
              </a:solidFill>
              <a:latin typeface="Calibri"/>
              <a:ea typeface="Calibri"/>
              <a:cs typeface="Calibri"/>
            </a:rPr>
            <a:pPr marL="0" indent="0" algn="r"/>
            <a:t>Goal 3</a:t>
          </a:fld>
          <a:endParaRPr lang="en-IN" sz="1400" b="0" i="0" u="none" strike="noStrike">
            <a:solidFill>
              <a:schemeClr val="accent1">
                <a:lumMod val="40000"/>
                <a:lumOff val="60000"/>
              </a:schemeClr>
            </a:solidFill>
            <a:latin typeface="Calibri"/>
            <a:ea typeface="Calibri"/>
            <a:cs typeface="Calibri"/>
          </a:endParaRPr>
        </a:p>
      </xdr:txBody>
    </xdr:sp>
    <xdr:clientData/>
  </xdr:twoCellAnchor>
  <xdr:twoCellAnchor>
    <xdr:from>
      <xdr:col>13</xdr:col>
      <xdr:colOff>419100</xdr:colOff>
      <xdr:row>27</xdr:row>
      <xdr:rowOff>80555</xdr:rowOff>
    </xdr:from>
    <xdr:to>
      <xdr:col>15</xdr:col>
      <xdr:colOff>77820</xdr:colOff>
      <xdr:row>29</xdr:row>
      <xdr:rowOff>72935</xdr:rowOff>
    </xdr:to>
    <xdr:sp macro="" textlink="Processing!E30">
      <xdr:nvSpPr>
        <xdr:cNvPr id="24" name="TextBox 23">
          <a:extLst>
            <a:ext uri="{FF2B5EF4-FFF2-40B4-BE49-F238E27FC236}">
              <a16:creationId xmlns:a16="http://schemas.microsoft.com/office/drawing/2014/main" id="{B36DD67F-2BB4-4BE3-91D0-73E588A714B1}"/>
            </a:ext>
          </a:extLst>
        </xdr:cNvPr>
        <xdr:cNvSpPr txBox="1"/>
      </xdr:nvSpPr>
      <xdr:spPr>
        <a:xfrm>
          <a:off x="8343900" y="5018315"/>
          <a:ext cx="8779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6095E56-36DD-43DB-97E5-C5C3E0445082}" type="TxLink">
            <a:rPr lang="en-US" sz="1100" b="1" i="0" u="none" strike="noStrike">
              <a:solidFill>
                <a:srgbClr val="FFFFFF"/>
              </a:solidFill>
              <a:latin typeface="Calibri"/>
              <a:ea typeface="Calibri"/>
              <a:cs typeface="Calibri"/>
            </a:rPr>
            <a:pPr marL="0" indent="0" algn="r"/>
            <a:t>Goal 4</a:t>
          </a:fld>
          <a:endParaRPr lang="en-IN" sz="1400" b="0" i="0" u="none" strike="noStrike">
            <a:solidFill>
              <a:schemeClr val="accent1">
                <a:lumMod val="40000"/>
                <a:lumOff val="60000"/>
              </a:schemeClr>
            </a:solidFill>
            <a:latin typeface="Calibri"/>
            <a:ea typeface="Calibri"/>
            <a:cs typeface="Calibri"/>
          </a:endParaRPr>
        </a:p>
      </xdr:txBody>
    </xdr:sp>
    <xdr:clientData/>
  </xdr:twoCellAnchor>
  <xdr:twoCellAnchor>
    <xdr:from>
      <xdr:col>12</xdr:col>
      <xdr:colOff>548640</xdr:colOff>
      <xdr:row>29</xdr:row>
      <xdr:rowOff>149135</xdr:rowOff>
    </xdr:from>
    <xdr:to>
      <xdr:col>14</xdr:col>
      <xdr:colOff>283560</xdr:colOff>
      <xdr:row>31</xdr:row>
      <xdr:rowOff>141515</xdr:rowOff>
    </xdr:to>
    <xdr:sp macro="" textlink="Processing!F31">
      <xdr:nvSpPr>
        <xdr:cNvPr id="26" name="TextBox 25">
          <a:extLst>
            <a:ext uri="{FF2B5EF4-FFF2-40B4-BE49-F238E27FC236}">
              <a16:creationId xmlns:a16="http://schemas.microsoft.com/office/drawing/2014/main" id="{472E65F7-DB3C-48C0-8EDA-F921E09B570F}"/>
            </a:ext>
          </a:extLst>
        </xdr:cNvPr>
        <xdr:cNvSpPr txBox="1"/>
      </xdr:nvSpPr>
      <xdr:spPr>
        <a:xfrm>
          <a:off x="7863840" y="5452655"/>
          <a:ext cx="9541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D336F4C-FAA8-4CCE-BA73-36D7F1D75390}" type="TxLink">
            <a:rPr lang="en-US" sz="1400" b="0" i="0" u="none" strike="noStrike">
              <a:solidFill>
                <a:schemeClr val="accent1">
                  <a:lumMod val="40000"/>
                  <a:lumOff val="60000"/>
                </a:schemeClr>
              </a:solidFill>
              <a:latin typeface="Calibri"/>
              <a:ea typeface="Calibri"/>
              <a:cs typeface="Calibri"/>
            </a:rPr>
            <a:pPr marL="0" indent="0" algn="r"/>
            <a:t>$1,12,379</a:t>
          </a:fld>
          <a:endParaRPr lang="en-IN" sz="1400" b="0" i="0" u="none" strike="noStrike">
            <a:solidFill>
              <a:schemeClr val="accent1">
                <a:lumMod val="40000"/>
                <a:lumOff val="60000"/>
              </a:schemeClr>
            </a:solidFill>
            <a:latin typeface="Calibri"/>
            <a:ea typeface="Calibri"/>
            <a:cs typeface="Calibri"/>
          </a:endParaRPr>
        </a:p>
      </xdr:txBody>
    </xdr:sp>
    <xdr:clientData/>
  </xdr:twoCellAnchor>
  <xdr:twoCellAnchor>
    <xdr:from>
      <xdr:col>18</xdr:col>
      <xdr:colOff>83820</xdr:colOff>
      <xdr:row>24</xdr:row>
      <xdr:rowOff>0</xdr:rowOff>
    </xdr:from>
    <xdr:to>
      <xdr:col>18</xdr:col>
      <xdr:colOff>449580</xdr:colOff>
      <xdr:row>26</xdr:row>
      <xdr:rowOff>0</xdr:rowOff>
    </xdr:to>
    <xdr:sp macro="" textlink="">
      <xdr:nvSpPr>
        <xdr:cNvPr id="27" name="Oval 26">
          <a:extLst>
            <a:ext uri="{FF2B5EF4-FFF2-40B4-BE49-F238E27FC236}">
              <a16:creationId xmlns:a16="http://schemas.microsoft.com/office/drawing/2014/main" id="{CBBE58CC-E05E-7B57-2B03-BA65A53E2760}"/>
            </a:ext>
          </a:extLst>
        </xdr:cNvPr>
        <xdr:cNvSpPr/>
      </xdr:nvSpPr>
      <xdr:spPr>
        <a:xfrm>
          <a:off x="11056620" y="4389120"/>
          <a:ext cx="365760" cy="365760"/>
        </a:xfrm>
        <a:prstGeom prst="ellipse">
          <a:avLst/>
        </a:prstGeom>
        <a:solidFill>
          <a:srgbClr val="FF00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83820</xdr:colOff>
      <xdr:row>26</xdr:row>
      <xdr:rowOff>74023</xdr:rowOff>
    </xdr:from>
    <xdr:to>
      <xdr:col>18</xdr:col>
      <xdr:colOff>449580</xdr:colOff>
      <xdr:row>28</xdr:row>
      <xdr:rowOff>74023</xdr:rowOff>
    </xdr:to>
    <xdr:sp macro="" textlink="">
      <xdr:nvSpPr>
        <xdr:cNvPr id="28" name="Oval 27">
          <a:extLst>
            <a:ext uri="{FF2B5EF4-FFF2-40B4-BE49-F238E27FC236}">
              <a16:creationId xmlns:a16="http://schemas.microsoft.com/office/drawing/2014/main" id="{74A2897F-F896-47FF-88AB-19A476B46EA6}"/>
            </a:ext>
          </a:extLst>
        </xdr:cNvPr>
        <xdr:cNvSpPr/>
      </xdr:nvSpPr>
      <xdr:spPr>
        <a:xfrm>
          <a:off x="11056620" y="4828903"/>
          <a:ext cx="365760" cy="365760"/>
        </a:xfrm>
        <a:prstGeom prst="ellipse">
          <a:avLst/>
        </a:prstGeom>
        <a:solidFill>
          <a:srgbClr val="00B0F0"/>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83820</xdr:colOff>
      <xdr:row>28</xdr:row>
      <xdr:rowOff>148046</xdr:rowOff>
    </xdr:from>
    <xdr:to>
      <xdr:col>18</xdr:col>
      <xdr:colOff>449580</xdr:colOff>
      <xdr:row>30</xdr:row>
      <xdr:rowOff>148046</xdr:rowOff>
    </xdr:to>
    <xdr:sp macro="" textlink="">
      <xdr:nvSpPr>
        <xdr:cNvPr id="29" name="Oval 28">
          <a:extLst>
            <a:ext uri="{FF2B5EF4-FFF2-40B4-BE49-F238E27FC236}">
              <a16:creationId xmlns:a16="http://schemas.microsoft.com/office/drawing/2014/main" id="{D705EC51-BE42-4541-85DC-8464AB9F042E}"/>
            </a:ext>
          </a:extLst>
        </xdr:cNvPr>
        <xdr:cNvSpPr/>
      </xdr:nvSpPr>
      <xdr:spPr>
        <a:xfrm>
          <a:off x="11056620" y="5268686"/>
          <a:ext cx="365760" cy="365760"/>
        </a:xfrm>
        <a:prstGeom prst="ellipse">
          <a:avLst/>
        </a:prstGeom>
        <a:solidFill>
          <a:srgbClr val="AD27FE"/>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83820</xdr:colOff>
      <xdr:row>31</xdr:row>
      <xdr:rowOff>39189</xdr:rowOff>
    </xdr:from>
    <xdr:to>
      <xdr:col>18</xdr:col>
      <xdr:colOff>449580</xdr:colOff>
      <xdr:row>33</xdr:row>
      <xdr:rowOff>39189</xdr:rowOff>
    </xdr:to>
    <xdr:sp macro="" textlink="">
      <xdr:nvSpPr>
        <xdr:cNvPr id="31" name="Oval 30">
          <a:extLst>
            <a:ext uri="{FF2B5EF4-FFF2-40B4-BE49-F238E27FC236}">
              <a16:creationId xmlns:a16="http://schemas.microsoft.com/office/drawing/2014/main" id="{6CD72F12-9E0F-40EB-831A-880DDD3D59F5}"/>
            </a:ext>
          </a:extLst>
        </xdr:cNvPr>
        <xdr:cNvSpPr/>
      </xdr:nvSpPr>
      <xdr:spPr>
        <a:xfrm>
          <a:off x="11056620" y="5708469"/>
          <a:ext cx="365760" cy="365760"/>
        </a:xfrm>
        <a:prstGeom prst="ellipse">
          <a:avLst/>
        </a:prstGeom>
        <a:solidFill>
          <a:srgbClr val="3A5CE2"/>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83820</xdr:colOff>
      <xdr:row>33</xdr:row>
      <xdr:rowOff>113212</xdr:rowOff>
    </xdr:from>
    <xdr:to>
      <xdr:col>18</xdr:col>
      <xdr:colOff>449580</xdr:colOff>
      <xdr:row>35</xdr:row>
      <xdr:rowOff>113212</xdr:rowOff>
    </xdr:to>
    <xdr:sp macro="" textlink="">
      <xdr:nvSpPr>
        <xdr:cNvPr id="34" name="Oval 33">
          <a:extLst>
            <a:ext uri="{FF2B5EF4-FFF2-40B4-BE49-F238E27FC236}">
              <a16:creationId xmlns:a16="http://schemas.microsoft.com/office/drawing/2014/main" id="{A8A2AB54-A514-45F0-98C7-C4034CC99AA6}"/>
            </a:ext>
          </a:extLst>
        </xdr:cNvPr>
        <xdr:cNvSpPr/>
      </xdr:nvSpPr>
      <xdr:spPr>
        <a:xfrm>
          <a:off x="11056620" y="6148252"/>
          <a:ext cx="365760" cy="365760"/>
        </a:xfrm>
        <a:prstGeom prst="ellipse">
          <a:avLst/>
        </a:prstGeom>
        <a:solidFill>
          <a:srgbClr val="8D76FC"/>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83820</xdr:colOff>
      <xdr:row>36</xdr:row>
      <xdr:rowOff>4355</xdr:rowOff>
    </xdr:from>
    <xdr:to>
      <xdr:col>18</xdr:col>
      <xdr:colOff>449580</xdr:colOff>
      <xdr:row>38</xdr:row>
      <xdr:rowOff>4355</xdr:rowOff>
    </xdr:to>
    <xdr:sp macro="" textlink="">
      <xdr:nvSpPr>
        <xdr:cNvPr id="35" name="Oval 34">
          <a:extLst>
            <a:ext uri="{FF2B5EF4-FFF2-40B4-BE49-F238E27FC236}">
              <a16:creationId xmlns:a16="http://schemas.microsoft.com/office/drawing/2014/main" id="{4F654793-61BD-45C1-8719-C3D8431C3C2A}"/>
            </a:ext>
          </a:extLst>
        </xdr:cNvPr>
        <xdr:cNvSpPr/>
      </xdr:nvSpPr>
      <xdr:spPr>
        <a:xfrm>
          <a:off x="11056620" y="6588035"/>
          <a:ext cx="365760" cy="365760"/>
        </a:xfrm>
        <a:prstGeom prst="ellipse">
          <a:avLst/>
        </a:prstGeom>
        <a:solidFill>
          <a:srgbClr val="4B0082"/>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129540</xdr:colOff>
      <xdr:row>24</xdr:row>
      <xdr:rowOff>19595</xdr:rowOff>
    </xdr:from>
    <xdr:to>
      <xdr:col>18</xdr:col>
      <xdr:colOff>403860</xdr:colOff>
      <xdr:row>25</xdr:row>
      <xdr:rowOff>111035</xdr:rowOff>
    </xdr:to>
    <xdr:pic>
      <xdr:nvPicPr>
        <xdr:cNvPr id="36" name="Graphic 35" descr="Gold bars">
          <a:extLst>
            <a:ext uri="{FF2B5EF4-FFF2-40B4-BE49-F238E27FC236}">
              <a16:creationId xmlns:a16="http://schemas.microsoft.com/office/drawing/2014/main" id="{0975B814-4216-4FB6-B09C-F1F3628A5336}"/>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1102340" y="4408715"/>
          <a:ext cx="274320" cy="274320"/>
        </a:xfrm>
        <a:prstGeom prst="rect">
          <a:avLst/>
        </a:prstGeom>
      </xdr:spPr>
    </xdr:pic>
    <xdr:clientData/>
  </xdr:twoCellAnchor>
  <xdr:twoCellAnchor editAs="oneCell">
    <xdr:from>
      <xdr:col>18</xdr:col>
      <xdr:colOff>121920</xdr:colOff>
      <xdr:row>26</xdr:row>
      <xdr:rowOff>111035</xdr:rowOff>
    </xdr:from>
    <xdr:to>
      <xdr:col>18</xdr:col>
      <xdr:colOff>396240</xdr:colOff>
      <xdr:row>28</xdr:row>
      <xdr:rowOff>19595</xdr:rowOff>
    </xdr:to>
    <xdr:pic>
      <xdr:nvPicPr>
        <xdr:cNvPr id="38" name="Graphic 37" descr="Bar graph with upward trend">
          <a:extLst>
            <a:ext uri="{FF2B5EF4-FFF2-40B4-BE49-F238E27FC236}">
              <a16:creationId xmlns:a16="http://schemas.microsoft.com/office/drawing/2014/main" id="{21F44FC1-71EF-42E9-AB1A-8F32444B1189}"/>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11094720" y="4865915"/>
          <a:ext cx="274320" cy="274320"/>
        </a:xfrm>
        <a:prstGeom prst="rect">
          <a:avLst/>
        </a:prstGeom>
      </xdr:spPr>
    </xdr:pic>
    <xdr:clientData/>
  </xdr:twoCellAnchor>
  <xdr:twoCellAnchor editAs="oneCell">
    <xdr:from>
      <xdr:col>18</xdr:col>
      <xdr:colOff>129540</xdr:colOff>
      <xdr:row>29</xdr:row>
      <xdr:rowOff>4355</xdr:rowOff>
    </xdr:from>
    <xdr:to>
      <xdr:col>18</xdr:col>
      <xdr:colOff>403860</xdr:colOff>
      <xdr:row>30</xdr:row>
      <xdr:rowOff>95795</xdr:rowOff>
    </xdr:to>
    <xdr:pic>
      <xdr:nvPicPr>
        <xdr:cNvPr id="40" name="Graphic 39" descr="Bar graph with downward trend">
          <a:extLst>
            <a:ext uri="{FF2B5EF4-FFF2-40B4-BE49-F238E27FC236}">
              <a16:creationId xmlns:a16="http://schemas.microsoft.com/office/drawing/2014/main" id="{EA2D0CD6-EB2B-488E-8DA6-CC4724119004}"/>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11102340" y="5307875"/>
          <a:ext cx="274320" cy="274320"/>
        </a:xfrm>
        <a:prstGeom prst="rect">
          <a:avLst/>
        </a:prstGeom>
      </xdr:spPr>
    </xdr:pic>
    <xdr:clientData/>
  </xdr:twoCellAnchor>
  <xdr:twoCellAnchor editAs="oneCell">
    <xdr:from>
      <xdr:col>18</xdr:col>
      <xdr:colOff>129540</xdr:colOff>
      <xdr:row>31</xdr:row>
      <xdr:rowOff>65315</xdr:rowOff>
    </xdr:from>
    <xdr:to>
      <xdr:col>18</xdr:col>
      <xdr:colOff>403860</xdr:colOff>
      <xdr:row>32</xdr:row>
      <xdr:rowOff>156755</xdr:rowOff>
    </xdr:to>
    <xdr:pic>
      <xdr:nvPicPr>
        <xdr:cNvPr id="41" name="Graphic 40" descr="Open hand with plant">
          <a:extLst>
            <a:ext uri="{FF2B5EF4-FFF2-40B4-BE49-F238E27FC236}">
              <a16:creationId xmlns:a16="http://schemas.microsoft.com/office/drawing/2014/main" id="{8B0BED8E-6B81-42CD-86C0-55D93D22F7FB}"/>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11102340" y="5734595"/>
          <a:ext cx="274320" cy="274320"/>
        </a:xfrm>
        <a:prstGeom prst="rect">
          <a:avLst/>
        </a:prstGeom>
      </xdr:spPr>
    </xdr:pic>
    <xdr:clientData/>
  </xdr:twoCellAnchor>
  <xdr:twoCellAnchor>
    <xdr:from>
      <xdr:col>17</xdr:col>
      <xdr:colOff>601980</xdr:colOff>
      <xdr:row>33</xdr:row>
      <xdr:rowOff>103415</xdr:rowOff>
    </xdr:from>
    <xdr:to>
      <xdr:col>18</xdr:col>
      <xdr:colOff>556260</xdr:colOff>
      <xdr:row>35</xdr:row>
      <xdr:rowOff>95795</xdr:rowOff>
    </xdr:to>
    <xdr:sp macro="" textlink="">
      <xdr:nvSpPr>
        <xdr:cNvPr id="42" name="TextBox 41">
          <a:extLst>
            <a:ext uri="{FF2B5EF4-FFF2-40B4-BE49-F238E27FC236}">
              <a16:creationId xmlns:a16="http://schemas.microsoft.com/office/drawing/2014/main" id="{74DBAA0F-B7D4-4D7E-B61A-D0202E0AEEBE}"/>
            </a:ext>
          </a:extLst>
        </xdr:cNvPr>
        <xdr:cNvSpPr txBox="1"/>
      </xdr:nvSpPr>
      <xdr:spPr>
        <a:xfrm>
          <a:off x="10965180" y="6138455"/>
          <a:ext cx="56388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rPr>
            <a:t>%</a:t>
          </a:r>
          <a:endParaRPr lang="en-IN" sz="1000">
            <a:solidFill>
              <a:schemeClr val="bg1"/>
            </a:solidFill>
          </a:endParaRPr>
        </a:p>
      </xdr:txBody>
    </xdr:sp>
    <xdr:clientData/>
  </xdr:twoCellAnchor>
  <xdr:twoCellAnchor editAs="oneCell">
    <xdr:from>
      <xdr:col>18</xdr:col>
      <xdr:colOff>137160</xdr:colOff>
      <xdr:row>36</xdr:row>
      <xdr:rowOff>42455</xdr:rowOff>
    </xdr:from>
    <xdr:to>
      <xdr:col>18</xdr:col>
      <xdr:colOff>411480</xdr:colOff>
      <xdr:row>37</xdr:row>
      <xdr:rowOff>133895</xdr:rowOff>
    </xdr:to>
    <xdr:pic>
      <xdr:nvPicPr>
        <xdr:cNvPr id="43" name="Graphic 42" descr="Bullseye">
          <a:extLst>
            <a:ext uri="{FF2B5EF4-FFF2-40B4-BE49-F238E27FC236}">
              <a16:creationId xmlns:a16="http://schemas.microsoft.com/office/drawing/2014/main" id="{C6675742-5B1F-409C-A503-8C9747741EE5}"/>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11109960" y="6626135"/>
          <a:ext cx="274320" cy="274320"/>
        </a:xfrm>
        <a:prstGeom prst="rect">
          <a:avLst/>
        </a:prstGeom>
      </xdr:spPr>
    </xdr:pic>
    <xdr:clientData/>
  </xdr:twoCellAnchor>
  <xdr:twoCellAnchor>
    <xdr:from>
      <xdr:col>18</xdr:col>
      <xdr:colOff>511404</xdr:colOff>
      <xdr:row>23</xdr:row>
      <xdr:rowOff>171995</xdr:rowOff>
    </xdr:from>
    <xdr:to>
      <xdr:col>20</xdr:col>
      <xdr:colOff>570204</xdr:colOff>
      <xdr:row>25</xdr:row>
      <xdr:rowOff>164375</xdr:rowOff>
    </xdr:to>
    <xdr:sp macro="" textlink="">
      <xdr:nvSpPr>
        <xdr:cNvPr id="44" name="TextBox 43">
          <a:extLst>
            <a:ext uri="{FF2B5EF4-FFF2-40B4-BE49-F238E27FC236}">
              <a16:creationId xmlns:a16="http://schemas.microsoft.com/office/drawing/2014/main" id="{9D3F67E9-B52D-46F7-B008-EAA7A9A2EA73}"/>
            </a:ext>
          </a:extLst>
        </xdr:cNvPr>
        <xdr:cNvSpPr txBox="1"/>
      </xdr:nvSpPr>
      <xdr:spPr>
        <a:xfrm>
          <a:off x="11484204" y="4378235"/>
          <a:ext cx="12780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solidFill>
                <a:srgbClr val="6372A4"/>
              </a:solidFill>
            </a:rPr>
            <a:t>Budgeting</a:t>
          </a:r>
        </a:p>
      </xdr:txBody>
    </xdr:sp>
    <xdr:clientData/>
  </xdr:twoCellAnchor>
  <xdr:twoCellAnchor>
    <xdr:from>
      <xdr:col>18</xdr:col>
      <xdr:colOff>511404</xdr:colOff>
      <xdr:row>26</xdr:row>
      <xdr:rowOff>70359</xdr:rowOff>
    </xdr:from>
    <xdr:to>
      <xdr:col>20</xdr:col>
      <xdr:colOff>570204</xdr:colOff>
      <xdr:row>28</xdr:row>
      <xdr:rowOff>62739</xdr:rowOff>
    </xdr:to>
    <xdr:sp macro="" textlink="">
      <xdr:nvSpPr>
        <xdr:cNvPr id="46" name="TextBox 45">
          <a:extLst>
            <a:ext uri="{FF2B5EF4-FFF2-40B4-BE49-F238E27FC236}">
              <a16:creationId xmlns:a16="http://schemas.microsoft.com/office/drawing/2014/main" id="{13AC40D8-FDD6-49CC-BE35-F37A8ABF53B1}"/>
            </a:ext>
          </a:extLst>
        </xdr:cNvPr>
        <xdr:cNvSpPr txBox="1"/>
      </xdr:nvSpPr>
      <xdr:spPr>
        <a:xfrm>
          <a:off x="11484204" y="4825239"/>
          <a:ext cx="12780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solidFill>
                <a:srgbClr val="6372A4"/>
              </a:solidFill>
            </a:rPr>
            <a:t>Income</a:t>
          </a:r>
        </a:p>
      </xdr:txBody>
    </xdr:sp>
    <xdr:clientData/>
  </xdr:twoCellAnchor>
  <xdr:twoCellAnchor>
    <xdr:from>
      <xdr:col>18</xdr:col>
      <xdr:colOff>511404</xdr:colOff>
      <xdr:row>28</xdr:row>
      <xdr:rowOff>151603</xdr:rowOff>
    </xdr:from>
    <xdr:to>
      <xdr:col>20</xdr:col>
      <xdr:colOff>570204</xdr:colOff>
      <xdr:row>30</xdr:row>
      <xdr:rowOff>143983</xdr:rowOff>
    </xdr:to>
    <xdr:sp macro="" textlink="">
      <xdr:nvSpPr>
        <xdr:cNvPr id="48" name="TextBox 47">
          <a:extLst>
            <a:ext uri="{FF2B5EF4-FFF2-40B4-BE49-F238E27FC236}">
              <a16:creationId xmlns:a16="http://schemas.microsoft.com/office/drawing/2014/main" id="{09621A39-92BD-42AA-8A4C-FCA9884114C6}"/>
            </a:ext>
          </a:extLst>
        </xdr:cNvPr>
        <xdr:cNvSpPr txBox="1"/>
      </xdr:nvSpPr>
      <xdr:spPr>
        <a:xfrm>
          <a:off x="11484204" y="5272243"/>
          <a:ext cx="12780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solidFill>
                <a:srgbClr val="6372A4"/>
              </a:solidFill>
            </a:rPr>
            <a:t>Expenses</a:t>
          </a:r>
        </a:p>
      </xdr:txBody>
    </xdr:sp>
    <xdr:clientData/>
  </xdr:twoCellAnchor>
  <xdr:twoCellAnchor>
    <xdr:from>
      <xdr:col>18</xdr:col>
      <xdr:colOff>511404</xdr:colOff>
      <xdr:row>33</xdr:row>
      <xdr:rowOff>131211</xdr:rowOff>
    </xdr:from>
    <xdr:to>
      <xdr:col>20</xdr:col>
      <xdr:colOff>570204</xdr:colOff>
      <xdr:row>35</xdr:row>
      <xdr:rowOff>123591</xdr:rowOff>
    </xdr:to>
    <xdr:sp macro="" textlink="">
      <xdr:nvSpPr>
        <xdr:cNvPr id="55" name="TextBox 54">
          <a:extLst>
            <a:ext uri="{FF2B5EF4-FFF2-40B4-BE49-F238E27FC236}">
              <a16:creationId xmlns:a16="http://schemas.microsoft.com/office/drawing/2014/main" id="{1064D046-B7B8-43A5-BFFE-F0B51772D3A3}"/>
            </a:ext>
          </a:extLst>
        </xdr:cNvPr>
        <xdr:cNvSpPr txBox="1"/>
      </xdr:nvSpPr>
      <xdr:spPr>
        <a:xfrm>
          <a:off x="11484204" y="6166251"/>
          <a:ext cx="12780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solidFill>
                <a:srgbClr val="6372A4"/>
              </a:solidFill>
            </a:rPr>
            <a:t>Debts</a:t>
          </a:r>
        </a:p>
      </xdr:txBody>
    </xdr:sp>
    <xdr:clientData/>
  </xdr:twoCellAnchor>
  <xdr:twoCellAnchor>
    <xdr:from>
      <xdr:col>18</xdr:col>
      <xdr:colOff>511404</xdr:colOff>
      <xdr:row>36</xdr:row>
      <xdr:rowOff>29574</xdr:rowOff>
    </xdr:from>
    <xdr:to>
      <xdr:col>20</xdr:col>
      <xdr:colOff>570204</xdr:colOff>
      <xdr:row>38</xdr:row>
      <xdr:rowOff>21954</xdr:rowOff>
    </xdr:to>
    <xdr:sp macro="" textlink="">
      <xdr:nvSpPr>
        <xdr:cNvPr id="59" name="TextBox 58">
          <a:extLst>
            <a:ext uri="{FF2B5EF4-FFF2-40B4-BE49-F238E27FC236}">
              <a16:creationId xmlns:a16="http://schemas.microsoft.com/office/drawing/2014/main" id="{2E1E2D7A-3F8C-4C53-A18D-3AD44FDB5354}"/>
            </a:ext>
          </a:extLst>
        </xdr:cNvPr>
        <xdr:cNvSpPr txBox="1"/>
      </xdr:nvSpPr>
      <xdr:spPr>
        <a:xfrm>
          <a:off x="11484204" y="6613254"/>
          <a:ext cx="12780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solidFill>
                <a:srgbClr val="6372A4"/>
              </a:solidFill>
            </a:rPr>
            <a:t>Fin Goals</a:t>
          </a:r>
        </a:p>
      </xdr:txBody>
    </xdr:sp>
    <xdr:clientData/>
  </xdr:twoCellAnchor>
  <xdr:twoCellAnchor>
    <xdr:from>
      <xdr:col>18</xdr:col>
      <xdr:colOff>511404</xdr:colOff>
      <xdr:row>31</xdr:row>
      <xdr:rowOff>49967</xdr:rowOff>
    </xdr:from>
    <xdr:to>
      <xdr:col>20</xdr:col>
      <xdr:colOff>570204</xdr:colOff>
      <xdr:row>33</xdr:row>
      <xdr:rowOff>42347</xdr:rowOff>
    </xdr:to>
    <xdr:sp macro="" textlink="">
      <xdr:nvSpPr>
        <xdr:cNvPr id="60" name="TextBox 59">
          <a:extLst>
            <a:ext uri="{FF2B5EF4-FFF2-40B4-BE49-F238E27FC236}">
              <a16:creationId xmlns:a16="http://schemas.microsoft.com/office/drawing/2014/main" id="{582C84BC-F94B-4538-B962-00B4C96AD97A}"/>
            </a:ext>
          </a:extLst>
        </xdr:cNvPr>
        <xdr:cNvSpPr txBox="1"/>
      </xdr:nvSpPr>
      <xdr:spPr>
        <a:xfrm>
          <a:off x="11484204" y="5719247"/>
          <a:ext cx="12780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solidFill>
                <a:srgbClr val="6372A4"/>
              </a:solidFill>
            </a:rPr>
            <a:t>Investments</a:t>
          </a:r>
        </a:p>
      </xdr:txBody>
    </xdr:sp>
    <xdr:clientData/>
  </xdr:twoCellAnchor>
  <xdr:twoCellAnchor>
    <xdr:from>
      <xdr:col>20</xdr:col>
      <xdr:colOff>173640</xdr:colOff>
      <xdr:row>24</xdr:row>
      <xdr:rowOff>4355</xdr:rowOff>
    </xdr:from>
    <xdr:to>
      <xdr:col>21</xdr:col>
      <xdr:colOff>441960</xdr:colOff>
      <xdr:row>25</xdr:row>
      <xdr:rowOff>179615</xdr:rowOff>
    </xdr:to>
    <xdr:sp macro="" textlink="Processing!B16">
      <xdr:nvSpPr>
        <xdr:cNvPr id="61" name="TextBox 60">
          <a:extLst>
            <a:ext uri="{FF2B5EF4-FFF2-40B4-BE49-F238E27FC236}">
              <a16:creationId xmlns:a16="http://schemas.microsoft.com/office/drawing/2014/main" id="{821B9BCD-7CF1-44CF-9C5F-99ACE7FFA59B}"/>
            </a:ext>
          </a:extLst>
        </xdr:cNvPr>
        <xdr:cNvSpPr txBox="1"/>
      </xdr:nvSpPr>
      <xdr:spPr>
        <a:xfrm>
          <a:off x="12365640" y="4393475"/>
          <a:ext cx="8779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0DF0197B-0BDD-46C2-BF88-A82C1B6A6F95}" type="TxLink">
            <a:rPr lang="en-US" sz="1400" b="0" i="0" u="none" strike="noStrike">
              <a:solidFill>
                <a:schemeClr val="accent1">
                  <a:lumMod val="40000"/>
                  <a:lumOff val="60000"/>
                </a:schemeClr>
              </a:solidFill>
              <a:latin typeface="Calibri"/>
              <a:ea typeface="Calibri"/>
              <a:cs typeface="Calibri"/>
            </a:rPr>
            <a:pPr algn="r"/>
            <a:t>$64,083</a:t>
          </a:fld>
          <a:endParaRPr lang="en-IN" sz="3200" b="0">
            <a:solidFill>
              <a:schemeClr val="accent1">
                <a:lumMod val="40000"/>
                <a:lumOff val="60000"/>
              </a:schemeClr>
            </a:solidFill>
          </a:endParaRPr>
        </a:p>
      </xdr:txBody>
    </xdr:sp>
    <xdr:clientData/>
  </xdr:twoCellAnchor>
  <xdr:twoCellAnchor>
    <xdr:from>
      <xdr:col>20</xdr:col>
      <xdr:colOff>223560</xdr:colOff>
      <xdr:row>26</xdr:row>
      <xdr:rowOff>80555</xdr:rowOff>
    </xdr:from>
    <xdr:to>
      <xdr:col>21</xdr:col>
      <xdr:colOff>441960</xdr:colOff>
      <xdr:row>28</xdr:row>
      <xdr:rowOff>72935</xdr:rowOff>
    </xdr:to>
    <xdr:sp macro="" textlink="Processing!D14">
      <xdr:nvSpPr>
        <xdr:cNvPr id="62" name="TextBox 61">
          <a:extLst>
            <a:ext uri="{FF2B5EF4-FFF2-40B4-BE49-F238E27FC236}">
              <a16:creationId xmlns:a16="http://schemas.microsoft.com/office/drawing/2014/main" id="{1D7163F6-F926-442B-971D-66C86D1513B5}"/>
            </a:ext>
          </a:extLst>
        </xdr:cNvPr>
        <xdr:cNvSpPr txBox="1"/>
      </xdr:nvSpPr>
      <xdr:spPr>
        <a:xfrm>
          <a:off x="12415560" y="4835435"/>
          <a:ext cx="8280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C5D25CEC-4333-4B49-9C50-3FFB426003BB}" type="TxLink">
            <a:rPr lang="en-US" sz="1400" b="0" i="0" u="none" strike="noStrike">
              <a:solidFill>
                <a:schemeClr val="accent1">
                  <a:lumMod val="40000"/>
                  <a:lumOff val="60000"/>
                </a:schemeClr>
              </a:solidFill>
              <a:latin typeface="Calibri"/>
              <a:ea typeface="Calibri"/>
              <a:cs typeface="Calibri"/>
            </a:rPr>
            <a:pPr algn="r"/>
            <a:t>$2,44,388</a:t>
          </a:fld>
          <a:endParaRPr lang="en-IN" sz="2800" b="0">
            <a:solidFill>
              <a:schemeClr val="accent1">
                <a:lumMod val="40000"/>
                <a:lumOff val="60000"/>
              </a:schemeClr>
            </a:solidFill>
          </a:endParaRPr>
        </a:p>
      </xdr:txBody>
    </xdr:sp>
    <xdr:clientData/>
  </xdr:twoCellAnchor>
  <xdr:twoCellAnchor>
    <xdr:from>
      <xdr:col>20</xdr:col>
      <xdr:colOff>234600</xdr:colOff>
      <xdr:row>28</xdr:row>
      <xdr:rowOff>156755</xdr:rowOff>
    </xdr:from>
    <xdr:to>
      <xdr:col>21</xdr:col>
      <xdr:colOff>441960</xdr:colOff>
      <xdr:row>30</xdr:row>
      <xdr:rowOff>149135</xdr:rowOff>
    </xdr:to>
    <xdr:sp macro="" textlink="Processing!E14">
      <xdr:nvSpPr>
        <xdr:cNvPr id="63" name="TextBox 62">
          <a:extLst>
            <a:ext uri="{FF2B5EF4-FFF2-40B4-BE49-F238E27FC236}">
              <a16:creationId xmlns:a16="http://schemas.microsoft.com/office/drawing/2014/main" id="{B6221D0C-940F-4FEF-A3C3-73F27CA82264}"/>
            </a:ext>
          </a:extLst>
        </xdr:cNvPr>
        <xdr:cNvSpPr txBox="1"/>
      </xdr:nvSpPr>
      <xdr:spPr>
        <a:xfrm>
          <a:off x="12426600" y="5277395"/>
          <a:ext cx="8169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5D061606-20E7-4318-8E37-58F5E35B3694}" type="TxLink">
            <a:rPr lang="en-US" sz="1400" b="0" i="0" u="none" strike="noStrike">
              <a:solidFill>
                <a:schemeClr val="accent1">
                  <a:lumMod val="40000"/>
                  <a:lumOff val="60000"/>
                </a:schemeClr>
              </a:solidFill>
              <a:latin typeface="Calibri"/>
              <a:ea typeface="Calibri"/>
              <a:cs typeface="Calibri"/>
            </a:rPr>
            <a:pPr algn="r"/>
            <a:t>$1,80,477</a:t>
          </a:fld>
          <a:endParaRPr lang="en-IN" sz="2800" b="0">
            <a:solidFill>
              <a:schemeClr val="accent1">
                <a:lumMod val="40000"/>
                <a:lumOff val="60000"/>
              </a:schemeClr>
            </a:solidFill>
          </a:endParaRPr>
        </a:p>
      </xdr:txBody>
    </xdr:sp>
    <xdr:clientData/>
  </xdr:twoCellAnchor>
  <xdr:twoCellAnchor>
    <xdr:from>
      <xdr:col>20</xdr:col>
      <xdr:colOff>173640</xdr:colOff>
      <xdr:row>31</xdr:row>
      <xdr:rowOff>50075</xdr:rowOff>
    </xdr:from>
    <xdr:to>
      <xdr:col>21</xdr:col>
      <xdr:colOff>441960</xdr:colOff>
      <xdr:row>33</xdr:row>
      <xdr:rowOff>42455</xdr:rowOff>
    </xdr:to>
    <xdr:sp macro="" textlink="Processing!G22">
      <xdr:nvSpPr>
        <xdr:cNvPr id="64" name="TextBox 63">
          <a:extLst>
            <a:ext uri="{FF2B5EF4-FFF2-40B4-BE49-F238E27FC236}">
              <a16:creationId xmlns:a16="http://schemas.microsoft.com/office/drawing/2014/main" id="{527B995F-3A77-432F-9B5C-EEB6C71646C5}"/>
            </a:ext>
          </a:extLst>
        </xdr:cNvPr>
        <xdr:cNvSpPr txBox="1"/>
      </xdr:nvSpPr>
      <xdr:spPr>
        <a:xfrm>
          <a:off x="12365640" y="5719355"/>
          <a:ext cx="8779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EC41C7E-CBF4-472F-ABE3-F72057F49410}" type="TxLink">
            <a:rPr lang="en-US" sz="1400" b="0" i="0" u="none" strike="noStrike">
              <a:solidFill>
                <a:schemeClr val="accent1">
                  <a:lumMod val="40000"/>
                  <a:lumOff val="60000"/>
                </a:schemeClr>
              </a:solidFill>
              <a:latin typeface="Calibri"/>
              <a:ea typeface="Calibri"/>
              <a:cs typeface="Calibri"/>
            </a:rPr>
            <a:pPr marL="0" indent="0" algn="r"/>
            <a:t>$1,03,615</a:t>
          </a:fld>
          <a:endParaRPr lang="en-IN" sz="1400" b="0" i="0" u="none" strike="noStrike">
            <a:solidFill>
              <a:schemeClr val="accent1">
                <a:lumMod val="40000"/>
                <a:lumOff val="60000"/>
              </a:schemeClr>
            </a:solidFill>
            <a:latin typeface="Calibri"/>
            <a:ea typeface="Calibri"/>
            <a:cs typeface="Calibri"/>
          </a:endParaRPr>
        </a:p>
      </xdr:txBody>
    </xdr:sp>
    <xdr:clientData/>
  </xdr:twoCellAnchor>
  <xdr:twoCellAnchor>
    <xdr:from>
      <xdr:col>20</xdr:col>
      <xdr:colOff>173640</xdr:colOff>
      <xdr:row>33</xdr:row>
      <xdr:rowOff>126275</xdr:rowOff>
    </xdr:from>
    <xdr:to>
      <xdr:col>21</xdr:col>
      <xdr:colOff>441960</xdr:colOff>
      <xdr:row>35</xdr:row>
      <xdr:rowOff>118655</xdr:rowOff>
    </xdr:to>
    <xdr:sp macro="" textlink="Processing!P22">
      <xdr:nvSpPr>
        <xdr:cNvPr id="65" name="TextBox 64">
          <a:extLst>
            <a:ext uri="{FF2B5EF4-FFF2-40B4-BE49-F238E27FC236}">
              <a16:creationId xmlns:a16="http://schemas.microsoft.com/office/drawing/2014/main" id="{01F5F4D3-F000-4429-B848-3EF3469F2554}"/>
            </a:ext>
          </a:extLst>
        </xdr:cNvPr>
        <xdr:cNvSpPr txBox="1"/>
      </xdr:nvSpPr>
      <xdr:spPr>
        <a:xfrm>
          <a:off x="12365640" y="6161315"/>
          <a:ext cx="8779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6937CB1-59EC-4717-94CA-C9709C7EED12}" type="TxLink">
            <a:rPr lang="en-US" sz="1400" b="0" i="0" u="none" strike="noStrike">
              <a:solidFill>
                <a:schemeClr val="accent1">
                  <a:lumMod val="40000"/>
                  <a:lumOff val="60000"/>
                </a:schemeClr>
              </a:solidFill>
              <a:latin typeface="Calibri"/>
              <a:ea typeface="Calibri"/>
              <a:cs typeface="Calibri"/>
            </a:rPr>
            <a:pPr marL="0" indent="0" algn="r"/>
            <a:t> $67,984 </a:t>
          </a:fld>
          <a:endParaRPr lang="en-IN" sz="1400" b="0" i="0" u="none" strike="noStrike">
            <a:solidFill>
              <a:schemeClr val="accent1">
                <a:lumMod val="40000"/>
                <a:lumOff val="60000"/>
              </a:schemeClr>
            </a:solidFill>
            <a:latin typeface="Calibri"/>
            <a:ea typeface="Calibri"/>
            <a:cs typeface="Calibri"/>
          </a:endParaRPr>
        </a:p>
      </xdr:txBody>
    </xdr:sp>
    <xdr:clientData/>
  </xdr:twoCellAnchor>
  <xdr:twoCellAnchor>
    <xdr:from>
      <xdr:col>20</xdr:col>
      <xdr:colOff>121920</xdr:colOff>
      <xdr:row>36</xdr:row>
      <xdr:rowOff>19595</xdr:rowOff>
    </xdr:from>
    <xdr:to>
      <xdr:col>21</xdr:col>
      <xdr:colOff>441960</xdr:colOff>
      <xdr:row>38</xdr:row>
      <xdr:rowOff>11975</xdr:rowOff>
    </xdr:to>
    <xdr:sp macro="" textlink="Processing!F31">
      <xdr:nvSpPr>
        <xdr:cNvPr id="66" name="TextBox 65">
          <a:extLst>
            <a:ext uri="{FF2B5EF4-FFF2-40B4-BE49-F238E27FC236}">
              <a16:creationId xmlns:a16="http://schemas.microsoft.com/office/drawing/2014/main" id="{B55ACDC8-F5B5-45A2-8FD9-E7FA69CAF8E8}"/>
            </a:ext>
          </a:extLst>
        </xdr:cNvPr>
        <xdr:cNvSpPr txBox="1"/>
      </xdr:nvSpPr>
      <xdr:spPr>
        <a:xfrm>
          <a:off x="12313920" y="6603275"/>
          <a:ext cx="9296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D336F4C-FAA8-4CCE-BA73-36D7F1D75390}" type="TxLink">
            <a:rPr lang="en-US" sz="1400" b="0" i="0" u="none" strike="noStrike">
              <a:solidFill>
                <a:schemeClr val="accent1">
                  <a:lumMod val="40000"/>
                  <a:lumOff val="60000"/>
                </a:schemeClr>
              </a:solidFill>
              <a:latin typeface="Calibri"/>
              <a:ea typeface="Calibri"/>
              <a:cs typeface="Calibri"/>
            </a:rPr>
            <a:pPr marL="0" indent="0" algn="r"/>
            <a:t>$1,12,379</a:t>
          </a:fld>
          <a:endParaRPr lang="en-IN" sz="1400" b="0" i="0" u="none" strike="noStrike">
            <a:solidFill>
              <a:schemeClr val="accent1">
                <a:lumMod val="40000"/>
                <a:lumOff val="60000"/>
              </a:schemeClr>
            </a:solidFill>
            <a:latin typeface="Calibri"/>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dhi" refreshedDate="46139.534916550925" createdVersion="8" refreshedVersion="8" minRefreshableVersion="3" recordCount="366" xr:uid="{B25235B0-5F5D-4127-A6A1-DA3BD12DFE1F}">
  <cacheSource type="worksheet">
    <worksheetSource name="mydata"/>
  </cacheSource>
  <cacheFields count="68">
    <cacheField name="Date" numFmtId="164">
      <sharedItems containsSemiMixedTypes="0" containsNonDate="0" containsDate="1" containsString="0" minDate="2024-01-01T00:00:00" maxDate="2025-01-01T00:00:00"/>
    </cacheField>
    <cacheField name="Month" numFmtId="164">
      <sharedItems count="12">
        <s v="JANUARY"/>
        <s v="FEBRUARY"/>
        <s v="MARCH"/>
        <s v="APRIL"/>
        <s v="MAY"/>
        <s v="JUNE"/>
        <s v="JULY"/>
        <s v="AUGUST"/>
        <s v="SEPTEMBER"/>
        <s v="OCTOBER"/>
        <s v="NOVEMBER"/>
        <s v="DECEMBER"/>
      </sharedItems>
    </cacheField>
    <cacheField name="Month N" numFmtId="0">
      <sharedItems containsSemiMixedTypes="0" containsString="0" containsNumber="1" containsInteger="1" minValue="1" maxValue="12"/>
    </cacheField>
    <cacheField name="Income" numFmtId="0">
      <sharedItems containsSemiMixedTypes="0" containsString="0" containsNumber="1" containsInteger="1" minValue="496" maxValue="1275"/>
    </cacheField>
    <cacheField name="Expenses" numFmtId="0">
      <sharedItems containsSemiMixedTypes="0" containsString="0" containsNumber="1" containsInteger="1" minValue="497" maxValue="1032"/>
    </cacheField>
    <cacheField name="Non-Fixed Incom" numFmtId="0">
      <sharedItems containsSemiMixedTypes="0" containsString="0" containsNumber="1" containsInteger="1" minValue="123" maxValue="656"/>
    </cacheField>
    <cacheField name="Fixed Incom" numFmtId="0">
      <sharedItems containsSemiMixedTypes="0" containsString="0" containsNumber="1" containsInteger="1" minValue="128" maxValue="944"/>
    </cacheField>
    <cacheField name="Other Income" numFmtId="0">
      <sharedItems containsSemiMixedTypes="0" containsString="0" containsNumber="1" containsInteger="1" minValue="28" maxValue="312"/>
    </cacheField>
    <cacheField name="Non-Fixed Cost" numFmtId="0">
      <sharedItems containsSemiMixedTypes="0" containsString="0" containsNumber="1" containsInteger="1" minValue="104" maxValue="521"/>
    </cacheField>
    <cacheField name="Fixed Costs" numFmtId="0">
      <sharedItems containsSemiMixedTypes="0" containsString="0" containsNumber="1" containsInteger="1" minValue="143" maxValue="763"/>
    </cacheField>
    <cacheField name="Other Cost" numFmtId="0">
      <sharedItems containsSemiMixedTypes="0" containsString="0" containsNumber="1" containsInteger="1" minValue="25" maxValue="246"/>
    </cacheField>
    <cacheField name="Fixed Incom Business" numFmtId="0">
      <sharedItems containsSemiMixedTypes="0" containsString="0" containsNumber="1" containsInteger="1" minValue="104" maxValue="425"/>
    </cacheField>
    <cacheField name="Fixed Incom Securities" numFmtId="0">
      <sharedItems containsSemiMixedTypes="0" containsString="0" containsNumber="1" containsInteger="1" minValue="18" maxValue="262"/>
    </cacheField>
    <cacheField name="Fixed Incom Real estate" numFmtId="0">
      <sharedItems containsSemiMixedTypes="0" containsString="0" containsNumber="1" containsInteger="1" minValue="23" maxValue="118"/>
    </cacheField>
    <cacheField name="Fixed Incom Gold" numFmtId="0">
      <sharedItems containsSemiMixedTypes="0" containsString="0" containsNumber="1" containsInteger="1" minValue="16" maxValue="116"/>
    </cacheField>
    <cacheField name="Fixed Incom Cryptocurrency" numFmtId="0">
      <sharedItems containsSemiMixedTypes="0" containsString="0" containsNumber="1" containsInteger="1" minValue="6" maxValue="78"/>
    </cacheField>
    <cacheField name="Non-Fixed Incom Business" numFmtId="0">
      <sharedItems containsSemiMixedTypes="0" containsString="0" containsNumber="1" containsInteger="1" minValue="77" maxValue="255"/>
    </cacheField>
    <cacheField name="Non-Fixed Incom Securities" numFmtId="0">
      <sharedItems containsSemiMixedTypes="0" containsString="0" containsNumber="1" containsInteger="1" minValue="10" maxValue="162"/>
    </cacheField>
    <cacheField name="Non-Fixed Incom Real estate" numFmtId="0">
      <sharedItems containsSemiMixedTypes="0" containsString="0" containsNumber="1" containsInteger="1" minValue="15" maxValue="72"/>
    </cacheField>
    <cacheField name="Non-Fixed Incom Gold" numFmtId="0">
      <sharedItems containsSemiMixedTypes="0" containsString="0" containsNumber="1" containsInteger="1" minValue="11" maxValue="70"/>
    </cacheField>
    <cacheField name="Non-Fixed Incom Cryptocurrency" numFmtId="0">
      <sharedItems containsSemiMixedTypes="0" containsString="0" containsNumber="1" containsInteger="1" minValue="0" maxValue="452"/>
    </cacheField>
    <cacheField name="Loans" numFmtId="0">
      <sharedItems containsSemiMixedTypes="0" containsString="0" containsNumber="1" containsInteger="1" minValue="19" maxValue="136"/>
    </cacheField>
    <cacheField name="Training courses" numFmtId="0">
      <sharedItems containsSemiMixedTypes="0" containsString="0" containsNumber="1" containsInteger="1" minValue="0" maxValue="30"/>
    </cacheField>
    <cacheField name="Travel public transport" numFmtId="0">
      <sharedItems containsSemiMixedTypes="0" containsString="0" containsNumber="1" containsInteger="1" minValue="15" maxValue="71"/>
    </cacheField>
    <cacheField name="Mobile connection" numFmtId="0">
      <sharedItems containsSemiMixedTypes="0" containsString="0" containsNumber="1" containsInteger="1" minValue="0" maxValue="30"/>
    </cacheField>
    <cacheField name="Food" numFmtId="0">
      <sharedItems containsSemiMixedTypes="0" containsString="0" containsNumber="1" containsInteger="1" minValue="0" maxValue="152"/>
    </cacheField>
    <cacheField name="Utility Payments" numFmtId="0">
      <sharedItems containsSemiMixedTypes="0" containsString="0" containsNumber="1" containsInteger="1" minValue="25" maxValue="91"/>
    </cacheField>
    <cacheField name="Internet &amp; TV" numFmtId="0">
      <sharedItems containsSemiMixedTypes="0" containsString="0" containsNumber="1" containsInteger="1" minValue="0" maxValue="30"/>
    </cacheField>
    <cacheField name="Household chemicals" numFmtId="0">
      <sharedItems containsSemiMixedTypes="0" containsString="0" containsNumber="1" containsInteger="1" minValue="0" maxValue="30"/>
    </cacheField>
    <cacheField name="Furniture &amp; utensils" numFmtId="0">
      <sharedItems containsSemiMixedTypes="0" containsString="0" containsNumber="1" containsInteger="1" minValue="10" maxValue="61"/>
    </cacheField>
    <cacheField name="BedLinen &amp; tablecloth" numFmtId="0">
      <sharedItems containsSemiMixedTypes="0" containsString="0" containsNumber="1" containsInteger="1" minValue="0" maxValue="30"/>
    </cacheField>
    <cacheField name="Cat food" numFmtId="0">
      <sharedItems containsSemiMixedTypes="0" containsString="0" containsNumber="1" containsInteger="1" minValue="0" maxValue="10"/>
    </cacheField>
    <cacheField name="Clothing &amp; footwear" numFmtId="0">
      <sharedItems containsSemiMixedTypes="0" containsString="0" containsNumber="1" containsInteger="1" minValue="5" maxValue="51"/>
    </cacheField>
    <cacheField name="Gym" numFmtId="0">
      <sharedItems containsSemiMixedTypes="0" containsString="0" containsNumber="1" containsInteger="1" minValue="0" maxValue="30"/>
    </cacheField>
    <cacheField name="Hygiene products" numFmtId="0">
      <sharedItems containsSemiMixedTypes="0" containsString="0" containsNumber="1" containsInteger="1" minValue="0" maxValue="30"/>
    </cacheField>
    <cacheField name="Medications" numFmtId="0">
      <sharedItems containsSemiMixedTypes="0" containsString="0" containsNumber="1" containsInteger="1" minValue="0" maxValue="30"/>
    </cacheField>
    <cacheField name="Hairdresser" numFmtId="0">
      <sharedItems containsSemiMixedTypes="0" containsString="0" containsNumber="1" containsInteger="1" minValue="22" maxValue="101"/>
    </cacheField>
    <cacheField name="Cosmetics &amp; perfum" numFmtId="0">
      <sharedItems containsSemiMixedTypes="0" containsString="0" containsNumber="1" containsInteger="1" minValue="5" maxValue="71"/>
    </cacheField>
    <cacheField name="Fuel" numFmtId="0">
      <sharedItems containsSemiMixedTypes="0" containsString="0" containsNumber="1" containsInteger="1" minValue="4" maxValue="51"/>
    </cacheField>
    <cacheField name="Spare parts" numFmtId="0">
      <sharedItems containsSemiMixedTypes="0" containsString="0" containsNumber="1" containsInteger="1" minValue="0" maxValue="30"/>
    </cacheField>
    <cacheField name="Parking" numFmtId="0">
      <sharedItems containsSemiMixedTypes="0" containsString="0" containsNumber="1" containsInteger="1" minValue="0" maxValue="10"/>
    </cacheField>
    <cacheField name="Washing" numFmtId="0">
      <sharedItems containsSemiMixedTypes="0" containsString="0" containsNumber="1" containsInteger="1" minValue="0" maxValue="41"/>
    </cacheField>
    <cacheField name="Insurance" numFmtId="0">
      <sharedItems containsSemiMixedTypes="0" containsString="0" containsNumber="1" containsInteger="1" minValue="5" maxValue="41"/>
    </cacheField>
    <cacheField name="Holidays" numFmtId="0">
      <sharedItems containsSemiMixedTypes="0" containsString="0" containsNumber="1" containsInteger="1" minValue="0" maxValue="112"/>
    </cacheField>
    <cacheField name="Excursions" numFmtId="0">
      <sharedItems containsSemiMixedTypes="0" containsString="0" containsNumber="1" containsInteger="1" minValue="0" maxValue="30"/>
    </cacheField>
    <cacheField name="Restaurants" numFmtId="0">
      <sharedItems containsSemiMixedTypes="0" containsString="0" containsNumber="1" containsInteger="1" minValue="0" maxValue="92"/>
    </cacheField>
    <cacheField name="Hotels" numFmtId="0">
      <sharedItems containsSemiMixedTypes="0" containsString="0" containsNumber="1" containsInteger="1" minValue="5" maxValue="51"/>
    </cacheField>
    <cacheField name="Bags, packages, boxes" numFmtId="0">
      <sharedItems containsSemiMixedTypes="0" containsString="0" containsNumber="1" containsInteger="1" minValue="0" maxValue="10"/>
    </cacheField>
    <cacheField name="Snacks on the way" numFmtId="0">
      <sharedItems containsSemiMixedTypes="0" containsString="0" containsNumber="1" containsInteger="1" minValue="5" maxValue="70"/>
    </cacheField>
    <cacheField name="Alcohol" numFmtId="0">
      <sharedItems containsSemiMixedTypes="0" containsString="0" containsNumber="1" containsInteger="1" minValue="0" maxValue="40"/>
    </cacheField>
    <cacheField name="Hobby" numFmtId="0">
      <sharedItems containsSemiMixedTypes="0" containsString="0" containsNumber="1" containsInteger="1" minValue="0" maxValue="41"/>
    </cacheField>
    <cacheField name="Unexpected expenses" numFmtId="0">
      <sharedItems containsSemiMixedTypes="0" containsString="0" containsNumber="1" containsInteger="1" minValue="0" maxValue="192"/>
    </cacheField>
    <cacheField name="Price Investments Portfolio" numFmtId="44">
      <sharedItems containsSemiMixedTypes="0" containsString="0" containsNumber="1" minValue="0" maxValue="275.47000000000003"/>
    </cacheField>
    <cacheField name="Investments Business" numFmtId="165">
      <sharedItems containsSemiMixedTypes="0" containsString="0" containsNumber="1" minValue="0" maxValue="96082.11"/>
    </cacheField>
    <cacheField name="Investments Securities" numFmtId="165">
      <sharedItems containsSemiMixedTypes="0" containsString="0" containsNumber="1" minValue="0" maxValue="55845.34"/>
    </cacheField>
    <cacheField name="Investments Cryptocurrency" numFmtId="165">
      <sharedItems containsSemiMixedTypes="0" containsString="0" containsNumber="1" minValue="0" maxValue="61074.86"/>
    </cacheField>
    <cacheField name="Investments Real estate" numFmtId="165">
      <sharedItems containsSemiMixedTypes="0" containsString="0" containsNumber="1" minValue="0" maxValue="57382.83"/>
    </cacheField>
    <cacheField name="Investments Gold" numFmtId="165">
      <sharedItems containsSemiMixedTypes="0" containsString="0" containsNumber="1" minValue="0" maxValue="87230.06"/>
    </cacheField>
    <cacheField name="Mortgage" numFmtId="165">
      <sharedItems containsSemiMixedTypes="0" containsString="0" containsNumber="1" containsInteger="1" minValue="8000" maxValue="50000"/>
    </cacheField>
    <cacheField name="Car Leasing" numFmtId="165">
      <sharedItems containsSemiMixedTypes="0" containsString="0" containsNumber="1" containsInteger="1" minValue="6250" maxValue="20000"/>
    </cacheField>
    <cacheField name="Consumer Credit" numFmtId="165">
      <sharedItems containsSemiMixedTypes="0" containsString="0" containsNumber="1" containsInteger="1" minValue="3353" maxValue="12578"/>
    </cacheField>
    <cacheField name="Credit Card" numFmtId="165">
      <sharedItems containsSemiMixedTypes="0" containsString="0" containsNumber="1" containsInteger="1" minValue="7058" maxValue="30237"/>
    </cacheField>
    <cacheField name="Goal 1" numFmtId="165">
      <sharedItems containsSemiMixedTypes="0" containsString="0" containsNumber="1" containsInteger="1" minValue="11891" maxValue="75603"/>
    </cacheField>
    <cacheField name="Goal 2" numFmtId="165">
      <sharedItems containsSemiMixedTypes="0" containsString="0" containsNumber="1" containsInteger="1" minValue="3480" maxValue="63201"/>
    </cacheField>
    <cacheField name="Goal 3" numFmtId="165">
      <sharedItems containsSemiMixedTypes="0" containsString="0" containsNumber="1" containsInteger="1" minValue="4930" maxValue="55501"/>
    </cacheField>
    <cacheField name="Goal 4" numFmtId="165">
      <sharedItems containsSemiMixedTypes="0" containsString="0" containsNumber="1" containsInteger="1" minValue="1741" maxValue="30000"/>
    </cacheField>
    <cacheField name="Monthly Plan" numFmtId="0">
      <sharedItems containsSemiMixedTypes="0" containsString="0" containsNumber="1" containsInteger="1" minValue="29000" maxValue="230000"/>
    </cacheField>
    <cacheField name="Balance" numFmtId="0">
      <sharedItems containsSemiMixedTypes="0" containsString="0" containsNumber="1" containsInteger="1" minValue="4" maxValue="8965"/>
    </cacheField>
  </cacheFields>
  <extLst>
    <ext xmlns:x14="http://schemas.microsoft.com/office/spreadsheetml/2009/9/main" uri="{725AE2AE-9491-48be-B2B4-4EB974FC3084}">
      <x14:pivotCacheDefinition pivotCacheId="6027376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d v="2024-01-01T00:00:00"/>
    <x v="0"/>
    <n v="1"/>
    <n v="496"/>
    <n v="575"/>
    <n v="243"/>
    <n v="189"/>
    <n v="64"/>
    <n v="172"/>
    <n v="271"/>
    <n v="132"/>
    <n v="104"/>
    <n v="58"/>
    <n v="27"/>
    <n v="46"/>
    <n v="9"/>
    <n v="82"/>
    <n v="62"/>
    <n v="22"/>
    <n v="24"/>
    <n v="62"/>
    <n v="46"/>
    <n v="0"/>
    <n v="23"/>
    <n v="11"/>
    <n v="34"/>
    <n v="34"/>
    <n v="11"/>
    <n v="5"/>
    <n v="28"/>
    <n v="0"/>
    <n v="0"/>
    <n v="5"/>
    <n v="5"/>
    <n v="17"/>
    <n v="17"/>
    <n v="23"/>
    <n v="34"/>
    <n v="11"/>
    <n v="17"/>
    <n v="0"/>
    <n v="0"/>
    <n v="17"/>
    <n v="51"/>
    <n v="5"/>
    <n v="17"/>
    <n v="11"/>
    <n v="5"/>
    <n v="17"/>
    <n v="0"/>
    <n v="17"/>
    <n v="114"/>
    <n v="0"/>
    <n v="0"/>
    <n v="0"/>
    <n v="0"/>
    <n v="0"/>
    <n v="0"/>
    <n v="50000"/>
    <n v="20000"/>
    <n v="8000"/>
    <n v="25000"/>
    <n v="11891"/>
    <n v="3480"/>
    <n v="4930"/>
    <n v="1741"/>
    <n v="29000"/>
    <n v="3796"/>
  </r>
  <r>
    <d v="2024-01-02T00:00:00"/>
    <x v="0"/>
    <n v="1"/>
    <n v="516"/>
    <n v="585"/>
    <n v="268"/>
    <n v="218"/>
    <n v="30"/>
    <n v="286"/>
    <n v="259"/>
    <n v="40"/>
    <n v="118"/>
    <n v="19"/>
    <n v="38"/>
    <n v="19"/>
    <n v="6"/>
    <n v="88"/>
    <n v="27"/>
    <n v="19"/>
    <n v="29"/>
    <n v="153"/>
    <n v="76"/>
    <n v="17"/>
    <n v="29"/>
    <n v="0"/>
    <n v="46"/>
    <n v="29"/>
    <n v="0"/>
    <n v="17"/>
    <n v="29"/>
    <n v="11"/>
    <n v="5"/>
    <n v="23"/>
    <n v="11"/>
    <n v="0"/>
    <n v="0"/>
    <n v="23"/>
    <n v="23"/>
    <n v="5"/>
    <n v="11"/>
    <n v="5"/>
    <n v="17"/>
    <n v="17"/>
    <n v="64"/>
    <n v="17"/>
    <n v="40"/>
    <n v="29"/>
    <n v="0"/>
    <n v="23"/>
    <n v="11"/>
    <n v="5"/>
    <n v="2"/>
    <n v="0"/>
    <n v="0"/>
    <n v="0"/>
    <n v="0"/>
    <n v="0"/>
    <n v="0"/>
    <n v="50000"/>
    <n v="20000"/>
    <n v="8000"/>
    <n v="25000"/>
    <n v="11891"/>
    <n v="3480"/>
    <n v="4930"/>
    <n v="1741"/>
    <n v="29000"/>
    <n v="4881"/>
  </r>
  <r>
    <d v="2024-01-03T00:00:00"/>
    <x v="0"/>
    <n v="1"/>
    <n v="539"/>
    <n v="610"/>
    <n v="285"/>
    <n v="131"/>
    <n v="123"/>
    <n v="244"/>
    <n v="318"/>
    <n v="48"/>
    <n v="177"/>
    <n v="106"/>
    <n v="23"/>
    <n v="16"/>
    <n v="20"/>
    <n v="83"/>
    <n v="18"/>
    <n v="28"/>
    <n v="28"/>
    <n v="40"/>
    <n v="61"/>
    <n v="6"/>
    <n v="36"/>
    <n v="6"/>
    <n v="61"/>
    <n v="48"/>
    <n v="0"/>
    <n v="18"/>
    <n v="36"/>
    <n v="6"/>
    <n v="6"/>
    <n v="24"/>
    <n v="12"/>
    <n v="12"/>
    <n v="12"/>
    <n v="54"/>
    <n v="30"/>
    <n v="30"/>
    <n v="18"/>
    <n v="6"/>
    <n v="6"/>
    <n v="24"/>
    <n v="0"/>
    <n v="18"/>
    <n v="14"/>
    <n v="24"/>
    <n v="0"/>
    <n v="30"/>
    <n v="12"/>
    <n v="0"/>
    <n v="0"/>
    <n v="0"/>
    <n v="0"/>
    <n v="0"/>
    <n v="0"/>
    <n v="0"/>
    <n v="0"/>
    <n v="50000"/>
    <n v="20000"/>
    <n v="8000"/>
    <n v="25000"/>
    <n v="11891"/>
    <n v="3480"/>
    <n v="4930"/>
    <n v="1741"/>
    <n v="29000"/>
    <n v="4766"/>
  </r>
  <r>
    <d v="2024-01-04T00:00:00"/>
    <x v="0"/>
    <n v="1"/>
    <n v="557"/>
    <n v="641"/>
    <n v="150"/>
    <n v="307"/>
    <n v="100"/>
    <n v="262"/>
    <n v="219"/>
    <n v="160"/>
    <n v="176"/>
    <n v="69"/>
    <n v="31"/>
    <n v="24"/>
    <n v="31"/>
    <n v="103"/>
    <n v="52"/>
    <n v="27"/>
    <n v="29"/>
    <n v="15"/>
    <n v="44"/>
    <n v="12"/>
    <n v="38"/>
    <n v="6"/>
    <n v="44"/>
    <n v="57"/>
    <n v="19"/>
    <n v="0"/>
    <n v="38"/>
    <n v="6"/>
    <n v="0"/>
    <n v="19"/>
    <n v="19"/>
    <n v="19"/>
    <n v="0"/>
    <n v="38"/>
    <n v="19"/>
    <n v="32"/>
    <n v="12"/>
    <n v="6"/>
    <n v="12"/>
    <n v="6"/>
    <n v="57"/>
    <n v="19"/>
    <n v="25"/>
    <n v="19"/>
    <n v="6"/>
    <n v="19"/>
    <n v="19"/>
    <n v="19"/>
    <n v="12"/>
    <n v="0"/>
    <n v="0"/>
    <n v="0"/>
    <n v="0"/>
    <n v="0"/>
    <n v="0"/>
    <n v="50000"/>
    <n v="20000"/>
    <n v="8000"/>
    <n v="25000"/>
    <n v="11891"/>
    <n v="3480"/>
    <n v="4930"/>
    <n v="1741"/>
    <n v="29000"/>
    <n v="788"/>
  </r>
  <r>
    <d v="2024-01-05T00:00:00"/>
    <x v="0"/>
    <n v="1"/>
    <n v="575"/>
    <n v="667"/>
    <n v="132"/>
    <n v="415"/>
    <n v="28"/>
    <n v="153"/>
    <n v="374"/>
    <n v="140"/>
    <n v="171"/>
    <n v="99"/>
    <n v="42"/>
    <n v="35"/>
    <n v="21"/>
    <n v="93"/>
    <n v="43"/>
    <n v="24"/>
    <n v="21"/>
    <n v="26"/>
    <n v="60"/>
    <n v="0"/>
    <n v="46"/>
    <n v="20"/>
    <n v="93"/>
    <n v="53"/>
    <n v="20"/>
    <n v="0"/>
    <n v="13"/>
    <n v="20"/>
    <n v="0"/>
    <n v="6"/>
    <n v="13"/>
    <n v="0"/>
    <n v="0"/>
    <n v="26"/>
    <n v="46"/>
    <n v="13"/>
    <n v="0"/>
    <n v="0"/>
    <n v="26"/>
    <n v="20"/>
    <n v="73"/>
    <n v="6"/>
    <n v="20"/>
    <n v="20"/>
    <n v="0"/>
    <n v="26"/>
    <n v="0"/>
    <n v="20"/>
    <n v="27"/>
    <n v="104.17550000000001"/>
    <n v="0"/>
    <n v="0"/>
    <n v="0"/>
    <n v="0"/>
    <n v="0"/>
    <n v="50000"/>
    <n v="20000"/>
    <n v="8000"/>
    <n v="23668"/>
    <n v="11891"/>
    <n v="3480"/>
    <n v="4930"/>
    <n v="1741"/>
    <n v="29000"/>
    <n v="4853"/>
  </r>
  <r>
    <d v="2024-01-06T00:00:00"/>
    <x v="0"/>
    <n v="1"/>
    <n v="586"/>
    <n v="685"/>
    <n v="175"/>
    <n v="335"/>
    <n v="76"/>
    <n v="212"/>
    <n v="336"/>
    <n v="137"/>
    <n v="134"/>
    <n v="21"/>
    <n v="47"/>
    <n v="29"/>
    <n v="14"/>
    <n v="120"/>
    <n v="77"/>
    <n v="28"/>
    <n v="11"/>
    <n v="105"/>
    <n v="75"/>
    <n v="6"/>
    <n v="34"/>
    <n v="13"/>
    <n v="63"/>
    <n v="47"/>
    <n v="20"/>
    <n v="0"/>
    <n v="34"/>
    <n v="6"/>
    <n v="0"/>
    <n v="27"/>
    <n v="0"/>
    <n v="6"/>
    <n v="13"/>
    <n v="47"/>
    <n v="47"/>
    <n v="27"/>
    <n v="6"/>
    <n v="0"/>
    <n v="6"/>
    <n v="13"/>
    <n v="68"/>
    <n v="13"/>
    <n v="34"/>
    <n v="13"/>
    <n v="6"/>
    <n v="41"/>
    <n v="0"/>
    <n v="20"/>
    <n v="0"/>
    <n v="100.9205"/>
    <n v="0"/>
    <n v="0"/>
    <n v="0"/>
    <n v="0"/>
    <n v="0"/>
    <n v="50000"/>
    <n v="20000"/>
    <n v="8000"/>
    <n v="23668"/>
    <n v="11891"/>
    <n v="3480"/>
    <n v="4930"/>
    <n v="1741"/>
    <n v="29000"/>
    <n v="3534"/>
  </r>
  <r>
    <d v="2024-01-07T00:00:00"/>
    <x v="0"/>
    <n v="1"/>
    <n v="597"/>
    <n v="690"/>
    <n v="310"/>
    <n v="162"/>
    <n v="125"/>
    <n v="282"/>
    <n v="353"/>
    <n v="55"/>
    <n v="166"/>
    <n v="122"/>
    <n v="37"/>
    <n v="22"/>
    <n v="18"/>
    <n v="77"/>
    <n v="74"/>
    <n v="27"/>
    <n v="34"/>
    <n v="20"/>
    <n v="75"/>
    <n v="0"/>
    <n v="27"/>
    <n v="6"/>
    <n v="75"/>
    <n v="48"/>
    <n v="6"/>
    <n v="13"/>
    <n v="41"/>
    <n v="20"/>
    <n v="0"/>
    <n v="6"/>
    <n v="20"/>
    <n v="0"/>
    <n v="13"/>
    <n v="48"/>
    <n v="6"/>
    <n v="6"/>
    <n v="0"/>
    <n v="0"/>
    <n v="13"/>
    <n v="6"/>
    <n v="55"/>
    <n v="6"/>
    <n v="48"/>
    <n v="6"/>
    <n v="6"/>
    <n v="20"/>
    <n v="0"/>
    <n v="0"/>
    <n v="120"/>
    <n v="97.510499999999993"/>
    <n v="0"/>
    <n v="0"/>
    <n v="0"/>
    <n v="0"/>
    <n v="0"/>
    <n v="50000"/>
    <n v="20000"/>
    <n v="8000"/>
    <n v="23668"/>
    <n v="11891"/>
    <n v="3480"/>
    <n v="4930"/>
    <n v="1741"/>
    <n v="29000"/>
    <n v="7918"/>
  </r>
  <r>
    <d v="2024-01-08T00:00:00"/>
    <x v="0"/>
    <n v="1"/>
    <n v="604"/>
    <n v="684"/>
    <n v="217"/>
    <n v="273"/>
    <n v="114"/>
    <n v="307"/>
    <n v="316"/>
    <n v="61"/>
    <n v="149"/>
    <n v="101"/>
    <n v="48"/>
    <n v="37"/>
    <n v="7"/>
    <n v="126"/>
    <n v="59"/>
    <n v="25"/>
    <n v="11"/>
    <n v="41"/>
    <n v="54"/>
    <n v="13"/>
    <n v="47"/>
    <n v="13"/>
    <n v="9"/>
    <n v="54"/>
    <n v="13"/>
    <n v="20"/>
    <n v="13"/>
    <n v="13"/>
    <n v="0"/>
    <n v="34"/>
    <n v="20"/>
    <n v="6"/>
    <n v="20"/>
    <n v="41"/>
    <n v="34"/>
    <n v="34"/>
    <n v="20"/>
    <n v="6"/>
    <n v="13"/>
    <n v="13"/>
    <n v="61"/>
    <n v="13"/>
    <n v="27"/>
    <n v="34"/>
    <n v="6"/>
    <n v="41"/>
    <n v="6"/>
    <n v="6"/>
    <n v="0"/>
    <n v="96.611500000000007"/>
    <n v="0"/>
    <n v="0"/>
    <n v="0"/>
    <n v="0"/>
    <n v="0"/>
    <n v="50000"/>
    <n v="20000"/>
    <n v="8000"/>
    <n v="23668"/>
    <n v="11891"/>
    <n v="3480"/>
    <n v="4930"/>
    <n v="1741"/>
    <n v="29000"/>
    <n v="520"/>
  </r>
  <r>
    <d v="2024-01-09T00:00:00"/>
    <x v="0"/>
    <n v="1"/>
    <n v="606"/>
    <n v="664"/>
    <n v="284"/>
    <n v="262"/>
    <n v="60"/>
    <n v="232"/>
    <n v="346"/>
    <n v="86"/>
    <n v="157"/>
    <n v="127"/>
    <n v="56"/>
    <n v="26"/>
    <n v="33"/>
    <n v="89"/>
    <n v="64"/>
    <n v="20"/>
    <n v="34"/>
    <n v="0"/>
    <n v="86"/>
    <n v="0"/>
    <n v="19"/>
    <n v="19"/>
    <n v="59"/>
    <n v="59"/>
    <n v="19"/>
    <n v="6"/>
    <n v="39"/>
    <n v="0"/>
    <n v="0"/>
    <n v="19"/>
    <n v="19"/>
    <n v="19"/>
    <n v="6"/>
    <n v="46"/>
    <n v="6"/>
    <n v="26"/>
    <n v="0"/>
    <n v="6"/>
    <n v="19"/>
    <n v="13"/>
    <n v="66"/>
    <n v="19"/>
    <n v="19"/>
    <n v="13"/>
    <n v="0"/>
    <n v="13"/>
    <n v="19"/>
    <n v="0"/>
    <n v="30"/>
    <n v="95.743500000000012"/>
    <n v="0"/>
    <n v="0"/>
    <n v="0"/>
    <n v="0"/>
    <n v="0"/>
    <n v="50000"/>
    <n v="20000"/>
    <n v="8000"/>
    <n v="23668"/>
    <n v="11891"/>
    <n v="3480"/>
    <n v="4930"/>
    <n v="1741"/>
    <n v="29000"/>
    <n v="6207"/>
  </r>
  <r>
    <d v="2024-01-10T00:00:00"/>
    <x v="0"/>
    <n v="1"/>
    <n v="602"/>
    <n v="625"/>
    <n v="258"/>
    <n v="314"/>
    <n v="30"/>
    <n v="131"/>
    <n v="451"/>
    <n v="43"/>
    <n v="160"/>
    <n v="97"/>
    <n v="52"/>
    <n v="18"/>
    <n v="14"/>
    <n v="86"/>
    <n v="16"/>
    <n v="18"/>
    <n v="13"/>
    <n v="128"/>
    <n v="25"/>
    <n v="0"/>
    <n v="43"/>
    <n v="18"/>
    <n v="75"/>
    <n v="56"/>
    <n v="18"/>
    <n v="0"/>
    <n v="12"/>
    <n v="0"/>
    <n v="0"/>
    <n v="6"/>
    <n v="6"/>
    <n v="0"/>
    <n v="6"/>
    <n v="43"/>
    <n v="43"/>
    <n v="6"/>
    <n v="12"/>
    <n v="0"/>
    <n v="12"/>
    <n v="18"/>
    <n v="62"/>
    <n v="12"/>
    <n v="50"/>
    <n v="31"/>
    <n v="0"/>
    <n v="25"/>
    <n v="0"/>
    <n v="12"/>
    <n v="34"/>
    <n v="96.332499999999996"/>
    <n v="0"/>
    <n v="0"/>
    <n v="0"/>
    <n v="0"/>
    <n v="0"/>
    <n v="50000"/>
    <n v="20000"/>
    <n v="8000"/>
    <n v="23668"/>
    <n v="11891"/>
    <n v="3480"/>
    <n v="4930"/>
    <n v="1741"/>
    <n v="29000"/>
    <n v="4999"/>
  </r>
  <r>
    <d v="2024-01-11T00:00:00"/>
    <x v="0"/>
    <n v="1"/>
    <n v="584"/>
    <n v="588"/>
    <n v="186"/>
    <n v="334"/>
    <n v="64"/>
    <n v="158"/>
    <n v="313"/>
    <n v="117"/>
    <n v="188"/>
    <n v="86"/>
    <n v="36"/>
    <n v="18"/>
    <n v="18"/>
    <n v="79"/>
    <n v="17"/>
    <n v="33"/>
    <n v="19"/>
    <n v="90"/>
    <n v="58"/>
    <n v="0"/>
    <n v="35"/>
    <n v="17"/>
    <n v="23"/>
    <n v="35"/>
    <n v="11"/>
    <n v="5"/>
    <n v="17"/>
    <n v="17"/>
    <n v="5"/>
    <n v="17"/>
    <n v="5"/>
    <n v="5"/>
    <n v="17"/>
    <n v="52"/>
    <n v="23"/>
    <n v="23"/>
    <n v="11"/>
    <n v="0"/>
    <n v="23"/>
    <n v="17"/>
    <n v="41"/>
    <n v="5"/>
    <n v="52"/>
    <n v="11"/>
    <n v="0"/>
    <n v="29"/>
    <n v="17"/>
    <n v="17"/>
    <n v="0"/>
    <n v="98.657500000000013"/>
    <n v="0"/>
    <n v="0"/>
    <n v="0"/>
    <n v="0"/>
    <n v="0"/>
    <n v="50000"/>
    <n v="20000"/>
    <n v="8000"/>
    <n v="23668"/>
    <n v="11891"/>
    <n v="3480"/>
    <n v="4930"/>
    <n v="1741"/>
    <n v="29000"/>
    <n v="1124"/>
  </r>
  <r>
    <d v="2024-01-12T00:00:00"/>
    <x v="0"/>
    <n v="1"/>
    <n v="560"/>
    <n v="575"/>
    <n v="123"/>
    <n v="348"/>
    <n v="89"/>
    <n v="149"/>
    <n v="369"/>
    <n v="57"/>
    <n v="156"/>
    <n v="27"/>
    <n v="34"/>
    <n v="24"/>
    <n v="24"/>
    <n v="85"/>
    <n v="36"/>
    <n v="19"/>
    <n v="29"/>
    <n v="126"/>
    <n v="63"/>
    <n v="17"/>
    <n v="40"/>
    <n v="5"/>
    <n v="33"/>
    <n v="51"/>
    <n v="17"/>
    <n v="17"/>
    <n v="11"/>
    <n v="5"/>
    <n v="0"/>
    <n v="17"/>
    <n v="11"/>
    <n v="17"/>
    <n v="0"/>
    <n v="28"/>
    <n v="23"/>
    <n v="28"/>
    <n v="0"/>
    <n v="0"/>
    <n v="5"/>
    <n v="17"/>
    <n v="40"/>
    <n v="17"/>
    <n v="51"/>
    <n v="11"/>
    <n v="0"/>
    <n v="11"/>
    <n v="17"/>
    <n v="23"/>
    <n v="0"/>
    <n v="104.06699999999999"/>
    <n v="0"/>
    <n v="0"/>
    <n v="0"/>
    <n v="0"/>
    <n v="0"/>
    <n v="50000"/>
    <n v="10000"/>
    <n v="5000"/>
    <n v="12386"/>
    <n v="11891"/>
    <n v="3480"/>
    <n v="4930"/>
    <n v="1741"/>
    <n v="29000"/>
    <n v="5206"/>
  </r>
  <r>
    <d v="2024-01-13T00:00:00"/>
    <x v="0"/>
    <n v="1"/>
    <n v="535"/>
    <n v="570"/>
    <n v="133"/>
    <n v="301"/>
    <n v="101"/>
    <n v="159"/>
    <n v="286"/>
    <n v="125"/>
    <n v="159"/>
    <n v="79"/>
    <n v="39"/>
    <n v="16"/>
    <n v="33"/>
    <n v="95"/>
    <n v="67"/>
    <n v="24"/>
    <n v="16"/>
    <n v="7"/>
    <n v="39"/>
    <n v="17"/>
    <n v="34"/>
    <n v="11"/>
    <n v="62"/>
    <n v="34"/>
    <n v="17"/>
    <n v="0"/>
    <n v="11"/>
    <n v="11"/>
    <n v="0"/>
    <n v="5"/>
    <n v="0"/>
    <n v="17"/>
    <n v="11"/>
    <n v="34"/>
    <n v="11"/>
    <n v="22"/>
    <n v="17"/>
    <n v="0"/>
    <n v="22"/>
    <n v="17"/>
    <n v="39"/>
    <n v="5"/>
    <n v="17"/>
    <n v="17"/>
    <n v="0"/>
    <n v="34"/>
    <n v="17"/>
    <n v="22"/>
    <n v="27"/>
    <n v="112.53"/>
    <n v="0"/>
    <n v="0"/>
    <n v="0"/>
    <n v="0"/>
    <n v="0"/>
    <n v="50000"/>
    <n v="10000"/>
    <n v="5000"/>
    <n v="12386"/>
    <n v="11891"/>
    <n v="3480"/>
    <n v="4930"/>
    <n v="1741"/>
    <n v="29000"/>
    <n v="2777"/>
  </r>
  <r>
    <d v="2024-01-14T00:00:00"/>
    <x v="0"/>
    <n v="1"/>
    <n v="523"/>
    <n v="571"/>
    <n v="261"/>
    <n v="184"/>
    <n v="78"/>
    <n v="279"/>
    <n v="264"/>
    <n v="28"/>
    <n v="110"/>
    <n v="100"/>
    <n v="25"/>
    <n v="45"/>
    <n v="29"/>
    <n v="83"/>
    <n v="39"/>
    <n v="17"/>
    <n v="17"/>
    <n v="58"/>
    <n v="39"/>
    <n v="5"/>
    <n v="17"/>
    <n v="11"/>
    <n v="79"/>
    <n v="45"/>
    <n v="0"/>
    <n v="0"/>
    <n v="11"/>
    <n v="5"/>
    <n v="0"/>
    <n v="28"/>
    <n v="0"/>
    <n v="17"/>
    <n v="5"/>
    <n v="57"/>
    <n v="5"/>
    <n v="17"/>
    <n v="11"/>
    <n v="0"/>
    <n v="11"/>
    <n v="17"/>
    <n v="57"/>
    <n v="11"/>
    <n v="45"/>
    <n v="11"/>
    <n v="5"/>
    <n v="22"/>
    <n v="5"/>
    <n v="0"/>
    <n v="35"/>
    <n v="120.14050000000002"/>
    <n v="0"/>
    <n v="0"/>
    <n v="0"/>
    <n v="0"/>
    <n v="0"/>
    <n v="50000"/>
    <n v="10000"/>
    <n v="5000"/>
    <n v="12386"/>
    <n v="11891"/>
    <n v="3480"/>
    <n v="4930"/>
    <n v="1741"/>
    <n v="29000"/>
    <n v="2650"/>
  </r>
  <r>
    <d v="2024-01-15T00:00:00"/>
    <x v="0"/>
    <n v="1"/>
    <n v="521"/>
    <n v="585"/>
    <n v="166"/>
    <n v="303"/>
    <n v="52"/>
    <n v="204"/>
    <n v="264"/>
    <n v="117"/>
    <n v="116"/>
    <n v="77"/>
    <n v="45"/>
    <n v="16"/>
    <n v="32"/>
    <n v="108"/>
    <n v="31"/>
    <n v="15"/>
    <n v="13"/>
    <n v="68"/>
    <n v="76"/>
    <n v="5"/>
    <n v="17"/>
    <n v="17"/>
    <n v="46"/>
    <n v="52"/>
    <n v="0"/>
    <n v="5"/>
    <n v="11"/>
    <n v="0"/>
    <n v="5"/>
    <n v="17"/>
    <n v="5"/>
    <n v="11"/>
    <n v="5"/>
    <n v="35"/>
    <n v="23"/>
    <n v="29"/>
    <n v="5"/>
    <n v="5"/>
    <n v="5"/>
    <n v="5"/>
    <n v="52"/>
    <n v="11"/>
    <n v="17"/>
    <n v="23"/>
    <n v="0"/>
    <n v="5"/>
    <n v="5"/>
    <n v="17"/>
    <n v="76"/>
    <n v="128.94450000000001"/>
    <n v="0"/>
    <n v="0"/>
    <n v="0"/>
    <n v="0"/>
    <n v="0"/>
    <n v="46500"/>
    <n v="10000"/>
    <n v="8000"/>
    <n v="12386"/>
    <n v="11891"/>
    <n v="3480"/>
    <n v="4930"/>
    <n v="1741"/>
    <n v="29000"/>
    <n v="380"/>
  </r>
  <r>
    <d v="2024-01-16T00:00:00"/>
    <x v="0"/>
    <n v="1"/>
    <n v="526"/>
    <n v="614"/>
    <n v="257"/>
    <n v="175"/>
    <n v="94"/>
    <n v="122"/>
    <n v="456"/>
    <n v="36"/>
    <n v="143"/>
    <n v="45"/>
    <n v="48"/>
    <n v="26"/>
    <n v="29"/>
    <n v="109"/>
    <n v="43"/>
    <n v="25"/>
    <n v="15"/>
    <n v="43"/>
    <n v="67"/>
    <n v="18"/>
    <n v="30"/>
    <n v="18"/>
    <n v="5"/>
    <n v="42"/>
    <n v="0"/>
    <n v="18"/>
    <n v="30"/>
    <n v="12"/>
    <n v="0"/>
    <n v="18"/>
    <n v="12"/>
    <n v="12"/>
    <n v="0"/>
    <n v="55"/>
    <n v="12"/>
    <n v="30"/>
    <n v="18"/>
    <n v="6"/>
    <n v="12"/>
    <n v="24"/>
    <n v="49"/>
    <n v="12"/>
    <n v="30"/>
    <n v="30"/>
    <n v="0"/>
    <n v="18"/>
    <n v="12"/>
    <n v="24"/>
    <n v="0"/>
    <n v="134.24550000000002"/>
    <n v="0"/>
    <n v="0"/>
    <n v="0"/>
    <n v="0"/>
    <n v="0"/>
    <n v="46500"/>
    <n v="10000"/>
    <n v="8000"/>
    <n v="12386"/>
    <n v="11891"/>
    <n v="3480"/>
    <n v="4930"/>
    <n v="1741"/>
    <n v="29000"/>
    <n v="6166"/>
  </r>
  <r>
    <d v="2024-01-17T00:00:00"/>
    <x v="0"/>
    <n v="1"/>
    <n v="536"/>
    <n v="688"/>
    <n v="219"/>
    <n v="189"/>
    <n v="128"/>
    <n v="316"/>
    <n v="242"/>
    <n v="130"/>
    <n v="112"/>
    <n v="116"/>
    <n v="49"/>
    <n v="29"/>
    <n v="19"/>
    <n v="89"/>
    <n v="18"/>
    <n v="22"/>
    <n v="12"/>
    <n v="70"/>
    <n v="68"/>
    <n v="6"/>
    <n v="34"/>
    <n v="6"/>
    <n v="15"/>
    <n v="48"/>
    <n v="13"/>
    <n v="20"/>
    <n v="34"/>
    <n v="20"/>
    <n v="6"/>
    <n v="34"/>
    <n v="13"/>
    <n v="13"/>
    <n v="6"/>
    <n v="55"/>
    <n v="48"/>
    <n v="34"/>
    <n v="0"/>
    <n v="0"/>
    <n v="27"/>
    <n v="13"/>
    <n v="75"/>
    <n v="20"/>
    <n v="34"/>
    <n v="27"/>
    <n v="6"/>
    <n v="13"/>
    <n v="0"/>
    <n v="0"/>
    <n v="0"/>
    <n v="135.6405"/>
    <n v="0"/>
    <n v="0"/>
    <n v="0"/>
    <n v="0"/>
    <n v="0"/>
    <n v="46500"/>
    <n v="10000"/>
    <n v="8000"/>
    <n v="12386"/>
    <n v="11891"/>
    <n v="3480"/>
    <n v="4930"/>
    <n v="1741"/>
    <n v="29000"/>
    <n v="2706"/>
  </r>
  <r>
    <d v="2024-01-18T00:00:00"/>
    <x v="0"/>
    <n v="1"/>
    <n v="553"/>
    <n v="752"/>
    <n v="160"/>
    <n v="299"/>
    <n v="94"/>
    <n v="330"/>
    <n v="265"/>
    <n v="157"/>
    <n v="150"/>
    <n v="68"/>
    <n v="44"/>
    <n v="30"/>
    <n v="6"/>
    <n v="96"/>
    <n v="23"/>
    <n v="16"/>
    <n v="31"/>
    <n v="89"/>
    <n v="60"/>
    <n v="7"/>
    <n v="37"/>
    <n v="22"/>
    <n v="67"/>
    <n v="60"/>
    <n v="0"/>
    <n v="0"/>
    <n v="15"/>
    <n v="22"/>
    <n v="0"/>
    <n v="7"/>
    <n v="7"/>
    <n v="22"/>
    <n v="0"/>
    <n v="45"/>
    <n v="22"/>
    <n v="15"/>
    <n v="15"/>
    <n v="7"/>
    <n v="30"/>
    <n v="22"/>
    <n v="52"/>
    <n v="22"/>
    <n v="45"/>
    <n v="15"/>
    <n v="7"/>
    <n v="52"/>
    <n v="22"/>
    <n v="0"/>
    <n v="55"/>
    <n v="135.6405"/>
    <n v="0"/>
    <n v="0"/>
    <n v="0"/>
    <n v="0"/>
    <n v="0"/>
    <n v="46500"/>
    <n v="20000"/>
    <n v="8000"/>
    <n v="20895"/>
    <n v="11891"/>
    <n v="3480"/>
    <n v="4930"/>
    <n v="1741"/>
    <n v="29000"/>
    <n v="2768"/>
  </r>
  <r>
    <d v="2024-01-19T00:00:00"/>
    <x v="0"/>
    <n v="1"/>
    <n v="573"/>
    <n v="781"/>
    <n v="234"/>
    <n v="231"/>
    <n v="108"/>
    <n v="374"/>
    <n v="345"/>
    <n v="62"/>
    <n v="120"/>
    <n v="88"/>
    <n v="28"/>
    <n v="21"/>
    <n v="35"/>
    <n v="104"/>
    <n v="45"/>
    <n v="32"/>
    <n v="30"/>
    <n v="70"/>
    <n v="109"/>
    <n v="7"/>
    <n v="54"/>
    <n v="23"/>
    <n v="70"/>
    <n v="62"/>
    <n v="23"/>
    <n v="23"/>
    <n v="23"/>
    <n v="23"/>
    <n v="0"/>
    <n v="31"/>
    <n v="15"/>
    <n v="15"/>
    <n v="23"/>
    <n v="39"/>
    <n v="31"/>
    <n v="15"/>
    <n v="23"/>
    <n v="0"/>
    <n v="31"/>
    <n v="15"/>
    <n v="0"/>
    <n v="23"/>
    <n v="3"/>
    <n v="23"/>
    <n v="0"/>
    <n v="15"/>
    <n v="31"/>
    <n v="31"/>
    <n v="0"/>
    <n v="96.332499999999996"/>
    <n v="0"/>
    <n v="0"/>
    <n v="0"/>
    <n v="0"/>
    <n v="0"/>
    <n v="46500"/>
    <n v="20000"/>
    <n v="8000"/>
    <n v="20895"/>
    <n v="11891"/>
    <n v="3480"/>
    <n v="4930"/>
    <n v="1741"/>
    <n v="29000"/>
    <n v="1607"/>
  </r>
  <r>
    <d v="2024-01-20T00:00:00"/>
    <x v="0"/>
    <n v="1"/>
    <n v="599"/>
    <n v="791"/>
    <n v="257"/>
    <n v="313"/>
    <n v="29"/>
    <n v="292"/>
    <n v="373"/>
    <n v="126"/>
    <n v="126"/>
    <n v="107"/>
    <n v="51"/>
    <n v="37"/>
    <n v="29"/>
    <n v="77"/>
    <n v="59"/>
    <n v="22"/>
    <n v="25"/>
    <n v="66"/>
    <n v="102"/>
    <n v="7"/>
    <n v="47"/>
    <n v="0"/>
    <n v="90"/>
    <n v="39"/>
    <n v="15"/>
    <n v="7"/>
    <n v="39"/>
    <n v="15"/>
    <n v="0"/>
    <n v="31"/>
    <n v="23"/>
    <n v="7"/>
    <n v="23"/>
    <n v="63"/>
    <n v="7"/>
    <n v="39"/>
    <n v="7"/>
    <n v="7"/>
    <n v="7"/>
    <n v="7"/>
    <n v="55"/>
    <n v="15"/>
    <n v="63"/>
    <n v="31"/>
    <n v="7"/>
    <n v="23"/>
    <n v="15"/>
    <n v="0"/>
    <n v="0"/>
    <n v="98.657500000000013"/>
    <n v="0"/>
    <n v="0"/>
    <n v="0"/>
    <n v="0"/>
    <n v="0"/>
    <n v="46500"/>
    <n v="20000"/>
    <n v="8000"/>
    <n v="20895"/>
    <n v="11891"/>
    <n v="3480"/>
    <n v="4930"/>
    <n v="1741"/>
    <n v="29000"/>
    <n v="6991"/>
  </r>
  <r>
    <d v="2024-01-21T00:00:00"/>
    <x v="0"/>
    <n v="1"/>
    <n v="625"/>
    <n v="791"/>
    <n v="218"/>
    <n v="314"/>
    <n v="93"/>
    <n v="284"/>
    <n v="420"/>
    <n v="87"/>
    <n v="135"/>
    <n v="112"/>
    <n v="27"/>
    <n v="38"/>
    <n v="11"/>
    <n v="128"/>
    <n v="30"/>
    <n v="35"/>
    <n v="21"/>
    <n v="88"/>
    <n v="31"/>
    <n v="0"/>
    <n v="55"/>
    <n v="23"/>
    <n v="79"/>
    <n v="71"/>
    <n v="15"/>
    <n v="7"/>
    <n v="39"/>
    <n v="0"/>
    <n v="7"/>
    <n v="7"/>
    <n v="7"/>
    <n v="23"/>
    <n v="15"/>
    <n v="39"/>
    <n v="7"/>
    <n v="31"/>
    <n v="23"/>
    <n v="0"/>
    <n v="15"/>
    <n v="23"/>
    <n v="87"/>
    <n v="23"/>
    <n v="47"/>
    <n v="7"/>
    <n v="0"/>
    <n v="31"/>
    <n v="0"/>
    <n v="23"/>
    <n v="56"/>
    <n v="104.06699999999999"/>
    <n v="0"/>
    <n v="0"/>
    <n v="0"/>
    <n v="0"/>
    <n v="0"/>
    <n v="46500"/>
    <n v="20000"/>
    <n v="8000"/>
    <n v="20895"/>
    <n v="11891"/>
    <n v="3480"/>
    <n v="4930"/>
    <n v="1741"/>
    <n v="29000"/>
    <n v="7777"/>
  </r>
  <r>
    <d v="2024-01-22T00:00:00"/>
    <x v="0"/>
    <n v="1"/>
    <n v="644"/>
    <n v="782"/>
    <n v="231"/>
    <n v="343"/>
    <n v="70"/>
    <n v="398"/>
    <n v="236"/>
    <n v="148"/>
    <n v="179"/>
    <n v="103"/>
    <n v="31"/>
    <n v="27"/>
    <n v="39"/>
    <n v="107"/>
    <n v="17"/>
    <n v="31"/>
    <n v="19"/>
    <n v="91"/>
    <n v="78"/>
    <n v="7"/>
    <n v="31"/>
    <n v="0"/>
    <n v="70"/>
    <n v="39"/>
    <n v="15"/>
    <n v="23"/>
    <n v="31"/>
    <n v="0"/>
    <n v="7"/>
    <n v="15"/>
    <n v="15"/>
    <n v="0"/>
    <n v="0"/>
    <n v="54"/>
    <n v="31"/>
    <n v="39"/>
    <n v="23"/>
    <n v="7"/>
    <n v="7"/>
    <n v="15"/>
    <n v="78"/>
    <n v="7"/>
    <n v="70"/>
    <n v="23"/>
    <n v="0"/>
    <n v="46"/>
    <n v="0"/>
    <n v="0"/>
    <n v="51"/>
    <n v="112.53"/>
    <n v="0"/>
    <n v="0"/>
    <n v="0"/>
    <n v="0"/>
    <n v="0"/>
    <n v="46500"/>
    <n v="20000"/>
    <n v="7698"/>
    <n v="20895"/>
    <n v="11891"/>
    <n v="3480"/>
    <n v="4930"/>
    <n v="1741"/>
    <n v="29000"/>
    <n v="854"/>
  </r>
  <r>
    <d v="2024-01-23T00:00:00"/>
    <x v="0"/>
    <n v="1"/>
    <n v="658"/>
    <n v="754"/>
    <n v="269"/>
    <n v="330"/>
    <n v="59"/>
    <n v="218"/>
    <n v="438"/>
    <n v="98"/>
    <n v="216"/>
    <n v="28"/>
    <n v="61"/>
    <n v="32"/>
    <n v="24"/>
    <n v="115"/>
    <n v="80"/>
    <n v="37"/>
    <n v="32"/>
    <n v="33"/>
    <n v="45"/>
    <n v="0"/>
    <n v="22"/>
    <n v="7"/>
    <n v="113"/>
    <n v="52"/>
    <n v="0"/>
    <n v="0"/>
    <n v="30"/>
    <n v="7"/>
    <n v="7"/>
    <n v="7"/>
    <n v="7"/>
    <n v="0"/>
    <n v="7"/>
    <n v="75"/>
    <n v="30"/>
    <n v="7"/>
    <n v="0"/>
    <n v="7"/>
    <n v="22"/>
    <n v="7"/>
    <n v="82"/>
    <n v="7"/>
    <n v="52"/>
    <n v="7"/>
    <n v="7"/>
    <n v="22"/>
    <n v="0"/>
    <n v="0"/>
    <n v="125"/>
    <n v="120.14050000000002"/>
    <n v="0"/>
    <n v="0"/>
    <n v="0"/>
    <n v="0"/>
    <n v="0"/>
    <n v="46500"/>
    <n v="20000"/>
    <n v="7698"/>
    <n v="20895"/>
    <n v="11891"/>
    <n v="3480"/>
    <n v="4930"/>
    <n v="1741"/>
    <n v="29000"/>
    <n v="3497"/>
  </r>
  <r>
    <d v="2024-01-24T00:00:00"/>
    <x v="0"/>
    <n v="1"/>
    <n v="666"/>
    <n v="707"/>
    <n v="186"/>
    <n v="401"/>
    <n v="79"/>
    <n v="367"/>
    <n v="185"/>
    <n v="155"/>
    <n v="148"/>
    <n v="107"/>
    <n v="49"/>
    <n v="41"/>
    <n v="12"/>
    <n v="136"/>
    <n v="73"/>
    <n v="32"/>
    <n v="20"/>
    <n v="48"/>
    <n v="42"/>
    <n v="21"/>
    <n v="35"/>
    <n v="0"/>
    <n v="63"/>
    <n v="35"/>
    <n v="14"/>
    <n v="21"/>
    <n v="42"/>
    <n v="0"/>
    <n v="7"/>
    <n v="7"/>
    <n v="14"/>
    <n v="21"/>
    <n v="7"/>
    <n v="70"/>
    <n v="14"/>
    <n v="28"/>
    <n v="21"/>
    <n v="7"/>
    <n v="0"/>
    <n v="28"/>
    <n v="63"/>
    <n v="14"/>
    <n v="42"/>
    <n v="14"/>
    <n v="0"/>
    <n v="14"/>
    <n v="7"/>
    <n v="0"/>
    <n v="56"/>
    <n v="128.94450000000001"/>
    <n v="0"/>
    <n v="0"/>
    <n v="0"/>
    <n v="0"/>
    <n v="0"/>
    <n v="46500"/>
    <n v="20000"/>
    <n v="7698"/>
    <n v="25639"/>
    <n v="11891"/>
    <n v="3480"/>
    <n v="4930"/>
    <n v="1741"/>
    <n v="29000"/>
    <n v="4507"/>
  </r>
  <r>
    <d v="2024-01-25T00:00:00"/>
    <x v="0"/>
    <n v="1"/>
    <n v="668"/>
    <n v="657"/>
    <n v="187"/>
    <n v="388"/>
    <n v="93"/>
    <n v="243"/>
    <n v="296"/>
    <n v="118"/>
    <n v="194"/>
    <n v="103"/>
    <n v="33"/>
    <n v="49"/>
    <n v="37"/>
    <n v="116"/>
    <n v="73"/>
    <n v="20"/>
    <n v="17"/>
    <n v="26"/>
    <n v="65"/>
    <n v="13"/>
    <n v="45"/>
    <n v="13"/>
    <n v="65"/>
    <n v="52"/>
    <n v="19"/>
    <n v="19"/>
    <n v="26"/>
    <n v="13"/>
    <n v="0"/>
    <n v="6"/>
    <n v="13"/>
    <n v="13"/>
    <n v="19"/>
    <n v="26"/>
    <n v="45"/>
    <n v="32"/>
    <n v="13"/>
    <n v="6"/>
    <n v="13"/>
    <n v="19"/>
    <n v="0"/>
    <n v="13"/>
    <n v="52"/>
    <n v="13"/>
    <n v="6"/>
    <n v="19"/>
    <n v="19"/>
    <n v="0"/>
    <n v="0"/>
    <n v="134.24550000000002"/>
    <n v="0"/>
    <n v="0"/>
    <n v="0"/>
    <n v="0"/>
    <n v="0"/>
    <n v="46500"/>
    <n v="20000"/>
    <n v="7698"/>
    <n v="25639"/>
    <n v="11891"/>
    <n v="3480"/>
    <n v="4930"/>
    <n v="1741"/>
    <n v="29000"/>
    <n v="3697"/>
  </r>
  <r>
    <d v="2024-01-26T00:00:00"/>
    <x v="0"/>
    <n v="1"/>
    <n v="665"/>
    <n v="628"/>
    <n v="139"/>
    <n v="487"/>
    <n v="39"/>
    <n v="150"/>
    <n v="359"/>
    <n v="119"/>
    <n v="148"/>
    <n v="115"/>
    <n v="61"/>
    <n v="24"/>
    <n v="20"/>
    <n v="121"/>
    <n v="25"/>
    <n v="32"/>
    <n v="25"/>
    <n v="94"/>
    <n v="87"/>
    <n v="6"/>
    <n v="25"/>
    <n v="12"/>
    <n v="23"/>
    <n v="50"/>
    <n v="0"/>
    <n v="0"/>
    <n v="31"/>
    <n v="0"/>
    <n v="6"/>
    <n v="31"/>
    <n v="12"/>
    <n v="12"/>
    <n v="12"/>
    <n v="50"/>
    <n v="43"/>
    <n v="25"/>
    <n v="6"/>
    <n v="0"/>
    <n v="25"/>
    <n v="12"/>
    <n v="56"/>
    <n v="6"/>
    <n v="37"/>
    <n v="25"/>
    <n v="0"/>
    <n v="18"/>
    <n v="0"/>
    <n v="18"/>
    <n v="0"/>
    <n v="104.06699999999999"/>
    <n v="0"/>
    <n v="0"/>
    <n v="0"/>
    <n v="0"/>
    <n v="0"/>
    <n v="46500"/>
    <n v="20000"/>
    <n v="7698"/>
    <n v="25639"/>
    <n v="11891"/>
    <n v="3480"/>
    <n v="4930"/>
    <n v="1741"/>
    <n v="29000"/>
    <n v="6832"/>
  </r>
  <r>
    <d v="2024-01-27T00:00:00"/>
    <x v="0"/>
    <n v="1"/>
    <n v="654"/>
    <n v="615"/>
    <n v="150"/>
    <n v="419"/>
    <n v="85"/>
    <n v="227"/>
    <n v="302"/>
    <n v="86"/>
    <n v="174"/>
    <n v="97"/>
    <n v="32"/>
    <n v="20"/>
    <n v="24"/>
    <n v="104"/>
    <n v="59"/>
    <n v="29"/>
    <n v="34"/>
    <n v="81"/>
    <n v="79"/>
    <n v="0"/>
    <n v="18"/>
    <n v="0"/>
    <n v="70"/>
    <n v="43"/>
    <n v="6"/>
    <n v="6"/>
    <n v="30"/>
    <n v="6"/>
    <n v="6"/>
    <n v="30"/>
    <n v="6"/>
    <n v="6"/>
    <n v="18"/>
    <n v="36"/>
    <n v="43"/>
    <n v="6"/>
    <n v="12"/>
    <n v="6"/>
    <n v="12"/>
    <n v="12"/>
    <n v="43"/>
    <n v="6"/>
    <n v="55"/>
    <n v="6"/>
    <n v="0"/>
    <n v="12"/>
    <n v="18"/>
    <n v="24"/>
    <n v="0"/>
    <n v="112.53"/>
    <n v="0"/>
    <n v="0"/>
    <n v="0"/>
    <n v="0"/>
    <n v="0"/>
    <n v="46500"/>
    <n v="20000"/>
    <n v="7698"/>
    <n v="25639"/>
    <n v="11891"/>
    <n v="3480"/>
    <n v="4930"/>
    <n v="1741"/>
    <n v="29000"/>
    <n v="3926"/>
  </r>
  <r>
    <d v="2024-01-28T00:00:00"/>
    <x v="0"/>
    <n v="1"/>
    <n v="629"/>
    <n v="614"/>
    <n v="150"/>
    <n v="360"/>
    <n v="119"/>
    <n v="171"/>
    <n v="333"/>
    <n v="110"/>
    <n v="167"/>
    <n v="124"/>
    <n v="46"/>
    <n v="31"/>
    <n v="7"/>
    <n v="95"/>
    <n v="69"/>
    <n v="16"/>
    <n v="16"/>
    <n v="58"/>
    <n v="61"/>
    <n v="12"/>
    <n v="30"/>
    <n v="12"/>
    <n v="71"/>
    <n v="36"/>
    <n v="6"/>
    <n v="0"/>
    <n v="30"/>
    <n v="0"/>
    <n v="0"/>
    <n v="12"/>
    <n v="0"/>
    <n v="0"/>
    <n v="18"/>
    <n v="55"/>
    <n v="36"/>
    <n v="30"/>
    <n v="12"/>
    <n v="6"/>
    <n v="12"/>
    <n v="12"/>
    <n v="55"/>
    <n v="18"/>
    <n v="36"/>
    <n v="12"/>
    <n v="0"/>
    <n v="36"/>
    <n v="6"/>
    <n v="0"/>
    <n v="0"/>
    <n v="181.35000000000002"/>
    <n v="0"/>
    <n v="0"/>
    <n v="0"/>
    <n v="0"/>
    <n v="0"/>
    <n v="46500"/>
    <n v="20000"/>
    <n v="7698"/>
    <n v="25639"/>
    <n v="11891"/>
    <n v="3480"/>
    <n v="4930"/>
    <n v="1741"/>
    <n v="29000"/>
    <n v="7386"/>
  </r>
  <r>
    <d v="2024-01-29T00:00:00"/>
    <x v="0"/>
    <n v="1"/>
    <n v="605"/>
    <n v="620"/>
    <n v="242"/>
    <n v="315"/>
    <n v="48"/>
    <n v="322"/>
    <n v="143"/>
    <n v="155"/>
    <n v="162"/>
    <n v="120"/>
    <n v="52"/>
    <n v="52"/>
    <n v="7"/>
    <n v="112"/>
    <n v="41"/>
    <n v="25"/>
    <n v="34"/>
    <n v="0"/>
    <n v="55"/>
    <n v="6"/>
    <n v="24"/>
    <n v="0"/>
    <n v="92"/>
    <n v="49"/>
    <n v="18"/>
    <n v="6"/>
    <n v="18"/>
    <n v="18"/>
    <n v="0"/>
    <n v="24"/>
    <n v="18"/>
    <n v="0"/>
    <n v="6"/>
    <n v="55"/>
    <n v="31"/>
    <n v="6"/>
    <n v="18"/>
    <n v="0"/>
    <n v="6"/>
    <n v="18"/>
    <n v="43"/>
    <n v="12"/>
    <n v="55"/>
    <n v="24"/>
    <n v="0"/>
    <n v="12"/>
    <n v="6"/>
    <n v="0"/>
    <n v="0"/>
    <n v="183.768"/>
    <n v="36270"/>
    <n v="23400"/>
    <n v="28080"/>
    <n v="14040"/>
    <n v="15210"/>
    <n v="46500"/>
    <n v="20000"/>
    <n v="7698"/>
    <n v="25639"/>
    <n v="11891"/>
    <n v="3480"/>
    <n v="4930"/>
    <n v="1741"/>
    <n v="29000"/>
    <n v="1944"/>
  </r>
  <r>
    <d v="2024-01-30T00:00:00"/>
    <x v="0"/>
    <n v="1"/>
    <n v="586"/>
    <n v="634"/>
    <n v="263"/>
    <n v="224"/>
    <n v="99"/>
    <n v="164"/>
    <n v="413"/>
    <n v="57"/>
    <n v="163"/>
    <n v="61"/>
    <n v="36"/>
    <n v="36"/>
    <n v="32"/>
    <n v="97"/>
    <n v="31"/>
    <n v="15"/>
    <n v="33"/>
    <n v="82"/>
    <n v="63"/>
    <n v="6"/>
    <n v="31"/>
    <n v="0"/>
    <n v="61"/>
    <n v="50"/>
    <n v="12"/>
    <n v="0"/>
    <n v="31"/>
    <n v="0"/>
    <n v="0"/>
    <n v="31"/>
    <n v="12"/>
    <n v="6"/>
    <n v="0"/>
    <n v="50"/>
    <n v="25"/>
    <n v="19"/>
    <n v="12"/>
    <n v="0"/>
    <n v="19"/>
    <n v="25"/>
    <n v="44"/>
    <n v="6"/>
    <n v="38"/>
    <n v="31"/>
    <n v="6"/>
    <n v="31"/>
    <n v="0"/>
    <n v="25"/>
    <n v="0"/>
    <n v="181.35000000000002"/>
    <n v="37936.639999999999"/>
    <n v="24895.919999999998"/>
    <n v="22524.880000000001"/>
    <n v="16597.28"/>
    <n v="16597.28"/>
    <n v="46500"/>
    <n v="20000"/>
    <n v="7698"/>
    <n v="25639"/>
    <n v="11891"/>
    <n v="3480"/>
    <n v="4930"/>
    <n v="1741"/>
    <n v="29000"/>
    <n v="4550"/>
  </r>
  <r>
    <d v="2024-01-31T00:00:00"/>
    <x v="0"/>
    <n v="1"/>
    <n v="578"/>
    <n v="654"/>
    <n v="306"/>
    <n v="128"/>
    <n v="144"/>
    <n v="248"/>
    <n v="302"/>
    <n v="104"/>
    <n v="154"/>
    <n v="75"/>
    <n v="35"/>
    <n v="53"/>
    <n v="10"/>
    <n v="92"/>
    <n v="10"/>
    <n v="30"/>
    <n v="19"/>
    <n v="100"/>
    <n v="52"/>
    <n v="0"/>
    <n v="19"/>
    <n v="19"/>
    <n v="85"/>
    <n v="39"/>
    <n v="13"/>
    <n v="6"/>
    <n v="19"/>
    <n v="6"/>
    <n v="6"/>
    <n v="32"/>
    <n v="13"/>
    <n v="6"/>
    <n v="19"/>
    <n v="45"/>
    <n v="6"/>
    <n v="13"/>
    <n v="19"/>
    <n v="0"/>
    <n v="26"/>
    <n v="26"/>
    <n v="45"/>
    <n v="6"/>
    <n v="58"/>
    <n v="6"/>
    <n v="6"/>
    <n v="26"/>
    <n v="13"/>
    <n v="6"/>
    <n v="19"/>
    <n v="181.42750000000001"/>
    <n v="36270"/>
    <n v="23400"/>
    <n v="28080"/>
    <n v="14040"/>
    <n v="15210"/>
    <n v="46500"/>
    <n v="20000"/>
    <n v="7698"/>
    <n v="25639"/>
    <n v="11891"/>
    <n v="3480"/>
    <n v="4930"/>
    <n v="1741"/>
    <n v="29000"/>
    <n v="8948"/>
  </r>
  <r>
    <d v="2024-02-01T00:00:00"/>
    <x v="1"/>
    <n v="2"/>
    <n v="577"/>
    <n v="864"/>
    <n v="236"/>
    <n v="307"/>
    <n v="34"/>
    <n v="259"/>
    <n v="433"/>
    <n v="172"/>
    <n v="114"/>
    <n v="118"/>
    <n v="50"/>
    <n v="50"/>
    <n v="10"/>
    <n v="105"/>
    <n v="72"/>
    <n v="28"/>
    <n v="30"/>
    <n v="0"/>
    <n v="43"/>
    <n v="8"/>
    <n v="51"/>
    <n v="8"/>
    <n v="60"/>
    <n v="77"/>
    <n v="17"/>
    <n v="0"/>
    <n v="25"/>
    <n v="8"/>
    <n v="0"/>
    <n v="34"/>
    <n v="0"/>
    <n v="8"/>
    <n v="25"/>
    <n v="43"/>
    <n v="43"/>
    <n v="17"/>
    <n v="8"/>
    <n v="0"/>
    <n v="8"/>
    <n v="8"/>
    <n v="95"/>
    <n v="17"/>
    <n v="43"/>
    <n v="17"/>
    <n v="8"/>
    <n v="51"/>
    <n v="0"/>
    <n v="17"/>
    <n v="125"/>
    <n v="124.08"/>
    <n v="30434.04"/>
    <n v="17558.099999999999"/>
    <n v="16387.560000000001"/>
    <n v="25751.88"/>
    <n v="26922.42"/>
    <n v="46500"/>
    <n v="10000"/>
    <n v="7698"/>
    <n v="14297"/>
    <n v="22162"/>
    <n v="5741"/>
    <n v="5321"/>
    <n v="1902"/>
    <n v="38000"/>
    <n v="7836"/>
  </r>
  <r>
    <d v="2024-02-02T00:00:00"/>
    <x v="1"/>
    <n v="2"/>
    <n v="580"/>
    <n v="859"/>
    <n v="284"/>
    <n v="262"/>
    <n v="34"/>
    <n v="249"/>
    <n v="525"/>
    <n v="85"/>
    <n v="169"/>
    <n v="35"/>
    <n v="50"/>
    <n v="39"/>
    <n v="25"/>
    <n v="85"/>
    <n v="55"/>
    <n v="26"/>
    <n v="24"/>
    <n v="72"/>
    <n v="34"/>
    <n v="0"/>
    <n v="60"/>
    <n v="0"/>
    <n v="94"/>
    <n v="60"/>
    <n v="25"/>
    <n v="17"/>
    <n v="34"/>
    <n v="8"/>
    <n v="8"/>
    <n v="17"/>
    <n v="8"/>
    <n v="25"/>
    <n v="0"/>
    <n v="77"/>
    <n v="34"/>
    <n v="34"/>
    <n v="25"/>
    <n v="0"/>
    <n v="34"/>
    <n v="8"/>
    <n v="94"/>
    <n v="8"/>
    <n v="25"/>
    <n v="8"/>
    <n v="0"/>
    <n v="60"/>
    <n v="34"/>
    <n v="8"/>
    <n v="20"/>
    <n v="132.37"/>
    <n v="38463.75"/>
    <n v="24815.32"/>
    <n v="29778.39"/>
    <n v="14889.19"/>
    <n v="16129.96"/>
    <n v="46500"/>
    <n v="10000"/>
    <n v="7698"/>
    <n v="14297"/>
    <n v="22162"/>
    <n v="5741"/>
    <n v="5321"/>
    <n v="1902"/>
    <n v="38000"/>
    <n v="5531"/>
  </r>
  <r>
    <d v="2024-02-03T00:00:00"/>
    <x v="1"/>
    <n v="2"/>
    <n v="587"/>
    <n v="840"/>
    <n v="176"/>
    <n v="265"/>
    <n v="146"/>
    <n v="411"/>
    <n v="337"/>
    <n v="92"/>
    <n v="189"/>
    <n v="105"/>
    <n v="29"/>
    <n v="43"/>
    <n v="14"/>
    <n v="82"/>
    <n v="40"/>
    <n v="28"/>
    <n v="13"/>
    <n v="44"/>
    <n v="84"/>
    <n v="0"/>
    <n v="25"/>
    <n v="8"/>
    <n v="58"/>
    <n v="42"/>
    <n v="16"/>
    <n v="16"/>
    <n v="16"/>
    <n v="16"/>
    <n v="8"/>
    <n v="33"/>
    <n v="25"/>
    <n v="16"/>
    <n v="16"/>
    <n v="42"/>
    <n v="25"/>
    <n v="16"/>
    <n v="25"/>
    <n v="0"/>
    <n v="16"/>
    <n v="33"/>
    <n v="75"/>
    <n v="25"/>
    <n v="33"/>
    <n v="33"/>
    <n v="0"/>
    <n v="33"/>
    <n v="0"/>
    <n v="0"/>
    <n v="105"/>
    <n v="139"/>
    <n v="42359.18"/>
    <n v="27798.21"/>
    <n v="25150.76"/>
    <n v="18532.14"/>
    <n v="18532.14"/>
    <n v="46500"/>
    <n v="10000"/>
    <n v="7698"/>
    <n v="14297"/>
    <n v="22162"/>
    <n v="5741"/>
    <n v="5321"/>
    <n v="1902"/>
    <n v="38000"/>
    <n v="2680"/>
  </r>
  <r>
    <d v="2024-02-04T00:00:00"/>
    <x v="1"/>
    <n v="2"/>
    <n v="602"/>
    <n v="800"/>
    <n v="313"/>
    <n v="187"/>
    <n v="102"/>
    <n v="320"/>
    <n v="344"/>
    <n v="136"/>
    <n v="167"/>
    <n v="18"/>
    <n v="33"/>
    <n v="52"/>
    <n v="18"/>
    <n v="114"/>
    <n v="45"/>
    <n v="32"/>
    <n v="27"/>
    <n v="96"/>
    <n v="48"/>
    <n v="24"/>
    <n v="24"/>
    <n v="24"/>
    <n v="112"/>
    <n v="56"/>
    <n v="0"/>
    <n v="16"/>
    <n v="32"/>
    <n v="24"/>
    <n v="0"/>
    <n v="24"/>
    <n v="24"/>
    <n v="8"/>
    <n v="16"/>
    <n v="40"/>
    <n v="24"/>
    <n v="40"/>
    <n v="0"/>
    <n v="0"/>
    <n v="8"/>
    <n v="32"/>
    <n v="72"/>
    <n v="24"/>
    <n v="48"/>
    <n v="40"/>
    <n v="8"/>
    <n v="32"/>
    <n v="0"/>
    <n v="0"/>
    <n v="0"/>
    <n v="145.73999999999998"/>
    <n v="36140.870000000003"/>
    <n v="20850.5"/>
    <n v="19460.47"/>
    <n v="30580.73"/>
    <n v="31970.77"/>
    <n v="46500"/>
    <n v="10000"/>
    <n v="7698"/>
    <n v="14297"/>
    <n v="22162"/>
    <n v="5741"/>
    <n v="5321"/>
    <n v="1902"/>
    <n v="38000"/>
    <n v="715"/>
  </r>
  <r>
    <d v="2024-02-05T00:00:00"/>
    <x v="1"/>
    <n v="2"/>
    <n v="618"/>
    <n v="775"/>
    <n v="135"/>
    <n v="378"/>
    <n v="105"/>
    <n v="255"/>
    <n v="404"/>
    <n v="116"/>
    <n v="153"/>
    <n v="72"/>
    <n v="30"/>
    <n v="45"/>
    <n v="34"/>
    <n v="122"/>
    <n v="37"/>
    <n v="28"/>
    <n v="23"/>
    <n v="74"/>
    <n v="77"/>
    <n v="0"/>
    <n v="46"/>
    <n v="15"/>
    <n v="74"/>
    <n v="69"/>
    <n v="0"/>
    <n v="7"/>
    <n v="46"/>
    <n v="15"/>
    <n v="7"/>
    <n v="15"/>
    <n v="23"/>
    <n v="7"/>
    <n v="0"/>
    <n v="62"/>
    <n v="46"/>
    <n v="38"/>
    <n v="0"/>
    <n v="0"/>
    <n v="0"/>
    <n v="31"/>
    <n v="54"/>
    <n v="7"/>
    <n v="46"/>
    <n v="38"/>
    <n v="7"/>
    <n v="38"/>
    <n v="7"/>
    <n v="0"/>
    <n v="0"/>
    <n v="149.92000000000002"/>
    <n v="46637.24"/>
    <n v="33520.519999999997"/>
    <n v="16031.55"/>
    <n v="14574.14"/>
    <n v="34977.93"/>
    <n v="46500"/>
    <n v="10000"/>
    <n v="7698"/>
    <n v="14297"/>
    <n v="22162"/>
    <n v="5741"/>
    <n v="5321"/>
    <n v="1902"/>
    <n v="38000"/>
    <n v="7099"/>
  </r>
  <r>
    <d v="2024-02-06T00:00:00"/>
    <x v="1"/>
    <n v="2"/>
    <n v="643"/>
    <n v="763"/>
    <n v="250"/>
    <n v="316"/>
    <n v="77"/>
    <n v="381"/>
    <n v="260"/>
    <n v="122"/>
    <n v="195"/>
    <n v="87"/>
    <n v="47"/>
    <n v="27"/>
    <n v="31"/>
    <n v="87"/>
    <n v="41"/>
    <n v="21"/>
    <n v="14"/>
    <n v="93"/>
    <n v="53"/>
    <n v="0"/>
    <n v="30"/>
    <n v="22"/>
    <n v="53"/>
    <n v="61"/>
    <n v="15"/>
    <n v="7"/>
    <n v="22"/>
    <n v="7"/>
    <n v="0"/>
    <n v="38"/>
    <n v="0"/>
    <n v="7"/>
    <n v="22"/>
    <n v="68"/>
    <n v="22"/>
    <n v="22"/>
    <n v="7"/>
    <n v="0"/>
    <n v="30"/>
    <n v="7"/>
    <n v="76"/>
    <n v="7"/>
    <n v="30"/>
    <n v="22"/>
    <n v="7"/>
    <n v="15"/>
    <n v="15"/>
    <n v="7"/>
    <n v="91"/>
    <n v="154.14999999999998"/>
    <n v="40479.35"/>
    <n v="22488.53"/>
    <n v="14992.35"/>
    <n v="22488.53"/>
    <n v="49474.76"/>
    <n v="46500"/>
    <n v="10000"/>
    <n v="7698"/>
    <n v="14297"/>
    <n v="22162"/>
    <n v="5741"/>
    <n v="5321"/>
    <n v="1902"/>
    <n v="38000"/>
    <n v="6943"/>
  </r>
  <r>
    <d v="2024-02-07T00:00:00"/>
    <x v="1"/>
    <n v="2"/>
    <n v="671"/>
    <n v="761"/>
    <n v="328"/>
    <n v="243"/>
    <n v="100"/>
    <n v="334"/>
    <n v="237"/>
    <n v="190"/>
    <n v="187"/>
    <n v="70"/>
    <n v="37"/>
    <n v="62"/>
    <n v="16"/>
    <n v="101"/>
    <n v="84"/>
    <n v="20"/>
    <n v="15"/>
    <n v="79"/>
    <n v="38"/>
    <n v="22"/>
    <n v="30"/>
    <n v="22"/>
    <n v="90"/>
    <n v="53"/>
    <n v="7"/>
    <n v="15"/>
    <n v="30"/>
    <n v="22"/>
    <n v="7"/>
    <n v="22"/>
    <n v="22"/>
    <n v="15"/>
    <n v="0"/>
    <n v="60"/>
    <n v="45"/>
    <n v="22"/>
    <n v="0"/>
    <n v="0"/>
    <n v="7"/>
    <n v="22"/>
    <n v="68"/>
    <n v="7"/>
    <n v="30"/>
    <n v="30"/>
    <n v="0"/>
    <n v="45"/>
    <n v="15"/>
    <n v="15"/>
    <n v="0"/>
    <n v="156.85"/>
    <n v="40077.68"/>
    <n v="24663.19"/>
    <n v="33911.879999999997"/>
    <n v="38536.230000000003"/>
    <n v="16955.939999999999"/>
    <n v="46500"/>
    <n v="10000"/>
    <n v="7698"/>
    <n v="14297"/>
    <n v="22162"/>
    <n v="5741"/>
    <n v="5321"/>
    <n v="1902"/>
    <n v="38000"/>
    <n v="566"/>
  </r>
  <r>
    <d v="2024-02-08T00:00:00"/>
    <x v="1"/>
    <n v="2"/>
    <n v="697"/>
    <n v="773"/>
    <n v="174"/>
    <n v="370"/>
    <n v="153"/>
    <n v="247"/>
    <n v="426"/>
    <n v="100"/>
    <n v="185"/>
    <n v="43"/>
    <n v="43"/>
    <n v="38"/>
    <n v="25"/>
    <n v="129"/>
    <n v="71"/>
    <n v="21"/>
    <n v="29"/>
    <n v="113"/>
    <n v="38"/>
    <n v="15"/>
    <n v="38"/>
    <n v="23"/>
    <n v="46"/>
    <n v="69"/>
    <n v="0"/>
    <n v="0"/>
    <n v="46"/>
    <n v="7"/>
    <n v="0"/>
    <n v="30"/>
    <n v="7"/>
    <n v="0"/>
    <n v="23"/>
    <n v="46"/>
    <n v="38"/>
    <n v="23"/>
    <n v="0"/>
    <n v="7"/>
    <n v="30"/>
    <n v="15"/>
    <n v="61"/>
    <n v="23"/>
    <n v="69"/>
    <n v="7"/>
    <n v="7"/>
    <n v="23"/>
    <n v="23"/>
    <n v="7"/>
    <n v="52"/>
    <n v="157.64000000000001"/>
    <n v="54899.6"/>
    <n v="39214"/>
    <n v="17254.16"/>
    <n v="15685.6"/>
    <n v="29802.639999999999"/>
    <n v="46500"/>
    <n v="18750"/>
    <n v="3598"/>
    <n v="27846"/>
    <n v="22162"/>
    <n v="5741"/>
    <n v="5321"/>
    <n v="1902"/>
    <n v="38000"/>
    <n v="8696"/>
  </r>
  <r>
    <d v="2024-02-09T00:00:00"/>
    <x v="1"/>
    <n v="2"/>
    <n v="716"/>
    <n v="794"/>
    <n v="372"/>
    <n v="194"/>
    <n v="150"/>
    <n v="325"/>
    <n v="422"/>
    <n v="47"/>
    <n v="150"/>
    <n v="146"/>
    <n v="66"/>
    <n v="48"/>
    <n v="35"/>
    <n v="136"/>
    <n v="19"/>
    <n v="21"/>
    <n v="19"/>
    <n v="76"/>
    <n v="63"/>
    <n v="15"/>
    <n v="23"/>
    <n v="0"/>
    <n v="79"/>
    <n v="39"/>
    <n v="15"/>
    <n v="0"/>
    <n v="23"/>
    <n v="7"/>
    <n v="7"/>
    <n v="39"/>
    <n v="23"/>
    <n v="0"/>
    <n v="7"/>
    <n v="71"/>
    <n v="15"/>
    <n v="39"/>
    <n v="15"/>
    <n v="0"/>
    <n v="15"/>
    <n v="23"/>
    <n v="71"/>
    <n v="7"/>
    <n v="31"/>
    <n v="23"/>
    <n v="0"/>
    <n v="7"/>
    <n v="31"/>
    <n v="0"/>
    <n v="106"/>
    <n v="156.08000000000001"/>
    <n v="50443.23"/>
    <n v="23645.26"/>
    <n v="26797.97"/>
    <n v="39408.769999999997"/>
    <n v="17339.86"/>
    <n v="46500"/>
    <n v="18750"/>
    <n v="3598"/>
    <n v="27846"/>
    <n v="22162"/>
    <n v="5741"/>
    <n v="5321"/>
    <n v="1902"/>
    <n v="38000"/>
    <n v="3867"/>
  </r>
  <r>
    <d v="2024-02-10T00:00:00"/>
    <x v="1"/>
    <n v="2"/>
    <n v="734"/>
    <n v="844"/>
    <n v="161"/>
    <n v="485"/>
    <n v="88"/>
    <n v="388"/>
    <n v="313"/>
    <n v="143"/>
    <n v="213"/>
    <n v="150"/>
    <n v="31"/>
    <n v="22"/>
    <n v="31"/>
    <n v="103"/>
    <n v="41"/>
    <n v="36"/>
    <n v="41"/>
    <n v="66"/>
    <n v="33"/>
    <n v="8"/>
    <n v="33"/>
    <n v="16"/>
    <n v="49"/>
    <n v="75"/>
    <n v="16"/>
    <n v="0"/>
    <n v="42"/>
    <n v="25"/>
    <n v="8"/>
    <n v="16"/>
    <n v="25"/>
    <n v="16"/>
    <n v="25"/>
    <n v="59"/>
    <n v="33"/>
    <n v="42"/>
    <n v="8"/>
    <n v="0"/>
    <n v="16"/>
    <n v="33"/>
    <n v="67"/>
    <n v="25"/>
    <n v="67"/>
    <n v="16"/>
    <n v="0"/>
    <n v="33"/>
    <n v="33"/>
    <n v="25"/>
    <n v="0"/>
    <n v="149.07999999999998"/>
    <n v="39018.589999999997"/>
    <n v="37457.839999999997"/>
    <n v="32775.61"/>
    <n v="29654.13"/>
    <n v="17168.18"/>
    <n v="46500"/>
    <n v="18750"/>
    <n v="3598"/>
    <n v="27846"/>
    <n v="22162"/>
    <n v="5741"/>
    <n v="5321"/>
    <n v="1902"/>
    <n v="38000"/>
    <n v="3092"/>
  </r>
  <r>
    <d v="2024-02-11T00:00:00"/>
    <x v="1"/>
    <n v="2"/>
    <n v="746"/>
    <n v="912"/>
    <n v="283"/>
    <n v="419"/>
    <n v="44"/>
    <n v="182"/>
    <n v="639"/>
    <n v="91"/>
    <n v="226"/>
    <n v="124"/>
    <n v="32"/>
    <n v="27"/>
    <n v="37"/>
    <n v="136"/>
    <n v="17"/>
    <n v="25"/>
    <n v="42"/>
    <n v="80"/>
    <n v="118"/>
    <n v="9"/>
    <n v="63"/>
    <n v="27"/>
    <n v="46"/>
    <n v="54"/>
    <n v="27"/>
    <n v="27"/>
    <n v="18"/>
    <n v="27"/>
    <n v="9"/>
    <n v="45"/>
    <n v="0"/>
    <n v="18"/>
    <n v="9"/>
    <n v="72"/>
    <n v="27"/>
    <n v="27"/>
    <n v="18"/>
    <n v="9"/>
    <n v="9"/>
    <n v="18"/>
    <n v="82"/>
    <n v="18"/>
    <n v="36"/>
    <n v="45"/>
    <n v="9"/>
    <n v="18"/>
    <n v="27"/>
    <n v="0"/>
    <n v="0"/>
    <n v="139.88999999999999"/>
    <n v="41740.81"/>
    <n v="37268.58"/>
    <n v="32796.35"/>
    <n v="14907.43"/>
    <n v="22361.15"/>
    <n v="46500"/>
    <n v="18750"/>
    <n v="4273"/>
    <n v="27846"/>
    <n v="22162"/>
    <n v="5741"/>
    <n v="5321"/>
    <n v="1902"/>
    <n v="38000"/>
    <n v="7584"/>
  </r>
  <r>
    <d v="2024-02-12T00:00:00"/>
    <x v="1"/>
    <n v="2"/>
    <n v="752"/>
    <n v="972"/>
    <n v="315"/>
    <n v="317"/>
    <n v="120"/>
    <n v="213"/>
    <n v="516"/>
    <n v="243"/>
    <n v="195"/>
    <n v="51"/>
    <n v="65"/>
    <n v="32"/>
    <n v="18"/>
    <n v="140"/>
    <n v="57"/>
    <n v="40"/>
    <n v="42"/>
    <n v="112"/>
    <n v="126"/>
    <n v="29"/>
    <n v="38"/>
    <n v="19"/>
    <n v="12"/>
    <n v="77"/>
    <n v="19"/>
    <n v="29"/>
    <n v="29"/>
    <n v="19"/>
    <n v="9"/>
    <n v="19"/>
    <n v="29"/>
    <n v="0"/>
    <n v="0"/>
    <n v="77"/>
    <n v="58"/>
    <n v="38"/>
    <n v="9"/>
    <n v="9"/>
    <n v="9"/>
    <n v="9"/>
    <n v="77"/>
    <n v="29"/>
    <n v="48"/>
    <n v="29"/>
    <n v="0"/>
    <n v="68"/>
    <n v="29"/>
    <n v="29"/>
    <n v="0"/>
    <n v="130.51999999999998"/>
    <n v="40566.6"/>
    <n v="26578.12"/>
    <n v="32173.51"/>
    <n v="16786.18"/>
    <n v="23780.42"/>
    <n v="46500"/>
    <n v="18750"/>
    <n v="4273"/>
    <n v="27846"/>
    <n v="22162"/>
    <n v="5741"/>
    <n v="5321"/>
    <n v="1902"/>
    <n v="38000"/>
    <n v="7437"/>
  </r>
  <r>
    <d v="2024-02-13T00:00:00"/>
    <x v="1"/>
    <n v="2"/>
    <n v="757"/>
    <n v="1007"/>
    <n v="348"/>
    <n v="228"/>
    <n v="181"/>
    <n v="362"/>
    <n v="484"/>
    <n v="161"/>
    <n v="178"/>
    <n v="98"/>
    <n v="37"/>
    <n v="65"/>
    <n v="14"/>
    <n v="117"/>
    <n v="83"/>
    <n v="25"/>
    <n v="17"/>
    <n v="123"/>
    <n v="100"/>
    <n v="10"/>
    <n v="30"/>
    <n v="10"/>
    <n v="100"/>
    <n v="50"/>
    <n v="0"/>
    <n v="20"/>
    <n v="60"/>
    <n v="0"/>
    <n v="10"/>
    <n v="40"/>
    <n v="30"/>
    <n v="30"/>
    <n v="30"/>
    <n v="90"/>
    <n v="20"/>
    <n v="30"/>
    <n v="30"/>
    <n v="0"/>
    <n v="40"/>
    <n v="20"/>
    <n v="70"/>
    <n v="10"/>
    <n v="50"/>
    <n v="30"/>
    <n v="0"/>
    <n v="30"/>
    <n v="0"/>
    <n v="0"/>
    <n v="67"/>
    <n v="126.13000000000001"/>
    <n v="39155.26"/>
    <n v="28713.86"/>
    <n v="14356.93"/>
    <n v="23493.16"/>
    <n v="24798.33"/>
    <n v="46500"/>
    <n v="18750"/>
    <n v="4273"/>
    <n v="27846"/>
    <n v="22162"/>
    <n v="5741"/>
    <n v="5321"/>
    <n v="1902"/>
    <n v="38000"/>
    <n v="117"/>
  </r>
  <r>
    <d v="2024-02-14T00:00:00"/>
    <x v="1"/>
    <n v="2"/>
    <n v="756"/>
    <n v="1023"/>
    <n v="355"/>
    <n v="356"/>
    <n v="45"/>
    <n v="501"/>
    <n v="328"/>
    <n v="194"/>
    <n v="210"/>
    <n v="164"/>
    <n v="32"/>
    <n v="28"/>
    <n v="14"/>
    <n v="114"/>
    <n v="34"/>
    <n v="20"/>
    <n v="31"/>
    <n v="109"/>
    <n v="81"/>
    <n v="20"/>
    <n v="30"/>
    <n v="0"/>
    <n v="132"/>
    <n v="61"/>
    <n v="10"/>
    <n v="30"/>
    <n v="51"/>
    <n v="0"/>
    <n v="10"/>
    <n v="40"/>
    <n v="10"/>
    <n v="20"/>
    <n v="20"/>
    <n v="51"/>
    <n v="10"/>
    <n v="51"/>
    <n v="0"/>
    <n v="0"/>
    <n v="40"/>
    <n v="10"/>
    <n v="112"/>
    <n v="20"/>
    <n v="92"/>
    <n v="30"/>
    <n v="10"/>
    <n v="20"/>
    <n v="40"/>
    <n v="20"/>
    <n v="2"/>
    <n v="125.39999999999999"/>
    <n v="41621.68"/>
    <n v="31531.57"/>
    <n v="17657.68"/>
    <n v="18918.939999999999"/>
    <n v="16396.419999999998"/>
    <n v="46500"/>
    <n v="18750"/>
    <n v="10273"/>
    <n v="23878"/>
    <n v="22162"/>
    <n v="5741"/>
    <n v="5321"/>
    <n v="1902"/>
    <n v="38000"/>
    <n v="931"/>
  </r>
  <r>
    <d v="2024-02-15T00:00:00"/>
    <x v="1"/>
    <n v="2"/>
    <n v="746"/>
    <n v="1028"/>
    <n v="328"/>
    <n v="381"/>
    <n v="37"/>
    <n v="421"/>
    <n v="453"/>
    <n v="154"/>
    <n v="203"/>
    <n v="138"/>
    <n v="32"/>
    <n v="50"/>
    <n v="46"/>
    <n v="127"/>
    <n v="36"/>
    <n v="39"/>
    <n v="22"/>
    <n v="53"/>
    <n v="133"/>
    <n v="10"/>
    <n v="51"/>
    <n v="30"/>
    <n v="143"/>
    <n v="51"/>
    <n v="0"/>
    <n v="30"/>
    <n v="51"/>
    <n v="30"/>
    <n v="0"/>
    <n v="20"/>
    <n v="0"/>
    <n v="0"/>
    <n v="10"/>
    <n v="41"/>
    <n v="10"/>
    <n v="10"/>
    <n v="30"/>
    <n v="10"/>
    <n v="41"/>
    <n v="20"/>
    <n v="71"/>
    <n v="20"/>
    <n v="61"/>
    <n v="20"/>
    <n v="0"/>
    <n v="10"/>
    <n v="10"/>
    <n v="30"/>
    <n v="85"/>
    <n v="127.21999999999998"/>
    <n v="42636.959999999999"/>
    <n v="26334.59"/>
    <n v="20064.45"/>
    <n v="23826.53"/>
    <n v="12540.28"/>
    <n v="43000"/>
    <n v="18750"/>
    <n v="10273"/>
    <n v="23878"/>
    <n v="22162"/>
    <n v="5741"/>
    <n v="5321"/>
    <n v="1902"/>
    <n v="38000"/>
    <n v="4423"/>
  </r>
  <r>
    <d v="2024-02-16T00:00:00"/>
    <x v="1"/>
    <n v="2"/>
    <n v="724"/>
    <n v="1028"/>
    <n v="144"/>
    <n v="407"/>
    <n v="173"/>
    <n v="205"/>
    <n v="752"/>
    <n v="71"/>
    <n v="188"/>
    <n v="116"/>
    <n v="49"/>
    <n v="22"/>
    <n v="40"/>
    <n v="143"/>
    <n v="22"/>
    <n v="30"/>
    <n v="30"/>
    <n v="84"/>
    <n v="71"/>
    <n v="30"/>
    <n v="61"/>
    <n v="10"/>
    <n v="92"/>
    <n v="61"/>
    <n v="20"/>
    <n v="10"/>
    <n v="30"/>
    <n v="20"/>
    <n v="0"/>
    <n v="10"/>
    <n v="10"/>
    <n v="30"/>
    <n v="10"/>
    <n v="41"/>
    <n v="51"/>
    <n v="30"/>
    <n v="0"/>
    <n v="10"/>
    <n v="10"/>
    <n v="30"/>
    <n v="71"/>
    <n v="20"/>
    <n v="71"/>
    <n v="51"/>
    <n v="0"/>
    <n v="20"/>
    <n v="30"/>
    <n v="10"/>
    <n v="118"/>
    <n v="130.83000000000001"/>
    <n v="40706.57"/>
    <n v="17809.13"/>
    <n v="21625.37"/>
    <n v="19081.21"/>
    <n v="27985.77"/>
    <n v="43000"/>
    <n v="18750"/>
    <n v="10273"/>
    <n v="23878"/>
    <n v="22162"/>
    <n v="5741"/>
    <n v="5321"/>
    <n v="1902"/>
    <n v="38000"/>
    <n v="8522"/>
  </r>
  <r>
    <d v="2024-02-17T00:00:00"/>
    <x v="1"/>
    <n v="2"/>
    <n v="702"/>
    <n v="1012"/>
    <n v="161"/>
    <n v="415"/>
    <n v="126"/>
    <n v="232"/>
    <n v="689"/>
    <n v="91"/>
    <n v="169"/>
    <n v="95"/>
    <n v="47"/>
    <n v="60"/>
    <n v="21"/>
    <n v="133"/>
    <n v="93"/>
    <n v="32"/>
    <n v="37"/>
    <n v="15"/>
    <n v="111"/>
    <n v="30"/>
    <n v="60"/>
    <n v="0"/>
    <n v="109"/>
    <n v="80"/>
    <n v="20"/>
    <n v="30"/>
    <n v="60"/>
    <n v="20"/>
    <n v="0"/>
    <n v="20"/>
    <n v="20"/>
    <n v="30"/>
    <n v="0"/>
    <n v="101"/>
    <n v="10"/>
    <n v="30"/>
    <n v="0"/>
    <n v="0"/>
    <n v="0"/>
    <n v="10"/>
    <n v="101"/>
    <n v="10"/>
    <n v="70"/>
    <n v="40"/>
    <n v="0"/>
    <n v="20"/>
    <n v="0"/>
    <n v="30"/>
    <n v="0"/>
    <n v="137.06"/>
    <n v="45792.480000000003"/>
    <n v="23550.42"/>
    <n v="13083.56"/>
    <n v="22242.06"/>
    <n v="26167.13"/>
    <n v="43000"/>
    <n v="18750"/>
    <n v="10273"/>
    <n v="23878"/>
    <n v="22162"/>
    <n v="5741"/>
    <n v="5321"/>
    <n v="1902"/>
    <n v="38000"/>
    <n v="4410"/>
  </r>
  <r>
    <d v="2024-02-18T00:00:00"/>
    <x v="1"/>
    <n v="2"/>
    <n v="678"/>
    <n v="987"/>
    <n v="311"/>
    <n v="259"/>
    <n v="108"/>
    <n v="276"/>
    <n v="593"/>
    <n v="118"/>
    <n v="214"/>
    <n v="121"/>
    <n v="50"/>
    <n v="29"/>
    <n v="29"/>
    <n v="87"/>
    <n v="51"/>
    <n v="36"/>
    <n v="30"/>
    <n v="31"/>
    <n v="128"/>
    <n v="9"/>
    <n v="29"/>
    <n v="29"/>
    <n v="108"/>
    <n v="69"/>
    <n v="9"/>
    <n v="0"/>
    <n v="19"/>
    <n v="0"/>
    <n v="0"/>
    <n v="49"/>
    <n v="29"/>
    <n v="19"/>
    <n v="29"/>
    <n v="98"/>
    <n v="49"/>
    <n v="9"/>
    <n v="29"/>
    <n v="0"/>
    <n v="0"/>
    <n v="29"/>
    <n v="69"/>
    <n v="19"/>
    <n v="59"/>
    <n v="29"/>
    <n v="9"/>
    <n v="19"/>
    <n v="9"/>
    <n v="29"/>
    <n v="5"/>
    <n v="144.49"/>
    <n v="46600.43"/>
    <n v="34265.03"/>
    <n v="20559.02"/>
    <n v="32894.42"/>
    <n v="2741.2"/>
    <n v="43000"/>
    <n v="18750"/>
    <n v="10273"/>
    <n v="23878"/>
    <n v="22162"/>
    <n v="5741"/>
    <n v="5321"/>
    <n v="1902"/>
    <n v="38000"/>
    <n v="2269"/>
  </r>
  <r>
    <d v="2024-02-19T00:00:00"/>
    <x v="1"/>
    <n v="2"/>
    <n v="671"/>
    <n v="954"/>
    <n v="241"/>
    <n v="350"/>
    <n v="80"/>
    <n v="276"/>
    <n v="507"/>
    <n v="171"/>
    <n v="141"/>
    <n v="124"/>
    <n v="37"/>
    <n v="58"/>
    <n v="33"/>
    <n v="112"/>
    <n v="79"/>
    <n v="35"/>
    <n v="20"/>
    <n v="32"/>
    <n v="95"/>
    <n v="28"/>
    <n v="57"/>
    <n v="28"/>
    <n v="21"/>
    <n v="57"/>
    <n v="19"/>
    <n v="9"/>
    <n v="38"/>
    <n v="28"/>
    <n v="9"/>
    <n v="38"/>
    <n v="9"/>
    <n v="19"/>
    <n v="19"/>
    <n v="47"/>
    <n v="66"/>
    <n v="19"/>
    <n v="28"/>
    <n v="9"/>
    <n v="0"/>
    <n v="19"/>
    <n v="104"/>
    <n v="28"/>
    <n v="85"/>
    <n v="9"/>
    <n v="0"/>
    <n v="57"/>
    <n v="9"/>
    <n v="0"/>
    <n v="0"/>
    <n v="154.33000000000001"/>
    <n v="37568.839999999997"/>
    <n v="26009.200000000001"/>
    <n v="15894.51"/>
    <n v="13004.6"/>
    <n v="52018.400000000001"/>
    <n v="43000"/>
    <n v="18750"/>
    <n v="10273"/>
    <n v="23878"/>
    <n v="22162"/>
    <n v="5741"/>
    <n v="5321"/>
    <n v="1902"/>
    <n v="38000"/>
    <n v="1198"/>
  </r>
  <r>
    <d v="2024-02-20T00:00:00"/>
    <x v="1"/>
    <n v="2"/>
    <n v="669"/>
    <n v="931"/>
    <n v="200"/>
    <n v="389"/>
    <n v="80"/>
    <n v="363"/>
    <n v="364"/>
    <n v="204"/>
    <n v="203"/>
    <n v="132"/>
    <n v="33"/>
    <n v="29"/>
    <n v="29"/>
    <n v="94"/>
    <n v="53"/>
    <n v="35"/>
    <n v="30"/>
    <n v="31"/>
    <n v="55"/>
    <n v="27"/>
    <n v="27"/>
    <n v="9"/>
    <n v="74"/>
    <n v="65"/>
    <n v="0"/>
    <n v="9"/>
    <n v="37"/>
    <n v="27"/>
    <n v="0"/>
    <n v="18"/>
    <n v="27"/>
    <n v="0"/>
    <n v="27"/>
    <n v="55"/>
    <n v="37"/>
    <n v="9"/>
    <n v="9"/>
    <n v="0"/>
    <n v="9"/>
    <n v="27"/>
    <n v="93"/>
    <n v="9"/>
    <n v="46"/>
    <n v="37"/>
    <n v="9"/>
    <n v="46"/>
    <n v="37"/>
    <n v="37"/>
    <n v="69"/>
    <n v="164.38000000000002"/>
    <n v="40125.879999999997"/>
    <n v="26236.16"/>
    <n v="29322.76"/>
    <n v="38582.58"/>
    <n v="20062.939999999999"/>
    <n v="43000"/>
    <n v="18750"/>
    <n v="10273"/>
    <n v="23878"/>
    <n v="22162"/>
    <n v="5741"/>
    <n v="5321"/>
    <n v="1902"/>
    <n v="38000"/>
    <n v="2244"/>
  </r>
  <r>
    <d v="2024-02-21T00:00:00"/>
    <x v="1"/>
    <n v="2"/>
    <n v="676"/>
    <n v="918"/>
    <n v="344"/>
    <n v="184"/>
    <n v="148"/>
    <n v="459"/>
    <n v="239"/>
    <n v="220"/>
    <n v="146"/>
    <n v="46"/>
    <n v="29"/>
    <n v="29"/>
    <n v="12"/>
    <n v="107"/>
    <n v="53"/>
    <n v="38"/>
    <n v="15"/>
    <n v="201"/>
    <n v="45"/>
    <n v="9"/>
    <n v="36"/>
    <n v="27"/>
    <n v="94"/>
    <n v="73"/>
    <n v="18"/>
    <n v="27"/>
    <n v="18"/>
    <n v="0"/>
    <n v="0"/>
    <n v="9"/>
    <n v="18"/>
    <n v="27"/>
    <n v="9"/>
    <n v="82"/>
    <n v="64"/>
    <n v="18"/>
    <n v="27"/>
    <n v="0"/>
    <n v="27"/>
    <n v="36"/>
    <n v="73"/>
    <n v="18"/>
    <n v="27"/>
    <n v="18"/>
    <n v="9"/>
    <n v="55"/>
    <n v="18"/>
    <n v="36"/>
    <n v="0"/>
    <n v="171.88"/>
    <n v="42738.42"/>
    <n v="29588.14"/>
    <n v="34519.49"/>
    <n v="34519.49"/>
    <n v="23013"/>
    <n v="43000"/>
    <n v="18750"/>
    <n v="5273"/>
    <n v="25641"/>
    <n v="22162"/>
    <n v="5741"/>
    <n v="5321"/>
    <n v="1902"/>
    <n v="38000"/>
    <n v="3672"/>
  </r>
  <r>
    <d v="2024-02-22T00:00:00"/>
    <x v="1"/>
    <n v="2"/>
    <n v="692"/>
    <n v="915"/>
    <n v="339"/>
    <n v="229"/>
    <n v="124"/>
    <n v="256"/>
    <n v="559"/>
    <n v="100"/>
    <n v="171"/>
    <n v="34"/>
    <n v="38"/>
    <n v="25"/>
    <n v="8"/>
    <n v="131"/>
    <n v="44"/>
    <n v="36"/>
    <n v="36"/>
    <n v="169"/>
    <n v="73"/>
    <n v="27"/>
    <n v="27"/>
    <n v="27"/>
    <n v="64"/>
    <n v="82"/>
    <n v="27"/>
    <n v="9"/>
    <n v="36"/>
    <n v="18"/>
    <n v="9"/>
    <n v="45"/>
    <n v="18"/>
    <n v="18"/>
    <n v="18"/>
    <n v="73"/>
    <n v="18"/>
    <n v="9"/>
    <n v="27"/>
    <n v="0"/>
    <n v="9"/>
    <n v="9"/>
    <n v="91"/>
    <n v="9"/>
    <n v="64"/>
    <n v="9"/>
    <n v="9"/>
    <n v="27"/>
    <n v="36"/>
    <n v="0"/>
    <n v="27"/>
    <n v="177.49"/>
    <n v="46406.04"/>
    <n v="22343.65"/>
    <n v="18906.16"/>
    <n v="15468.68"/>
    <n v="68749.679999999993"/>
    <n v="43000"/>
    <n v="18750"/>
    <n v="10273"/>
    <n v="25641"/>
    <n v="22162"/>
    <n v="5741"/>
    <n v="5321"/>
    <n v="1902"/>
    <n v="38000"/>
    <n v="1092"/>
  </r>
  <r>
    <d v="2024-02-23T00:00:00"/>
    <x v="1"/>
    <n v="2"/>
    <n v="706"/>
    <n v="921"/>
    <n v="218"/>
    <n v="347"/>
    <n v="141"/>
    <n v="488"/>
    <n v="369"/>
    <n v="64"/>
    <n v="214"/>
    <n v="109"/>
    <n v="65"/>
    <n v="39"/>
    <n v="21"/>
    <n v="107"/>
    <n v="64"/>
    <n v="40"/>
    <n v="16"/>
    <n v="31"/>
    <n v="36"/>
    <n v="27"/>
    <n v="27"/>
    <n v="18"/>
    <n v="73"/>
    <n v="55"/>
    <n v="0"/>
    <n v="27"/>
    <n v="36"/>
    <n v="27"/>
    <n v="0"/>
    <n v="46"/>
    <n v="18"/>
    <n v="0"/>
    <n v="18"/>
    <n v="46"/>
    <n v="18"/>
    <n v="46"/>
    <n v="18"/>
    <n v="0"/>
    <n v="18"/>
    <n v="9"/>
    <n v="64"/>
    <n v="18"/>
    <n v="82"/>
    <n v="36"/>
    <n v="0"/>
    <n v="36"/>
    <n v="9"/>
    <n v="18"/>
    <n v="95"/>
    <n v="180.71"/>
    <n v="58568"/>
    <n v="28396.61"/>
    <n v="17747.88"/>
    <n v="40820.120000000003"/>
    <n v="31946.18"/>
    <n v="43000"/>
    <n v="18750"/>
    <n v="10273"/>
    <n v="25641"/>
    <n v="22162"/>
    <n v="5741"/>
    <n v="5321"/>
    <n v="1902"/>
    <n v="38000"/>
    <n v="4786"/>
  </r>
  <r>
    <d v="2024-02-24T00:00:00"/>
    <x v="1"/>
    <n v="2"/>
    <n v="711"/>
    <n v="946"/>
    <n v="163"/>
    <n v="506"/>
    <n v="42"/>
    <n v="482"/>
    <n v="275"/>
    <n v="189"/>
    <n v="154"/>
    <n v="52"/>
    <n v="61"/>
    <n v="30"/>
    <n v="13"/>
    <n v="143"/>
    <n v="81"/>
    <n v="35"/>
    <n v="32"/>
    <n v="110"/>
    <n v="85"/>
    <n v="0"/>
    <n v="66"/>
    <n v="0"/>
    <n v="94"/>
    <n v="47"/>
    <n v="28"/>
    <n v="28"/>
    <n v="47"/>
    <n v="9"/>
    <n v="9"/>
    <n v="37"/>
    <n v="0"/>
    <n v="0"/>
    <n v="0"/>
    <n v="37"/>
    <n v="28"/>
    <n v="28"/>
    <n v="9"/>
    <n v="9"/>
    <n v="28"/>
    <n v="37"/>
    <n v="75"/>
    <n v="28"/>
    <n v="75"/>
    <n v="9"/>
    <n v="0"/>
    <n v="28"/>
    <n v="0"/>
    <n v="37"/>
    <n v="68"/>
    <n v="181.53"/>
    <n v="46986.03"/>
    <n v="43371.72"/>
    <n v="41564.559999999998"/>
    <n v="41564.559999999998"/>
    <n v="7228.62"/>
    <n v="43000"/>
    <n v="18750"/>
    <n v="10273"/>
    <n v="25641"/>
    <n v="22162"/>
    <n v="5741"/>
    <n v="5321"/>
    <n v="1902"/>
    <n v="38000"/>
    <n v="1837"/>
  </r>
  <r>
    <d v="2024-02-25T00:00:00"/>
    <x v="1"/>
    <n v="2"/>
    <n v="708"/>
    <n v="978"/>
    <n v="162"/>
    <n v="412"/>
    <n v="134"/>
    <n v="195"/>
    <n v="607"/>
    <n v="176"/>
    <n v="153"/>
    <n v="144"/>
    <n v="35"/>
    <n v="57"/>
    <n v="30"/>
    <n v="145"/>
    <n v="67"/>
    <n v="24"/>
    <n v="16"/>
    <n v="37"/>
    <n v="136"/>
    <n v="0"/>
    <n v="48"/>
    <n v="0"/>
    <n v="78"/>
    <n v="78"/>
    <n v="9"/>
    <n v="29"/>
    <n v="48"/>
    <n v="0"/>
    <n v="9"/>
    <n v="19"/>
    <n v="0"/>
    <n v="29"/>
    <n v="29"/>
    <n v="68"/>
    <n v="19"/>
    <n v="39"/>
    <n v="0"/>
    <n v="9"/>
    <n v="39"/>
    <n v="39"/>
    <n v="68"/>
    <n v="9"/>
    <n v="58"/>
    <n v="9"/>
    <n v="9"/>
    <n v="29"/>
    <n v="0"/>
    <n v="39"/>
    <n v="32"/>
    <n v="180.31000000000003"/>
    <n v="45382.38"/>
    <n v="32675.31"/>
    <n v="45382.38"/>
    <n v="25414.13"/>
    <n v="32675.31"/>
    <n v="43000"/>
    <n v="18750"/>
    <n v="10273"/>
    <n v="25641"/>
    <n v="22162"/>
    <n v="5741"/>
    <n v="5321"/>
    <n v="1902"/>
    <n v="38000"/>
    <n v="3159"/>
  </r>
  <r>
    <d v="2024-02-26T00:00:00"/>
    <x v="1"/>
    <n v="2"/>
    <n v="699"/>
    <n v="990"/>
    <n v="160"/>
    <n v="477"/>
    <n v="62"/>
    <n v="514"/>
    <n v="338"/>
    <n v="138"/>
    <n v="182"/>
    <n v="91"/>
    <n v="30"/>
    <n v="60"/>
    <n v="21"/>
    <n v="116"/>
    <n v="69"/>
    <n v="39"/>
    <n v="26"/>
    <n v="65"/>
    <n v="39"/>
    <n v="9"/>
    <n v="49"/>
    <n v="19"/>
    <n v="79"/>
    <n v="49"/>
    <n v="19"/>
    <n v="9"/>
    <n v="29"/>
    <n v="29"/>
    <n v="0"/>
    <n v="39"/>
    <n v="0"/>
    <n v="9"/>
    <n v="9"/>
    <n v="79"/>
    <n v="69"/>
    <n v="29"/>
    <n v="0"/>
    <n v="9"/>
    <n v="0"/>
    <n v="19"/>
    <n v="69"/>
    <n v="29"/>
    <n v="49"/>
    <n v="19"/>
    <n v="9"/>
    <n v="59"/>
    <n v="39"/>
    <n v="0"/>
    <n v="125"/>
    <n v="175.82999999999998"/>
    <n v="52288.93"/>
    <n v="34258.26"/>
    <n v="43273.599999999999"/>
    <n v="21636.799999999999"/>
    <n v="28849.06"/>
    <n v="43000"/>
    <n v="18750"/>
    <n v="10273"/>
    <n v="25641"/>
    <n v="22162"/>
    <n v="5741"/>
    <n v="5321"/>
    <n v="1902"/>
    <n v="38000"/>
    <n v="7242"/>
  </r>
  <r>
    <d v="2024-02-27T00:00:00"/>
    <x v="1"/>
    <n v="2"/>
    <n v="685"/>
    <n v="992"/>
    <n v="164"/>
    <n v="480"/>
    <n v="41"/>
    <n v="496"/>
    <n v="348"/>
    <n v="148"/>
    <n v="199"/>
    <n v="144"/>
    <n v="29"/>
    <n v="29"/>
    <n v="29"/>
    <n v="109"/>
    <n v="39"/>
    <n v="18"/>
    <n v="39"/>
    <n v="50"/>
    <n v="119"/>
    <n v="9"/>
    <n v="59"/>
    <n v="29"/>
    <n v="59"/>
    <n v="49"/>
    <n v="29"/>
    <n v="29"/>
    <n v="59"/>
    <n v="19"/>
    <n v="0"/>
    <n v="39"/>
    <n v="0"/>
    <n v="9"/>
    <n v="0"/>
    <n v="59"/>
    <n v="19"/>
    <n v="19"/>
    <n v="19"/>
    <n v="9"/>
    <n v="9"/>
    <n v="39"/>
    <n v="109"/>
    <n v="19"/>
    <n v="69"/>
    <n v="39"/>
    <n v="0"/>
    <n v="19"/>
    <n v="9"/>
    <n v="0"/>
    <n v="47"/>
    <n v="165.75"/>
    <n v="59783.18"/>
    <n v="35166.57"/>
    <n v="42199.89"/>
    <n v="19341.62"/>
    <n v="19341.62"/>
    <n v="43000"/>
    <n v="18750"/>
    <n v="10273"/>
    <n v="25641"/>
    <n v="22162"/>
    <n v="5741"/>
    <n v="5321"/>
    <n v="1902"/>
    <n v="38000"/>
    <n v="8425"/>
  </r>
  <r>
    <d v="2024-02-28T00:00:00"/>
    <x v="1"/>
    <n v="2"/>
    <n v="661"/>
    <n v="989"/>
    <n v="244"/>
    <n v="272"/>
    <n v="145"/>
    <n v="207"/>
    <n v="555"/>
    <n v="227"/>
    <n v="213"/>
    <n v="28"/>
    <n v="61"/>
    <n v="40"/>
    <n v="32"/>
    <n v="102"/>
    <n v="12"/>
    <n v="17"/>
    <n v="37"/>
    <n v="119"/>
    <n v="98"/>
    <n v="0"/>
    <n v="39"/>
    <n v="29"/>
    <n v="89"/>
    <n v="69"/>
    <n v="19"/>
    <n v="29"/>
    <n v="29"/>
    <n v="19"/>
    <n v="0"/>
    <n v="9"/>
    <n v="9"/>
    <n v="0"/>
    <n v="19"/>
    <n v="59"/>
    <n v="19"/>
    <n v="39"/>
    <n v="0"/>
    <n v="9"/>
    <n v="39"/>
    <n v="19"/>
    <n v="89"/>
    <n v="29"/>
    <n v="69"/>
    <n v="49"/>
    <n v="0"/>
    <n v="29"/>
    <n v="19"/>
    <n v="19"/>
    <n v="45"/>
    <n v="149"/>
    <n v="53040.23"/>
    <n v="33150.14"/>
    <n v="28177.62"/>
    <n v="19890.09"/>
    <n v="31492.639999999999"/>
    <n v="43000"/>
    <n v="18750"/>
    <n v="10273"/>
    <n v="25641"/>
    <n v="22162"/>
    <n v="5741"/>
    <n v="5321"/>
    <n v="1902"/>
    <n v="38000"/>
    <n v="113"/>
  </r>
  <r>
    <d v="2024-02-29T00:00:00"/>
    <x v="1"/>
    <n v="2"/>
    <n v="637"/>
    <n v="972"/>
    <n v="152"/>
    <n v="371"/>
    <n v="114"/>
    <n v="417"/>
    <n v="312"/>
    <n v="243"/>
    <n v="146"/>
    <n v="102"/>
    <n v="31"/>
    <n v="19"/>
    <n v="11"/>
    <n v="111"/>
    <n v="12"/>
    <n v="24"/>
    <n v="21"/>
    <n v="160"/>
    <n v="136"/>
    <n v="0"/>
    <n v="68"/>
    <n v="9"/>
    <n v="58"/>
    <n v="68"/>
    <n v="29"/>
    <n v="9"/>
    <n v="38"/>
    <n v="0"/>
    <n v="0"/>
    <n v="29"/>
    <n v="0"/>
    <n v="19"/>
    <n v="0"/>
    <n v="48"/>
    <n v="68"/>
    <n v="19"/>
    <n v="29"/>
    <n v="0"/>
    <n v="19"/>
    <n v="29"/>
    <n v="106"/>
    <n v="9"/>
    <n v="68"/>
    <n v="9"/>
    <n v="0"/>
    <n v="58"/>
    <n v="38"/>
    <n v="9"/>
    <n v="0"/>
    <n v="148.90000000000003"/>
    <n v="38740"/>
    <n v="25330"/>
    <n v="29800"/>
    <n v="31290"/>
    <n v="23840"/>
    <n v="43000"/>
    <n v="18750"/>
    <n v="10273"/>
    <n v="25641"/>
    <n v="22162"/>
    <n v="5741"/>
    <n v="5321"/>
    <n v="1902"/>
    <n v="38000"/>
    <n v="8031"/>
  </r>
  <r>
    <d v="2024-03-01T00:00:00"/>
    <x v="2"/>
    <n v="3"/>
    <n v="612"/>
    <n v="820"/>
    <n v="189"/>
    <n v="368"/>
    <n v="55"/>
    <n v="434"/>
    <n v="190"/>
    <n v="196"/>
    <n v="147"/>
    <n v="45"/>
    <n v="34"/>
    <n v="41"/>
    <n v="18"/>
    <n v="83"/>
    <n v="32"/>
    <n v="30"/>
    <n v="13"/>
    <n v="169"/>
    <n v="114"/>
    <n v="8"/>
    <n v="32"/>
    <n v="24"/>
    <n v="90"/>
    <n v="57"/>
    <n v="0"/>
    <n v="24"/>
    <n v="24"/>
    <n v="8"/>
    <n v="8"/>
    <n v="32"/>
    <n v="16"/>
    <n v="16"/>
    <n v="0"/>
    <n v="57"/>
    <n v="24"/>
    <n v="16"/>
    <n v="16"/>
    <n v="0"/>
    <n v="0"/>
    <n v="8"/>
    <n v="82"/>
    <n v="8"/>
    <n v="24"/>
    <n v="41"/>
    <n v="0"/>
    <n v="32"/>
    <n v="0"/>
    <n v="32"/>
    <n v="27"/>
    <n v="149"/>
    <n v="40203.81"/>
    <n v="37225.75"/>
    <n v="14890.3"/>
    <n v="17868.36"/>
    <n v="38714.78"/>
    <n v="43000"/>
    <n v="10000"/>
    <n v="10273"/>
    <n v="11641"/>
    <n v="30623"/>
    <n v="8722"/>
    <n v="6172"/>
    <n v="2143"/>
    <n v="49000"/>
    <n v="2867"/>
  </r>
  <r>
    <d v="2024-03-02T00:00:00"/>
    <x v="2"/>
    <n v="3"/>
    <n v="601"/>
    <n v="775"/>
    <n v="144"/>
    <n v="409"/>
    <n v="48"/>
    <n v="302"/>
    <n v="427"/>
    <n v="46"/>
    <n v="134"/>
    <n v="81"/>
    <n v="52"/>
    <n v="29"/>
    <n v="18"/>
    <n v="93"/>
    <n v="47"/>
    <n v="18"/>
    <n v="29"/>
    <n v="100"/>
    <n v="93"/>
    <n v="15"/>
    <n v="46"/>
    <n v="0"/>
    <n v="28"/>
    <n v="54"/>
    <n v="0"/>
    <n v="0"/>
    <n v="46"/>
    <n v="15"/>
    <n v="7"/>
    <n v="23"/>
    <n v="23"/>
    <n v="7"/>
    <n v="23"/>
    <n v="77"/>
    <n v="23"/>
    <n v="7"/>
    <n v="15"/>
    <n v="7"/>
    <n v="15"/>
    <n v="31"/>
    <n v="69"/>
    <n v="7"/>
    <n v="69"/>
    <n v="15"/>
    <n v="7"/>
    <n v="23"/>
    <n v="7"/>
    <n v="23"/>
    <n v="0"/>
    <n v="149"/>
    <n v="38740"/>
    <n v="25330"/>
    <n v="29800"/>
    <n v="31290"/>
    <n v="23840"/>
    <n v="43000"/>
    <n v="10000"/>
    <n v="10273"/>
    <n v="11641"/>
    <n v="30623"/>
    <n v="8722"/>
    <n v="6172"/>
    <n v="2143"/>
    <n v="49000"/>
    <n v="8965"/>
  </r>
  <r>
    <d v="2024-03-03T00:00:00"/>
    <x v="2"/>
    <n v="3"/>
    <n v="597"/>
    <n v="727"/>
    <n v="244"/>
    <n v="246"/>
    <n v="107"/>
    <n v="341"/>
    <n v="307"/>
    <n v="79"/>
    <n v="162"/>
    <n v="85"/>
    <n v="25"/>
    <n v="40"/>
    <n v="25"/>
    <n v="104"/>
    <n v="15"/>
    <n v="24"/>
    <n v="11"/>
    <n v="106"/>
    <n v="65"/>
    <n v="7"/>
    <n v="50"/>
    <n v="0"/>
    <n v="50"/>
    <n v="43"/>
    <n v="7"/>
    <n v="7"/>
    <n v="21"/>
    <n v="14"/>
    <n v="0"/>
    <n v="7"/>
    <n v="21"/>
    <n v="14"/>
    <n v="7"/>
    <n v="65"/>
    <n v="36"/>
    <n v="21"/>
    <n v="14"/>
    <n v="7"/>
    <n v="7"/>
    <n v="7"/>
    <n v="72"/>
    <n v="14"/>
    <n v="29"/>
    <n v="29"/>
    <n v="7"/>
    <n v="14"/>
    <n v="0"/>
    <n v="29"/>
    <n v="63"/>
    <n v="148.22999999999999"/>
    <n v="43210"/>
    <n v="22350"/>
    <n v="28310"/>
    <n v="19370"/>
    <n v="35760"/>
    <n v="43000"/>
    <n v="10000"/>
    <n v="10273"/>
    <n v="11641"/>
    <n v="30623"/>
    <n v="8722"/>
    <n v="6172"/>
    <n v="2143"/>
    <n v="49000"/>
    <n v="8832"/>
  </r>
  <r>
    <d v="2024-03-04T00:00:00"/>
    <x v="2"/>
    <n v="3"/>
    <n v="596"/>
    <n v="693"/>
    <n v="137"/>
    <n v="364"/>
    <n v="95"/>
    <n v="367"/>
    <n v="271"/>
    <n v="55"/>
    <n v="188"/>
    <n v="44"/>
    <n v="33"/>
    <n v="36"/>
    <n v="22"/>
    <n v="104"/>
    <n v="61"/>
    <n v="31"/>
    <n v="24"/>
    <n v="53"/>
    <n v="27"/>
    <n v="20"/>
    <n v="27"/>
    <n v="0"/>
    <n v="62"/>
    <n v="34"/>
    <n v="6"/>
    <n v="6"/>
    <n v="27"/>
    <n v="0"/>
    <n v="0"/>
    <n v="6"/>
    <n v="0"/>
    <n v="0"/>
    <n v="13"/>
    <n v="48"/>
    <n v="48"/>
    <n v="20"/>
    <n v="0"/>
    <n v="6"/>
    <n v="6"/>
    <n v="13"/>
    <n v="55"/>
    <n v="20"/>
    <n v="62"/>
    <n v="6"/>
    <n v="0"/>
    <n v="6"/>
    <n v="20"/>
    <n v="27"/>
    <n v="128"/>
    <n v="146.44"/>
    <n v="50396.6"/>
    <n v="23716.05"/>
    <n v="22233.8"/>
    <n v="26680.55"/>
    <n v="25198.3"/>
    <n v="43000"/>
    <n v="10000"/>
    <n v="10273"/>
    <n v="11641"/>
    <n v="30623"/>
    <n v="8722"/>
    <n v="6172"/>
    <n v="2143"/>
    <n v="49000"/>
    <n v="8082"/>
  </r>
  <r>
    <d v="2024-03-05T00:00:00"/>
    <x v="2"/>
    <n v="3"/>
    <n v="601"/>
    <n v="677"/>
    <n v="312"/>
    <n v="151"/>
    <n v="138"/>
    <n v="148"/>
    <n v="489"/>
    <n v="40"/>
    <n v="175"/>
    <n v="55"/>
    <n v="33"/>
    <n v="55"/>
    <n v="22"/>
    <n v="114"/>
    <n v="34"/>
    <n v="18"/>
    <n v="34"/>
    <n v="61"/>
    <n v="47"/>
    <n v="6"/>
    <n v="40"/>
    <n v="13"/>
    <n v="41"/>
    <n v="54"/>
    <n v="6"/>
    <n v="6"/>
    <n v="13"/>
    <n v="13"/>
    <n v="0"/>
    <n v="6"/>
    <n v="20"/>
    <n v="0"/>
    <n v="20"/>
    <n v="33"/>
    <n v="47"/>
    <n v="13"/>
    <n v="20"/>
    <n v="0"/>
    <n v="13"/>
    <n v="13"/>
    <n v="74"/>
    <n v="20"/>
    <n v="33"/>
    <n v="33"/>
    <n v="6"/>
    <n v="40"/>
    <n v="20"/>
    <n v="27"/>
    <n v="0"/>
    <n v="142.69999999999999"/>
    <n v="39537.82"/>
    <n v="27822.91"/>
    <n v="23429.82"/>
    <n v="23429.82"/>
    <n v="32216"/>
    <n v="43000"/>
    <n v="10000"/>
    <n v="10273"/>
    <n v="11641"/>
    <n v="30623"/>
    <n v="8722"/>
    <n v="6172"/>
    <n v="2143"/>
    <n v="49000"/>
    <n v="416"/>
  </r>
  <r>
    <d v="2024-03-06T00:00:00"/>
    <x v="2"/>
    <n v="3"/>
    <n v="608"/>
    <n v="674"/>
    <n v="231"/>
    <n v="232"/>
    <n v="145"/>
    <n v="256"/>
    <n v="371"/>
    <n v="47"/>
    <n v="165"/>
    <n v="33"/>
    <n v="30"/>
    <n v="41"/>
    <n v="7"/>
    <n v="103"/>
    <n v="23"/>
    <n v="34"/>
    <n v="13"/>
    <n v="159"/>
    <n v="87"/>
    <n v="6"/>
    <n v="47"/>
    <n v="0"/>
    <n v="54"/>
    <n v="47"/>
    <n v="6"/>
    <n v="20"/>
    <n v="20"/>
    <n v="0"/>
    <n v="6"/>
    <n v="26"/>
    <n v="6"/>
    <n v="13"/>
    <n v="0"/>
    <n v="26"/>
    <n v="13"/>
    <n v="33"/>
    <n v="0"/>
    <n v="6"/>
    <n v="20"/>
    <n v="26"/>
    <n v="47"/>
    <n v="6"/>
    <n v="60"/>
    <n v="33"/>
    <n v="0"/>
    <n v="47"/>
    <n v="13"/>
    <n v="6"/>
    <n v="0"/>
    <n v="138.91000000000003"/>
    <n v="47089.15"/>
    <n v="32819.71"/>
    <n v="34246.65"/>
    <n v="17123.330000000002"/>
    <n v="11415.55"/>
    <n v="43000"/>
    <n v="10000"/>
    <n v="8716"/>
    <n v="11641"/>
    <n v="30623"/>
    <n v="8722"/>
    <n v="6172"/>
    <n v="2143"/>
    <n v="49000"/>
    <n v="270"/>
  </r>
  <r>
    <d v="2024-03-07T00:00:00"/>
    <x v="2"/>
    <n v="3"/>
    <n v="619"/>
    <n v="683"/>
    <n v="142"/>
    <n v="409"/>
    <n v="68"/>
    <n v="361"/>
    <n v="275"/>
    <n v="47"/>
    <n v="168"/>
    <n v="61"/>
    <n v="26"/>
    <n v="42"/>
    <n v="23"/>
    <n v="103"/>
    <n v="39"/>
    <n v="21"/>
    <n v="18"/>
    <n v="118"/>
    <n v="40"/>
    <n v="20"/>
    <n v="20"/>
    <n v="20"/>
    <n v="82"/>
    <n v="34"/>
    <n v="20"/>
    <n v="13"/>
    <n v="13"/>
    <n v="20"/>
    <n v="0"/>
    <n v="34"/>
    <n v="20"/>
    <n v="13"/>
    <n v="0"/>
    <n v="27"/>
    <n v="47"/>
    <n v="27"/>
    <n v="13"/>
    <n v="6"/>
    <n v="20"/>
    <n v="20"/>
    <n v="75"/>
    <n v="6"/>
    <n v="20"/>
    <n v="27"/>
    <n v="0"/>
    <n v="40"/>
    <n v="0"/>
    <n v="6"/>
    <n v="0"/>
    <n v="133.28"/>
    <n v="43059.57"/>
    <n v="19446.259999999998"/>
    <n v="27780.37"/>
    <n v="18057.240000000002"/>
    <n v="30558.41"/>
    <n v="43000"/>
    <n v="10000"/>
    <n v="8716"/>
    <n v="11641"/>
    <n v="30623"/>
    <n v="8722"/>
    <n v="6172"/>
    <n v="2143"/>
    <n v="49000"/>
    <n v="7907"/>
  </r>
  <r>
    <d v="2024-03-08T00:00:00"/>
    <x v="2"/>
    <n v="3"/>
    <n v="633"/>
    <n v="706"/>
    <n v="278"/>
    <n v="280"/>
    <n v="75"/>
    <n v="176"/>
    <n v="418"/>
    <n v="112"/>
    <n v="164"/>
    <n v="43"/>
    <n v="51"/>
    <n v="51"/>
    <n v="39"/>
    <n v="88"/>
    <n v="76"/>
    <n v="16"/>
    <n v="12"/>
    <n v="93"/>
    <n v="49"/>
    <n v="0"/>
    <n v="35"/>
    <n v="0"/>
    <n v="49"/>
    <n v="49"/>
    <n v="0"/>
    <n v="7"/>
    <n v="42"/>
    <n v="0"/>
    <n v="0"/>
    <n v="35"/>
    <n v="7"/>
    <n v="14"/>
    <n v="14"/>
    <n v="35"/>
    <n v="21"/>
    <n v="14"/>
    <n v="21"/>
    <n v="0"/>
    <n v="0"/>
    <n v="28"/>
    <n v="77"/>
    <n v="7"/>
    <n v="49"/>
    <n v="28"/>
    <n v="0"/>
    <n v="14"/>
    <n v="0"/>
    <n v="14"/>
    <n v="97"/>
    <n v="127.49000000000001"/>
    <n v="46648.99"/>
    <n v="22658.080000000002"/>
    <n v="23990.91"/>
    <n v="29322.23"/>
    <n v="10662.63"/>
    <n v="43000"/>
    <n v="17500"/>
    <n v="8716"/>
    <n v="28195"/>
    <n v="30623"/>
    <n v="8722"/>
    <n v="6172"/>
    <n v="2143"/>
    <n v="49000"/>
    <n v="8615"/>
  </r>
  <r>
    <d v="2024-03-09T00:00:00"/>
    <x v="2"/>
    <n v="3"/>
    <n v="654"/>
    <n v="744"/>
    <n v="215"/>
    <n v="335"/>
    <n v="104"/>
    <n v="148"/>
    <n v="470"/>
    <n v="126"/>
    <n v="141"/>
    <n v="56"/>
    <n v="60"/>
    <n v="48"/>
    <n v="32"/>
    <n v="124"/>
    <n v="37"/>
    <n v="34"/>
    <n v="22"/>
    <n v="100"/>
    <n v="89"/>
    <n v="22"/>
    <n v="22"/>
    <n v="0"/>
    <n v="63"/>
    <n v="59"/>
    <n v="22"/>
    <n v="7"/>
    <n v="14"/>
    <n v="22"/>
    <n v="0"/>
    <n v="29"/>
    <n v="7"/>
    <n v="22"/>
    <n v="14"/>
    <n v="52"/>
    <n v="22"/>
    <n v="22"/>
    <n v="0"/>
    <n v="0"/>
    <n v="7"/>
    <n v="22"/>
    <n v="81"/>
    <n v="7"/>
    <n v="52"/>
    <n v="22"/>
    <n v="7"/>
    <n v="44"/>
    <n v="7"/>
    <n v="7"/>
    <n v="0"/>
    <n v="122.54"/>
    <n v="31869.73"/>
    <n v="28045.360000000001"/>
    <n v="19121.84"/>
    <n v="20396.63"/>
    <n v="28045.360000000001"/>
    <n v="43000"/>
    <n v="17500"/>
    <n v="8716"/>
    <n v="28195"/>
    <n v="30623"/>
    <n v="8722"/>
    <n v="6172"/>
    <n v="2143"/>
    <n v="49000"/>
    <n v="8144"/>
  </r>
  <r>
    <d v="2024-03-10T00:00:00"/>
    <x v="2"/>
    <n v="3"/>
    <n v="676"/>
    <n v="778"/>
    <n v="148"/>
    <n v="481"/>
    <n v="47"/>
    <n v="186"/>
    <n v="530"/>
    <n v="62"/>
    <n v="150"/>
    <n v="50"/>
    <n v="37"/>
    <n v="58"/>
    <n v="12"/>
    <n v="123"/>
    <n v="33"/>
    <n v="38"/>
    <n v="15"/>
    <n v="160"/>
    <n v="77"/>
    <n v="15"/>
    <n v="38"/>
    <n v="7"/>
    <n v="92"/>
    <n v="54"/>
    <n v="7"/>
    <n v="0"/>
    <n v="15"/>
    <n v="15"/>
    <n v="7"/>
    <n v="23"/>
    <n v="0"/>
    <n v="7"/>
    <n v="7"/>
    <n v="31"/>
    <n v="46"/>
    <n v="15"/>
    <n v="7"/>
    <n v="0"/>
    <n v="0"/>
    <n v="31"/>
    <n v="77"/>
    <n v="7"/>
    <n v="70"/>
    <n v="31"/>
    <n v="7"/>
    <n v="54"/>
    <n v="23"/>
    <n v="15"/>
    <n v="0"/>
    <n v="119.2"/>
    <n v="31860.23"/>
    <n v="20831.689999999999"/>
    <n v="24507.87"/>
    <n v="25733.26"/>
    <n v="19606.3"/>
    <n v="43000"/>
    <n v="17500"/>
    <n v="8716"/>
    <n v="28195"/>
    <n v="30623"/>
    <n v="8722"/>
    <n v="6172"/>
    <n v="2143"/>
    <n v="49000"/>
    <n v="3895"/>
  </r>
  <r>
    <d v="2024-03-11T00:00:00"/>
    <x v="2"/>
    <n v="3"/>
    <n v="703"/>
    <n v="792"/>
    <n v="182"/>
    <n v="381"/>
    <n v="140"/>
    <n v="356"/>
    <n v="302"/>
    <n v="134"/>
    <n v="196"/>
    <n v="56"/>
    <n v="56"/>
    <n v="61"/>
    <n v="30"/>
    <n v="98"/>
    <n v="34"/>
    <n v="29"/>
    <n v="16"/>
    <n v="127"/>
    <n v="47"/>
    <n v="7"/>
    <n v="47"/>
    <n v="15"/>
    <n v="87"/>
    <n v="47"/>
    <n v="7"/>
    <n v="7"/>
    <n v="47"/>
    <n v="23"/>
    <n v="7"/>
    <n v="15"/>
    <n v="23"/>
    <n v="15"/>
    <n v="23"/>
    <n v="79"/>
    <n v="15"/>
    <n v="15"/>
    <n v="23"/>
    <n v="0"/>
    <n v="7"/>
    <n v="7"/>
    <n v="87"/>
    <n v="15"/>
    <n v="55"/>
    <n v="23"/>
    <n v="0"/>
    <n v="15"/>
    <n v="23"/>
    <n v="7"/>
    <n v="4"/>
    <n v="116.21"/>
    <n v="32183.72"/>
    <n v="16687.86"/>
    <n v="13111.89"/>
    <n v="11919.9"/>
    <n v="45295.61"/>
    <n v="43000"/>
    <n v="17500"/>
    <n v="8716"/>
    <n v="28195"/>
    <n v="30623"/>
    <n v="8722"/>
    <n v="6172"/>
    <n v="2143"/>
    <n v="49000"/>
    <n v="7029"/>
  </r>
  <r>
    <d v="2024-03-12T00:00:00"/>
    <x v="2"/>
    <n v="3"/>
    <n v="730"/>
    <n v="796"/>
    <n v="379"/>
    <n v="242"/>
    <n v="109"/>
    <n v="286"/>
    <n v="439"/>
    <n v="71"/>
    <n v="190"/>
    <n v="135"/>
    <n v="45"/>
    <n v="31"/>
    <n v="9"/>
    <n v="97"/>
    <n v="19"/>
    <n v="36"/>
    <n v="22"/>
    <n v="146"/>
    <n v="111"/>
    <n v="23"/>
    <n v="23"/>
    <n v="15"/>
    <n v="108"/>
    <n v="39"/>
    <n v="23"/>
    <n v="15"/>
    <n v="31"/>
    <n v="0"/>
    <n v="0"/>
    <n v="7"/>
    <n v="0"/>
    <n v="15"/>
    <n v="7"/>
    <n v="63"/>
    <n v="31"/>
    <n v="7"/>
    <n v="23"/>
    <n v="0"/>
    <n v="0"/>
    <n v="7"/>
    <n v="79"/>
    <n v="23"/>
    <n v="31"/>
    <n v="39"/>
    <n v="7"/>
    <n v="47"/>
    <n v="15"/>
    <n v="7"/>
    <n v="0"/>
    <n v="114.29999999999998"/>
    <n v="39508.800000000003"/>
    <n v="16268.33"/>
    <n v="23240.47"/>
    <n v="16268.33"/>
    <n v="20916.419999999998"/>
    <n v="43000"/>
    <n v="17500"/>
    <n v="8716"/>
    <n v="29323"/>
    <n v="30623"/>
    <n v="8722"/>
    <n v="6172"/>
    <n v="2143"/>
    <n v="49000"/>
    <n v="4115"/>
  </r>
  <r>
    <d v="2024-03-13T00:00:00"/>
    <x v="2"/>
    <n v="3"/>
    <n v="754"/>
    <n v="788"/>
    <n v="256"/>
    <n v="363"/>
    <n v="135"/>
    <n v="370"/>
    <n v="269"/>
    <n v="149"/>
    <n v="219"/>
    <n v="23"/>
    <n v="70"/>
    <n v="46"/>
    <n v="28"/>
    <n v="108"/>
    <n v="48"/>
    <n v="28"/>
    <n v="31"/>
    <n v="153"/>
    <n v="31"/>
    <n v="7"/>
    <n v="39"/>
    <n v="7"/>
    <n v="82"/>
    <n v="55"/>
    <n v="23"/>
    <n v="15"/>
    <n v="31"/>
    <n v="23"/>
    <n v="7"/>
    <n v="15"/>
    <n v="7"/>
    <n v="15"/>
    <n v="15"/>
    <n v="70"/>
    <n v="7"/>
    <n v="39"/>
    <n v="7"/>
    <n v="0"/>
    <n v="23"/>
    <n v="31"/>
    <n v="78"/>
    <n v="15"/>
    <n v="63"/>
    <n v="23"/>
    <n v="7"/>
    <n v="15"/>
    <n v="31"/>
    <n v="7"/>
    <n v="0"/>
    <n v="113.39000000000001"/>
    <n v="35433.800000000003"/>
    <n v="14859.34"/>
    <n v="11430.26"/>
    <n v="14859.34"/>
    <n v="37719.85"/>
    <n v="43000"/>
    <n v="17500"/>
    <n v="8716"/>
    <n v="29323"/>
    <n v="30623"/>
    <n v="8722"/>
    <n v="6172"/>
    <n v="2143"/>
    <n v="49000"/>
    <n v="580"/>
  </r>
  <r>
    <d v="2024-03-14T00:00:00"/>
    <x v="2"/>
    <n v="3"/>
    <n v="775"/>
    <n v="778"/>
    <n v="395"/>
    <n v="241"/>
    <n v="139"/>
    <n v="404"/>
    <n v="312"/>
    <n v="62"/>
    <n v="264"/>
    <n v="33"/>
    <n v="67"/>
    <n v="43"/>
    <n v="48"/>
    <n v="159"/>
    <n v="47"/>
    <n v="44"/>
    <n v="35"/>
    <n v="35"/>
    <n v="38"/>
    <n v="0"/>
    <n v="23"/>
    <n v="15"/>
    <n v="70"/>
    <n v="54"/>
    <n v="23"/>
    <n v="23"/>
    <n v="31"/>
    <n v="15"/>
    <n v="0"/>
    <n v="15"/>
    <n v="15"/>
    <n v="0"/>
    <n v="7"/>
    <n v="31"/>
    <n v="23"/>
    <n v="23"/>
    <n v="0"/>
    <n v="0"/>
    <n v="0"/>
    <n v="7"/>
    <n v="54"/>
    <n v="23"/>
    <n v="23"/>
    <n v="38"/>
    <n v="7"/>
    <n v="15"/>
    <n v="0"/>
    <n v="31"/>
    <n v="174"/>
    <n v="112.62999999999998"/>
    <n v="31747.31"/>
    <n v="28345.81"/>
    <n v="27211.98"/>
    <n v="17007.490000000002"/>
    <n v="9070.66"/>
    <n v="43000"/>
    <n v="17500"/>
    <n v="8716"/>
    <n v="29323"/>
    <n v="30623"/>
    <n v="8722"/>
    <n v="6172"/>
    <n v="2143"/>
    <n v="49000"/>
    <n v="7422"/>
  </r>
  <r>
    <d v="2024-03-15T00:00:00"/>
    <x v="2"/>
    <n v="3"/>
    <n v="795"/>
    <n v="752"/>
    <n v="174"/>
    <n v="470"/>
    <n v="151"/>
    <n v="345"/>
    <n v="250"/>
    <n v="157"/>
    <n v="246"/>
    <n v="128"/>
    <n v="73"/>
    <n v="34"/>
    <n v="34"/>
    <n v="129"/>
    <n v="87"/>
    <n v="21"/>
    <n v="33"/>
    <n v="10"/>
    <n v="90"/>
    <n v="7"/>
    <n v="22"/>
    <n v="22"/>
    <n v="34"/>
    <n v="60"/>
    <n v="22"/>
    <n v="15"/>
    <n v="15"/>
    <n v="0"/>
    <n v="0"/>
    <n v="22"/>
    <n v="22"/>
    <n v="7"/>
    <n v="15"/>
    <n v="67"/>
    <n v="52"/>
    <n v="37"/>
    <n v="22"/>
    <n v="7"/>
    <n v="7"/>
    <n v="22"/>
    <n v="60"/>
    <n v="15"/>
    <n v="30"/>
    <n v="37"/>
    <n v="7"/>
    <n v="22"/>
    <n v="7"/>
    <n v="7"/>
    <n v="0"/>
    <n v="112.78"/>
    <n v="32662.52"/>
    <n v="28157.34"/>
    <n v="13515.53"/>
    <n v="25904.76"/>
    <n v="12389.23"/>
    <n v="39500"/>
    <n v="17500"/>
    <n v="8716"/>
    <n v="29323"/>
    <n v="30623"/>
    <n v="8722"/>
    <n v="6172"/>
    <n v="2143"/>
    <n v="49000"/>
    <n v="1784"/>
  </r>
  <r>
    <d v="2024-03-16T00:00:00"/>
    <x v="2"/>
    <n v="3"/>
    <n v="805"/>
    <n v="713"/>
    <n v="273"/>
    <n v="476"/>
    <n v="56"/>
    <n v="292"/>
    <n v="307"/>
    <n v="114"/>
    <n v="209"/>
    <n v="134"/>
    <n v="49"/>
    <n v="69"/>
    <n v="19"/>
    <n v="156"/>
    <n v="42"/>
    <n v="33"/>
    <n v="21"/>
    <n v="73"/>
    <n v="42"/>
    <n v="21"/>
    <n v="21"/>
    <n v="21"/>
    <n v="49"/>
    <n v="42"/>
    <n v="21"/>
    <n v="0"/>
    <n v="42"/>
    <n v="0"/>
    <n v="7"/>
    <n v="28"/>
    <n v="14"/>
    <n v="21"/>
    <n v="7"/>
    <n v="35"/>
    <n v="35"/>
    <n v="21"/>
    <n v="21"/>
    <n v="0"/>
    <n v="7"/>
    <n v="21"/>
    <n v="78"/>
    <n v="21"/>
    <n v="57"/>
    <n v="21"/>
    <n v="0"/>
    <n v="28"/>
    <n v="14"/>
    <n v="0"/>
    <n v="18"/>
    <n v="114.27000000000001"/>
    <n v="34961.230000000003"/>
    <n v="18044.509999999998"/>
    <n v="27066.76"/>
    <n v="16916.72"/>
    <n v="15788.94"/>
    <n v="39500"/>
    <n v="17500"/>
    <n v="8716"/>
    <n v="29323"/>
    <n v="30623"/>
    <n v="8722"/>
    <n v="6172"/>
    <n v="2143"/>
    <n v="49000"/>
    <n v="3574"/>
  </r>
  <r>
    <d v="2024-03-17T00:00:00"/>
    <x v="2"/>
    <n v="3"/>
    <n v="816"/>
    <n v="665"/>
    <n v="285"/>
    <n v="376"/>
    <n v="155"/>
    <n v="352"/>
    <n v="227"/>
    <n v="86"/>
    <n v="202"/>
    <n v="65"/>
    <n v="50"/>
    <n v="35"/>
    <n v="45"/>
    <n v="105"/>
    <n v="55"/>
    <n v="40"/>
    <n v="34"/>
    <n v="185"/>
    <n v="86"/>
    <n v="13"/>
    <n v="46"/>
    <n v="13"/>
    <n v="2"/>
    <n v="46"/>
    <n v="13"/>
    <n v="6"/>
    <n v="13"/>
    <n v="6"/>
    <n v="6"/>
    <n v="13"/>
    <n v="19"/>
    <n v="13"/>
    <n v="19"/>
    <n v="39"/>
    <n v="46"/>
    <n v="6"/>
    <n v="13"/>
    <n v="6"/>
    <n v="26"/>
    <n v="19"/>
    <n v="66"/>
    <n v="19"/>
    <n v="53"/>
    <n v="33"/>
    <n v="6"/>
    <n v="6"/>
    <n v="13"/>
    <n v="0"/>
    <n v="0"/>
    <n v="117.63000000000001"/>
    <n v="38851.78"/>
    <n v="19425.89"/>
    <n v="19425.89"/>
    <n v="10284.290000000001"/>
    <n v="26282.09"/>
    <n v="39500"/>
    <n v="17500"/>
    <n v="8716"/>
    <n v="29323"/>
    <n v="30623"/>
    <n v="8722"/>
    <n v="6172"/>
    <n v="2143"/>
    <n v="49000"/>
    <n v="2379"/>
  </r>
  <r>
    <d v="2024-03-18T00:00:00"/>
    <x v="2"/>
    <n v="3"/>
    <n v="819"/>
    <n v="619"/>
    <n v="352"/>
    <n v="361"/>
    <n v="106"/>
    <n v="136"/>
    <n v="415"/>
    <n v="68"/>
    <n v="203"/>
    <n v="177"/>
    <n v="55"/>
    <n v="35"/>
    <n v="35"/>
    <n v="121"/>
    <n v="87"/>
    <n v="28"/>
    <n v="34"/>
    <n v="44"/>
    <n v="24"/>
    <n v="12"/>
    <n v="37"/>
    <n v="6"/>
    <n v="18"/>
    <n v="55"/>
    <n v="12"/>
    <n v="0"/>
    <n v="18"/>
    <n v="12"/>
    <n v="0"/>
    <n v="12"/>
    <n v="18"/>
    <n v="12"/>
    <n v="12"/>
    <n v="61"/>
    <n v="43"/>
    <n v="18"/>
    <n v="12"/>
    <n v="6"/>
    <n v="18"/>
    <n v="18"/>
    <n v="43"/>
    <n v="18"/>
    <n v="55"/>
    <n v="12"/>
    <n v="6"/>
    <n v="43"/>
    <n v="18"/>
    <n v="0"/>
    <n v="0"/>
    <n v="121.21"/>
    <n v="31762.75"/>
    <n v="19998.77"/>
    <n v="16469.580000000002"/>
    <n v="24704.36"/>
    <n v="24704.36"/>
    <n v="39500"/>
    <n v="17500"/>
    <n v="8716"/>
    <n v="29323"/>
    <n v="30623"/>
    <n v="8722"/>
    <n v="6172"/>
    <n v="2143"/>
    <n v="49000"/>
    <n v="6058"/>
  </r>
  <r>
    <d v="2024-03-19T00:00:00"/>
    <x v="2"/>
    <n v="3"/>
    <n v="822"/>
    <n v="596"/>
    <n v="419"/>
    <n v="321"/>
    <n v="82"/>
    <n v="202"/>
    <n v="281"/>
    <n v="113"/>
    <n v="193"/>
    <n v="107"/>
    <n v="45"/>
    <n v="30"/>
    <n v="40"/>
    <n v="106"/>
    <n v="24"/>
    <n v="31"/>
    <n v="21"/>
    <n v="225"/>
    <n v="65"/>
    <n v="11"/>
    <n v="23"/>
    <n v="11"/>
    <n v="39"/>
    <n v="53"/>
    <n v="17"/>
    <n v="17"/>
    <n v="23"/>
    <n v="17"/>
    <n v="5"/>
    <n v="11"/>
    <n v="0"/>
    <n v="0"/>
    <n v="11"/>
    <n v="35"/>
    <n v="29"/>
    <n v="23"/>
    <n v="5"/>
    <n v="0"/>
    <n v="5"/>
    <n v="11"/>
    <n v="65"/>
    <n v="11"/>
    <n v="29"/>
    <n v="23"/>
    <n v="0"/>
    <n v="17"/>
    <n v="23"/>
    <n v="17"/>
    <n v="0"/>
    <n v="125.35999999999999"/>
    <n v="35152.21"/>
    <n v="23030.76"/>
    <n v="15757.89"/>
    <n v="10909.31"/>
    <n v="36364.36"/>
    <n v="39500"/>
    <n v="17500"/>
    <n v="8716"/>
    <n v="29323"/>
    <n v="30623"/>
    <n v="8722"/>
    <n v="6172"/>
    <n v="2143"/>
    <n v="49000"/>
    <n v="7799"/>
  </r>
  <r>
    <d v="2024-03-20T00:00:00"/>
    <x v="2"/>
    <n v="3"/>
    <n v="820"/>
    <n v="583"/>
    <n v="188"/>
    <n v="452"/>
    <n v="180"/>
    <n v="122"/>
    <n v="345"/>
    <n v="116"/>
    <n v="183"/>
    <n v="81"/>
    <n v="45"/>
    <n v="71"/>
    <n v="10"/>
    <n v="168"/>
    <n v="68"/>
    <n v="37"/>
    <n v="24"/>
    <n v="133"/>
    <n v="75"/>
    <n v="0"/>
    <n v="17"/>
    <n v="0"/>
    <n v="49"/>
    <n v="40"/>
    <n v="0"/>
    <n v="5"/>
    <n v="34"/>
    <n v="0"/>
    <n v="5"/>
    <n v="29"/>
    <n v="5"/>
    <n v="0"/>
    <n v="11"/>
    <n v="52"/>
    <n v="11"/>
    <n v="17"/>
    <n v="17"/>
    <n v="0"/>
    <n v="23"/>
    <n v="23"/>
    <n v="46"/>
    <n v="17"/>
    <n v="23"/>
    <n v="11"/>
    <n v="5"/>
    <n v="40"/>
    <n v="23"/>
    <n v="5"/>
    <n v="0"/>
    <n v="126.65"/>
    <n v="33846.82"/>
    <n v="30086.07"/>
    <n v="25071.72"/>
    <n v="15043.03"/>
    <n v="21310.959999999999"/>
    <n v="39500"/>
    <n v="17500"/>
    <n v="8716"/>
    <n v="29323"/>
    <n v="30623"/>
    <n v="8722"/>
    <n v="6172"/>
    <n v="2143"/>
    <n v="49000"/>
    <n v="399"/>
  </r>
  <r>
    <d v="2024-03-21T00:00:00"/>
    <x v="2"/>
    <n v="3"/>
    <n v="812"/>
    <n v="580"/>
    <n v="414"/>
    <n v="204"/>
    <n v="194"/>
    <n v="284"/>
    <n v="215"/>
    <n v="81"/>
    <n v="191"/>
    <n v="161"/>
    <n v="50"/>
    <n v="60"/>
    <n v="45"/>
    <n v="145"/>
    <n v="86"/>
    <n v="37"/>
    <n v="37"/>
    <n v="0"/>
    <n v="40"/>
    <n v="0"/>
    <n v="17"/>
    <n v="17"/>
    <n v="75"/>
    <n v="52"/>
    <n v="0"/>
    <n v="17"/>
    <n v="17"/>
    <n v="11"/>
    <n v="0"/>
    <n v="23"/>
    <n v="0"/>
    <n v="17"/>
    <n v="11"/>
    <n v="58"/>
    <n v="11"/>
    <n v="11"/>
    <n v="17"/>
    <n v="0"/>
    <n v="11"/>
    <n v="23"/>
    <n v="63"/>
    <n v="11"/>
    <n v="34"/>
    <n v="5"/>
    <n v="0"/>
    <n v="17"/>
    <n v="5"/>
    <n v="0"/>
    <n v="17"/>
    <n v="127.03999999999999"/>
    <n v="40528.92"/>
    <n v="17731.400000000001"/>
    <n v="12665.29"/>
    <n v="27863.63"/>
    <n v="27863.63"/>
    <n v="39500"/>
    <n v="17500"/>
    <n v="8716"/>
    <n v="29323"/>
    <n v="30623"/>
    <n v="8722"/>
    <n v="6172"/>
    <n v="2143"/>
    <n v="49000"/>
    <n v="6914"/>
  </r>
  <r>
    <d v="2024-03-22T00:00:00"/>
    <x v="2"/>
    <n v="3"/>
    <n v="794"/>
    <n v="583"/>
    <n v="198"/>
    <n v="517"/>
    <n v="79"/>
    <n v="279"/>
    <n v="264"/>
    <n v="40"/>
    <n v="193"/>
    <n v="167"/>
    <n v="39"/>
    <n v="59"/>
    <n v="39"/>
    <n v="159"/>
    <n v="87"/>
    <n v="36"/>
    <n v="15"/>
    <n v="0"/>
    <n v="46"/>
    <n v="17"/>
    <n v="29"/>
    <n v="11"/>
    <n v="46"/>
    <n v="46"/>
    <n v="5"/>
    <n v="0"/>
    <n v="34"/>
    <n v="0"/>
    <n v="0"/>
    <n v="11"/>
    <n v="5"/>
    <n v="11"/>
    <n v="5"/>
    <n v="40"/>
    <n v="40"/>
    <n v="5"/>
    <n v="5"/>
    <n v="0"/>
    <n v="5"/>
    <n v="23"/>
    <n v="58"/>
    <n v="5"/>
    <n v="40"/>
    <n v="29"/>
    <n v="0"/>
    <n v="5"/>
    <n v="11"/>
    <n v="23"/>
    <n v="28"/>
    <n v="125.71"/>
    <n v="43190.33"/>
    <n v="21595.16"/>
    <n v="22865.47"/>
    <n v="26676.38"/>
    <n v="12703.04"/>
    <n v="39500"/>
    <n v="10000"/>
    <n v="8716"/>
    <n v="9237"/>
    <n v="30623"/>
    <n v="8722"/>
    <n v="6172"/>
    <n v="2143"/>
    <n v="49000"/>
    <n v="3481"/>
  </r>
  <r>
    <d v="2024-03-23T00:00:00"/>
    <x v="2"/>
    <n v="3"/>
    <n v="768"/>
    <n v="594"/>
    <n v="192"/>
    <n v="392"/>
    <n v="184"/>
    <n v="273"/>
    <n v="262"/>
    <n v="59"/>
    <n v="257"/>
    <n v="80"/>
    <n v="52"/>
    <n v="57"/>
    <n v="33"/>
    <n v="116"/>
    <n v="64"/>
    <n v="26"/>
    <n v="37"/>
    <n v="46"/>
    <n v="59"/>
    <n v="11"/>
    <n v="35"/>
    <n v="0"/>
    <n v="0"/>
    <n v="35"/>
    <n v="0"/>
    <n v="17"/>
    <n v="23"/>
    <n v="17"/>
    <n v="5"/>
    <n v="17"/>
    <n v="17"/>
    <n v="5"/>
    <n v="0"/>
    <n v="53"/>
    <n v="41"/>
    <n v="29"/>
    <n v="17"/>
    <n v="5"/>
    <n v="0"/>
    <n v="5"/>
    <n v="65"/>
    <n v="5"/>
    <n v="53"/>
    <n v="17"/>
    <n v="0"/>
    <n v="35"/>
    <n v="17"/>
    <n v="11"/>
    <n v="0"/>
    <n v="122.73"/>
    <n v="31425.3"/>
    <n v="16341.16"/>
    <n v="21369.21"/>
    <n v="25140.240000000002"/>
    <n v="31425.3"/>
    <n v="39500"/>
    <n v="10000"/>
    <n v="8716"/>
    <n v="9237"/>
    <n v="30623"/>
    <n v="8722"/>
    <n v="6172"/>
    <n v="2143"/>
    <n v="49000"/>
    <n v="3390"/>
  </r>
  <r>
    <d v="2024-03-24T00:00:00"/>
    <x v="2"/>
    <n v="3"/>
    <n v="747"/>
    <n v="619"/>
    <n v="395"/>
    <n v="315"/>
    <n v="37"/>
    <n v="160"/>
    <n v="385"/>
    <n v="74"/>
    <n v="185"/>
    <n v="101"/>
    <n v="55"/>
    <n v="64"/>
    <n v="23"/>
    <n v="105"/>
    <n v="79"/>
    <n v="28"/>
    <n v="22"/>
    <n v="85"/>
    <n v="24"/>
    <n v="0"/>
    <n v="43"/>
    <n v="0"/>
    <n v="61"/>
    <n v="55"/>
    <n v="18"/>
    <n v="12"/>
    <n v="37"/>
    <n v="0"/>
    <n v="0"/>
    <n v="18"/>
    <n v="12"/>
    <n v="6"/>
    <n v="6"/>
    <n v="61"/>
    <n v="18"/>
    <n v="12"/>
    <n v="0"/>
    <n v="0"/>
    <n v="0"/>
    <n v="18"/>
    <n v="61"/>
    <n v="12"/>
    <n v="55"/>
    <n v="30"/>
    <n v="0"/>
    <n v="37"/>
    <n v="0"/>
    <n v="6"/>
    <n v="17"/>
    <n v="120.23"/>
    <n v="38045.07"/>
    <n v="17181.64"/>
    <n v="22090.69"/>
    <n v="12272.6"/>
    <n v="33136.03"/>
    <n v="39500"/>
    <n v="10000"/>
    <n v="8716"/>
    <n v="9237"/>
    <n v="30623"/>
    <n v="8722"/>
    <n v="6172"/>
    <n v="2143"/>
    <n v="49000"/>
    <n v="8555"/>
  </r>
  <r>
    <d v="2024-03-25T00:00:00"/>
    <x v="2"/>
    <n v="3"/>
    <n v="725"/>
    <n v="659"/>
    <n v="261"/>
    <n v="334"/>
    <n v="130"/>
    <n v="342"/>
    <n v="173"/>
    <n v="144"/>
    <n v="202"/>
    <n v="98"/>
    <n v="44"/>
    <n v="49"/>
    <n v="35"/>
    <n v="123"/>
    <n v="44"/>
    <n v="30"/>
    <n v="22"/>
    <n v="78"/>
    <n v="65"/>
    <n v="6"/>
    <n v="32"/>
    <n v="0"/>
    <n v="52"/>
    <n v="52"/>
    <n v="13"/>
    <n v="13"/>
    <n v="19"/>
    <n v="6"/>
    <n v="0"/>
    <n v="6"/>
    <n v="13"/>
    <n v="13"/>
    <n v="13"/>
    <n v="39"/>
    <n v="32"/>
    <n v="6"/>
    <n v="0"/>
    <n v="6"/>
    <n v="19"/>
    <n v="13"/>
    <n v="46"/>
    <n v="13"/>
    <n v="19"/>
    <n v="26"/>
    <n v="6"/>
    <n v="6"/>
    <n v="0"/>
    <n v="26"/>
    <n v="99"/>
    <n v="119.4"/>
    <n v="31263.21"/>
    <n v="26453.49"/>
    <n v="12024.31"/>
    <n v="14429.18"/>
    <n v="36072.94"/>
    <n v="39500"/>
    <n v="10000"/>
    <n v="8716"/>
    <n v="9237"/>
    <n v="30623"/>
    <n v="8722"/>
    <n v="6172"/>
    <n v="2143"/>
    <n v="49000"/>
    <n v="6073"/>
  </r>
  <r>
    <d v="2024-03-26T00:00:00"/>
    <x v="2"/>
    <n v="3"/>
    <n v="713"/>
    <n v="714"/>
    <n v="171"/>
    <n v="464"/>
    <n v="78"/>
    <n v="278"/>
    <n v="358"/>
    <n v="78"/>
    <n v="194"/>
    <n v="110"/>
    <n v="53"/>
    <n v="66"/>
    <n v="22"/>
    <n v="113"/>
    <n v="62"/>
    <n v="37"/>
    <n v="24"/>
    <n v="32"/>
    <n v="64"/>
    <n v="14"/>
    <n v="35"/>
    <n v="21"/>
    <n v="67"/>
    <n v="49"/>
    <n v="14"/>
    <n v="7"/>
    <n v="28"/>
    <n v="7"/>
    <n v="0"/>
    <n v="35"/>
    <n v="7"/>
    <n v="21"/>
    <n v="21"/>
    <n v="64"/>
    <n v="7"/>
    <n v="7"/>
    <n v="7"/>
    <n v="0"/>
    <n v="7"/>
    <n v="7"/>
    <n v="64"/>
    <n v="21"/>
    <n v="42"/>
    <n v="35"/>
    <n v="7"/>
    <n v="49"/>
    <n v="7"/>
    <n v="0"/>
    <n v="0"/>
    <n v="119.9"/>
    <n v="38205.300000000003"/>
    <n v="27460.06"/>
    <n v="27460.06"/>
    <n v="16266.14"/>
    <n v="10000"/>
    <n v="39500"/>
    <n v="10000"/>
    <n v="8716"/>
    <n v="9237"/>
    <n v="30623"/>
    <n v="8722"/>
    <n v="6172"/>
    <n v="2143"/>
    <n v="49000"/>
    <n v="4483"/>
  </r>
  <r>
    <d v="2024-03-27T00:00:00"/>
    <x v="2"/>
    <n v="3"/>
    <n v="710"/>
    <n v="759"/>
    <n v="227"/>
    <n v="327"/>
    <n v="156"/>
    <n v="174"/>
    <n v="494"/>
    <n v="91"/>
    <n v="198"/>
    <n v="132"/>
    <n v="39"/>
    <n v="48"/>
    <n v="8"/>
    <n v="102"/>
    <n v="45"/>
    <n v="21"/>
    <n v="29"/>
    <n v="88"/>
    <n v="91"/>
    <n v="7"/>
    <n v="53"/>
    <n v="15"/>
    <n v="98"/>
    <n v="60"/>
    <n v="7"/>
    <n v="7"/>
    <n v="22"/>
    <n v="15"/>
    <n v="7"/>
    <n v="15"/>
    <n v="7"/>
    <n v="7"/>
    <n v="0"/>
    <n v="60"/>
    <n v="7"/>
    <n v="30"/>
    <n v="22"/>
    <n v="7"/>
    <n v="7"/>
    <n v="15"/>
    <n v="53"/>
    <n v="7"/>
    <n v="37"/>
    <n v="15"/>
    <n v="0"/>
    <n v="15"/>
    <n v="7"/>
    <n v="15"/>
    <n v="51"/>
    <n v="121.42000000000002"/>
    <n v="41963.360000000001"/>
    <n v="21581.16"/>
    <n v="14387.44"/>
    <n v="14387.44"/>
    <n v="27575.919999999998"/>
    <n v="39500"/>
    <n v="10000"/>
    <n v="8716"/>
    <n v="9237"/>
    <n v="30623"/>
    <n v="8722"/>
    <n v="6172"/>
    <n v="2143"/>
    <n v="49000"/>
    <n v="3842"/>
  </r>
  <r>
    <d v="2024-03-28T00:00:00"/>
    <x v="2"/>
    <n v="3"/>
    <n v="710"/>
    <n v="788"/>
    <n v="163"/>
    <n v="498"/>
    <n v="49"/>
    <n v="283"/>
    <n v="387"/>
    <n v="118"/>
    <n v="215"/>
    <n v="92"/>
    <n v="44"/>
    <n v="35"/>
    <n v="13"/>
    <n v="140"/>
    <n v="18"/>
    <n v="18"/>
    <n v="32"/>
    <n v="103"/>
    <n v="94"/>
    <n v="23"/>
    <n v="55"/>
    <n v="0"/>
    <n v="29"/>
    <n v="63"/>
    <n v="23"/>
    <n v="0"/>
    <n v="47"/>
    <n v="0"/>
    <n v="0"/>
    <n v="7"/>
    <n v="7"/>
    <n v="7"/>
    <n v="0"/>
    <n v="70"/>
    <n v="47"/>
    <n v="23"/>
    <n v="0"/>
    <n v="0"/>
    <n v="31"/>
    <n v="7"/>
    <n v="70"/>
    <n v="7"/>
    <n v="47"/>
    <n v="39"/>
    <n v="7"/>
    <n v="55"/>
    <n v="23"/>
    <n v="7"/>
    <n v="0"/>
    <n v="123.85999999999999"/>
    <n v="37640.019999999997"/>
    <n v="25498.080000000002"/>
    <n v="16998.72"/>
    <n v="26712.27"/>
    <n v="14570.33"/>
    <n v="39500"/>
    <n v="17500"/>
    <n v="8716"/>
    <n v="30237"/>
    <n v="30623"/>
    <n v="8722"/>
    <n v="6172"/>
    <n v="2143"/>
    <n v="49000"/>
    <n v="5162"/>
  </r>
  <r>
    <d v="2024-03-29T00:00:00"/>
    <x v="2"/>
    <n v="3"/>
    <n v="716"/>
    <n v="809"/>
    <n v="343"/>
    <n v="252"/>
    <n v="121"/>
    <n v="258"/>
    <n v="487"/>
    <n v="64"/>
    <n v="173"/>
    <n v="62"/>
    <n v="57"/>
    <n v="31"/>
    <n v="26"/>
    <n v="125"/>
    <n v="51"/>
    <n v="21"/>
    <n v="40"/>
    <n v="130"/>
    <n v="40"/>
    <n v="0"/>
    <n v="48"/>
    <n v="24"/>
    <n v="80"/>
    <n v="40"/>
    <n v="0"/>
    <n v="8"/>
    <n v="48"/>
    <n v="8"/>
    <n v="0"/>
    <n v="16"/>
    <n v="24"/>
    <n v="8"/>
    <n v="0"/>
    <n v="64"/>
    <n v="8"/>
    <n v="8"/>
    <n v="8"/>
    <n v="8"/>
    <n v="16"/>
    <n v="24"/>
    <n v="88"/>
    <n v="16"/>
    <n v="24"/>
    <n v="40"/>
    <n v="0"/>
    <n v="48"/>
    <n v="0"/>
    <n v="8"/>
    <n v="105"/>
    <n v="128.19999999999999"/>
    <n v="32201.33"/>
    <n v="16100.67"/>
    <n v="28485.79"/>
    <n v="28485.79"/>
    <n v="18577.689999999999"/>
    <n v="39500"/>
    <n v="17500"/>
    <n v="8716"/>
    <n v="30237"/>
    <n v="30623"/>
    <n v="8722"/>
    <n v="6172"/>
    <n v="2143"/>
    <n v="49000"/>
    <n v="770"/>
  </r>
  <r>
    <d v="2024-03-30T00:00:00"/>
    <x v="2"/>
    <n v="3"/>
    <n v="726"/>
    <n v="816"/>
    <n v="203"/>
    <n v="415"/>
    <n v="108"/>
    <n v="375"/>
    <n v="278"/>
    <n v="163"/>
    <n v="202"/>
    <n v="103"/>
    <n v="40"/>
    <n v="49"/>
    <n v="45"/>
    <n v="121"/>
    <n v="49"/>
    <n v="35"/>
    <n v="19"/>
    <n v="63"/>
    <n v="48"/>
    <n v="16"/>
    <n v="24"/>
    <n v="16"/>
    <n v="65"/>
    <n v="73"/>
    <n v="24"/>
    <n v="8"/>
    <n v="40"/>
    <n v="16"/>
    <n v="0"/>
    <n v="32"/>
    <n v="8"/>
    <n v="8"/>
    <n v="8"/>
    <n v="81"/>
    <n v="24"/>
    <n v="24"/>
    <n v="24"/>
    <n v="8"/>
    <n v="16"/>
    <n v="32"/>
    <n v="65"/>
    <n v="24"/>
    <n v="32"/>
    <n v="24"/>
    <n v="0"/>
    <n v="40"/>
    <n v="32"/>
    <n v="0"/>
    <n v="4"/>
    <n v="134"/>
    <n v="37175.269999999997"/>
    <n v="29483.83"/>
    <n v="19228.59"/>
    <n v="11537.15"/>
    <n v="30765.74"/>
    <n v="39500"/>
    <n v="17500"/>
    <n v="8716"/>
    <n v="30237"/>
    <n v="30623"/>
    <n v="8722"/>
    <n v="6172"/>
    <n v="2143"/>
    <n v="49000"/>
    <n v="1713"/>
  </r>
  <r>
    <d v="2024-03-31T00:00:00"/>
    <x v="2"/>
    <n v="3"/>
    <n v="739"/>
    <n v="819"/>
    <n v="347"/>
    <n v="348"/>
    <n v="44"/>
    <n v="368"/>
    <n v="271"/>
    <n v="180"/>
    <n v="201"/>
    <n v="50"/>
    <n v="50"/>
    <n v="59"/>
    <n v="32"/>
    <n v="115"/>
    <n v="95"/>
    <n v="19"/>
    <n v="22"/>
    <n v="96"/>
    <n v="57"/>
    <n v="16"/>
    <n v="40"/>
    <n v="8"/>
    <n v="36"/>
    <n v="49"/>
    <n v="8"/>
    <n v="8"/>
    <n v="49"/>
    <n v="8"/>
    <n v="0"/>
    <n v="16"/>
    <n v="0"/>
    <n v="8"/>
    <n v="24"/>
    <n v="81"/>
    <n v="49"/>
    <n v="40"/>
    <n v="24"/>
    <n v="8"/>
    <n v="32"/>
    <n v="24"/>
    <n v="81"/>
    <n v="16"/>
    <n v="65"/>
    <n v="24"/>
    <n v="0"/>
    <n v="8"/>
    <n v="24"/>
    <n v="16"/>
    <n v="0"/>
    <n v="134"/>
    <n v="45560"/>
    <n v="17420"/>
    <n v="29480"/>
    <n v="20100"/>
    <n v="21440"/>
    <n v="39500"/>
    <n v="17500"/>
    <n v="8716"/>
    <n v="30237"/>
    <n v="30623"/>
    <n v="8722"/>
    <n v="6172"/>
    <n v="2143"/>
    <n v="49000"/>
    <n v="7602"/>
  </r>
  <r>
    <d v="2024-04-01T00:00:00"/>
    <x v="3"/>
    <n v="4"/>
    <n v="764"/>
    <n v="714"/>
    <n v="168"/>
    <n v="413"/>
    <n v="183"/>
    <n v="214"/>
    <n v="358"/>
    <n v="142"/>
    <n v="222"/>
    <n v="165"/>
    <n v="56"/>
    <n v="33"/>
    <n v="14"/>
    <n v="121"/>
    <n v="63"/>
    <n v="40"/>
    <n v="29"/>
    <n v="21"/>
    <n v="57"/>
    <n v="0"/>
    <n v="21"/>
    <n v="0"/>
    <n v="71"/>
    <n v="64"/>
    <n v="14"/>
    <n v="0"/>
    <n v="14"/>
    <n v="14"/>
    <n v="0"/>
    <n v="35"/>
    <n v="7"/>
    <n v="14"/>
    <n v="0"/>
    <n v="71"/>
    <n v="49"/>
    <n v="14"/>
    <n v="7"/>
    <n v="0"/>
    <n v="21"/>
    <n v="7"/>
    <n v="57"/>
    <n v="21"/>
    <n v="28"/>
    <n v="28"/>
    <n v="7"/>
    <n v="49"/>
    <n v="21"/>
    <n v="21"/>
    <n v="2"/>
    <n v="139.97999999999999"/>
    <n v="45560"/>
    <n v="17420"/>
    <n v="29480"/>
    <n v="20100"/>
    <n v="21440"/>
    <n v="39500"/>
    <n v="16250"/>
    <n v="8716"/>
    <n v="30237"/>
    <n v="35764"/>
    <n v="13723"/>
    <n v="8643"/>
    <n v="5764"/>
    <n v="72000"/>
    <n v="2565"/>
  </r>
  <r>
    <d v="2024-04-02T00:00:00"/>
    <x v="3"/>
    <n v="4"/>
    <n v="790"/>
    <n v="706"/>
    <n v="410"/>
    <n v="254"/>
    <n v="126"/>
    <n v="176"/>
    <n v="389"/>
    <n v="141"/>
    <n v="210"/>
    <n v="166"/>
    <n v="44"/>
    <n v="34"/>
    <n v="48"/>
    <n v="117"/>
    <n v="81"/>
    <n v="45"/>
    <n v="45"/>
    <n v="0"/>
    <n v="56"/>
    <n v="14"/>
    <n v="35"/>
    <n v="7"/>
    <n v="98"/>
    <n v="35"/>
    <n v="0"/>
    <n v="14"/>
    <n v="35"/>
    <n v="7"/>
    <n v="7"/>
    <n v="21"/>
    <n v="7"/>
    <n v="7"/>
    <n v="14"/>
    <n v="28"/>
    <n v="14"/>
    <n v="7"/>
    <n v="21"/>
    <n v="0"/>
    <n v="14"/>
    <n v="21"/>
    <n v="56"/>
    <n v="21"/>
    <n v="56"/>
    <n v="28"/>
    <n v="7"/>
    <n v="28"/>
    <n v="28"/>
    <n v="7"/>
    <n v="13"/>
    <n v="142.29"/>
    <n v="44791.38"/>
    <n v="33593.54"/>
    <n v="13997.31"/>
    <n v="22395.69"/>
    <n v="25195.15"/>
    <n v="39500"/>
    <n v="16250"/>
    <n v="8716"/>
    <n v="30237"/>
    <n v="35764"/>
    <n v="13723"/>
    <n v="8643"/>
    <n v="5764"/>
    <n v="72000"/>
    <n v="8785"/>
  </r>
  <r>
    <d v="2024-04-03T00:00:00"/>
    <x v="3"/>
    <n v="4"/>
    <n v="811"/>
    <n v="691"/>
    <n v="202"/>
    <n v="504"/>
    <n v="105"/>
    <n v="283"/>
    <n v="312"/>
    <n v="96"/>
    <n v="191"/>
    <n v="160"/>
    <n v="65"/>
    <n v="50"/>
    <n v="45"/>
    <n v="107"/>
    <n v="77"/>
    <n v="27"/>
    <n v="46"/>
    <n v="43"/>
    <n v="27"/>
    <n v="13"/>
    <n v="27"/>
    <n v="0"/>
    <n v="89"/>
    <n v="41"/>
    <n v="6"/>
    <n v="13"/>
    <n v="20"/>
    <n v="20"/>
    <n v="0"/>
    <n v="34"/>
    <n v="6"/>
    <n v="6"/>
    <n v="20"/>
    <n v="69"/>
    <n v="41"/>
    <n v="13"/>
    <n v="0"/>
    <n v="0"/>
    <n v="27"/>
    <n v="20"/>
    <n v="69"/>
    <n v="6"/>
    <n v="20"/>
    <n v="13"/>
    <n v="6"/>
    <n v="13"/>
    <n v="27"/>
    <n v="6"/>
    <n v="39"/>
    <n v="142.87"/>
    <n v="44107.87"/>
    <n v="31302.36"/>
    <n v="35570.86"/>
    <n v="18496.849999999999"/>
    <n v="12805.51"/>
    <n v="39500"/>
    <n v="16250"/>
    <n v="8716"/>
    <n v="29175"/>
    <n v="35764"/>
    <n v="13723"/>
    <n v="8643"/>
    <n v="5764"/>
    <n v="72000"/>
    <n v="3119"/>
  </r>
  <r>
    <d v="2024-04-04T00:00:00"/>
    <x v="3"/>
    <n v="4"/>
    <n v="842"/>
    <n v="666"/>
    <n v="311"/>
    <n v="405"/>
    <n v="126"/>
    <n v="339"/>
    <n v="268"/>
    <n v="59"/>
    <n v="203"/>
    <n v="73"/>
    <n v="73"/>
    <n v="31"/>
    <n v="20"/>
    <n v="143"/>
    <n v="99"/>
    <n v="35"/>
    <n v="47"/>
    <n v="118"/>
    <n v="33"/>
    <n v="6"/>
    <n v="33"/>
    <n v="19"/>
    <n v="71"/>
    <n v="59"/>
    <n v="0"/>
    <n v="0"/>
    <n v="13"/>
    <n v="13"/>
    <n v="6"/>
    <n v="19"/>
    <n v="19"/>
    <n v="6"/>
    <n v="6"/>
    <n v="59"/>
    <n v="19"/>
    <n v="26"/>
    <n v="19"/>
    <n v="6"/>
    <n v="26"/>
    <n v="26"/>
    <n v="53"/>
    <n v="13"/>
    <n v="39"/>
    <n v="6"/>
    <n v="6"/>
    <n v="39"/>
    <n v="13"/>
    <n v="13"/>
    <n v="0"/>
    <n v="139.89999999999998"/>
    <n v="37147.370000000003"/>
    <n v="28574.9"/>
    <n v="35718.629999999997"/>
    <n v="31432.39"/>
    <n v="10001.219999999999"/>
    <n v="39500"/>
    <n v="16250"/>
    <n v="8716"/>
    <n v="29175"/>
    <n v="35764"/>
    <n v="13723"/>
    <n v="8643"/>
    <n v="5764"/>
    <n v="72000"/>
    <n v="233"/>
  </r>
  <r>
    <d v="2024-04-05T00:00:00"/>
    <x v="3"/>
    <n v="4"/>
    <n v="863"/>
    <n v="641"/>
    <n v="241"/>
    <n v="415"/>
    <n v="207"/>
    <n v="326"/>
    <n v="251"/>
    <n v="64"/>
    <n v="235"/>
    <n v="165"/>
    <n v="42"/>
    <n v="80"/>
    <n v="37"/>
    <n v="154"/>
    <n v="52"/>
    <n v="36"/>
    <n v="42"/>
    <n v="20"/>
    <n v="25"/>
    <n v="12"/>
    <n v="44"/>
    <n v="6"/>
    <n v="44"/>
    <n v="51"/>
    <n v="6"/>
    <n v="19"/>
    <n v="38"/>
    <n v="12"/>
    <n v="0"/>
    <n v="25"/>
    <n v="19"/>
    <n v="6"/>
    <n v="19"/>
    <n v="44"/>
    <n v="25"/>
    <n v="32"/>
    <n v="6"/>
    <n v="0"/>
    <n v="19"/>
    <n v="6"/>
    <n v="64"/>
    <n v="6"/>
    <n v="32"/>
    <n v="19"/>
    <n v="0"/>
    <n v="6"/>
    <n v="6"/>
    <n v="19"/>
    <n v="31"/>
    <n v="135.85"/>
    <n v="37773.53"/>
    <n v="26581.37"/>
    <n v="25182.35"/>
    <n v="20985.29"/>
    <n v="29379.41"/>
    <n v="39500"/>
    <n v="16250"/>
    <n v="8716"/>
    <n v="29175"/>
    <n v="35764"/>
    <n v="13723"/>
    <n v="8643"/>
    <n v="5764"/>
    <n v="72000"/>
    <n v="791"/>
  </r>
  <r>
    <d v="2024-04-06T00:00:00"/>
    <x v="3"/>
    <n v="4"/>
    <n v="878"/>
    <n v="609"/>
    <n v="219"/>
    <n v="501"/>
    <n v="158"/>
    <n v="213"/>
    <n v="342"/>
    <n v="54"/>
    <n v="185"/>
    <n v="136"/>
    <n v="59"/>
    <n v="27"/>
    <n v="43"/>
    <n v="160"/>
    <n v="96"/>
    <n v="23"/>
    <n v="36"/>
    <n v="113"/>
    <n v="42"/>
    <n v="18"/>
    <n v="42"/>
    <n v="12"/>
    <n v="3"/>
    <n v="42"/>
    <n v="18"/>
    <n v="6"/>
    <n v="18"/>
    <n v="18"/>
    <n v="6"/>
    <n v="30"/>
    <n v="6"/>
    <n v="6"/>
    <n v="18"/>
    <n v="42"/>
    <n v="36"/>
    <n v="24"/>
    <n v="0"/>
    <n v="0"/>
    <n v="12"/>
    <n v="24"/>
    <n v="60"/>
    <n v="18"/>
    <n v="54"/>
    <n v="12"/>
    <n v="0"/>
    <n v="12"/>
    <n v="12"/>
    <n v="18"/>
    <n v="0"/>
    <n v="129.76"/>
    <n v="47551.3"/>
    <n v="17661.91"/>
    <n v="17661.91"/>
    <n v="14944.69"/>
    <n v="38041.040000000001"/>
    <n v="39500"/>
    <n v="16250"/>
    <n v="8716"/>
    <n v="29175"/>
    <n v="35764"/>
    <n v="13723"/>
    <n v="8643"/>
    <n v="5764"/>
    <n v="72000"/>
    <n v="4181"/>
  </r>
  <r>
    <d v="2024-04-07T00:00:00"/>
    <x v="3"/>
    <n v="4"/>
    <n v="886"/>
    <n v="579"/>
    <n v="336"/>
    <n v="382"/>
    <n v="168"/>
    <n v="121"/>
    <n v="412"/>
    <n v="46"/>
    <n v="241"/>
    <n v="120"/>
    <n v="54"/>
    <n v="32"/>
    <n v="16"/>
    <n v="138"/>
    <n v="33"/>
    <n v="43"/>
    <n v="16"/>
    <n v="193"/>
    <n v="46"/>
    <n v="5"/>
    <n v="28"/>
    <n v="11"/>
    <n v="81"/>
    <n v="40"/>
    <n v="17"/>
    <n v="17"/>
    <n v="34"/>
    <n v="5"/>
    <n v="5"/>
    <n v="11"/>
    <n v="11"/>
    <n v="0"/>
    <n v="17"/>
    <n v="23"/>
    <n v="5"/>
    <n v="23"/>
    <n v="0"/>
    <n v="5"/>
    <n v="5"/>
    <n v="17"/>
    <n v="57"/>
    <n v="11"/>
    <n v="40"/>
    <n v="5"/>
    <n v="5"/>
    <n v="17"/>
    <n v="0"/>
    <n v="23"/>
    <n v="15"/>
    <n v="122.49000000000001"/>
    <n v="32441.25"/>
    <n v="32441.25"/>
    <n v="18167.099999999999"/>
    <n v="19464.75"/>
    <n v="27250.65"/>
    <n v="39500"/>
    <n v="16250"/>
    <n v="8716"/>
    <n v="21175"/>
    <n v="35764"/>
    <n v="13723"/>
    <n v="8643"/>
    <n v="5764"/>
    <n v="72000"/>
    <n v="8420"/>
  </r>
  <r>
    <d v="2024-04-08T00:00:00"/>
    <x v="3"/>
    <n v="4"/>
    <n v="892"/>
    <n v="547"/>
    <n v="463"/>
    <n v="260"/>
    <n v="169"/>
    <n v="125"/>
    <n v="324"/>
    <n v="98"/>
    <n v="221"/>
    <n v="176"/>
    <n v="55"/>
    <n v="55"/>
    <n v="38"/>
    <n v="166"/>
    <n v="111"/>
    <n v="40"/>
    <n v="30"/>
    <n v="0"/>
    <n v="38"/>
    <n v="10"/>
    <n v="38"/>
    <n v="16"/>
    <n v="37"/>
    <n v="38"/>
    <n v="16"/>
    <n v="5"/>
    <n v="32"/>
    <n v="16"/>
    <n v="0"/>
    <n v="16"/>
    <n v="16"/>
    <n v="16"/>
    <n v="16"/>
    <n v="43"/>
    <n v="10"/>
    <n v="21"/>
    <n v="10"/>
    <n v="5"/>
    <n v="0"/>
    <n v="16"/>
    <n v="54"/>
    <n v="10"/>
    <n v="21"/>
    <n v="16"/>
    <n v="0"/>
    <n v="21"/>
    <n v="10"/>
    <n v="0"/>
    <n v="0"/>
    <n v="112.4"/>
    <n v="30621.599999999999"/>
    <n v="25722.15"/>
    <n v="29396.74"/>
    <n v="14698.37"/>
    <n v="22047.55"/>
    <n v="39500"/>
    <n v="16250"/>
    <n v="8716"/>
    <n v="21175"/>
    <n v="35764"/>
    <n v="13723"/>
    <n v="8643"/>
    <n v="5764"/>
    <n v="72000"/>
    <n v="1153"/>
  </r>
  <r>
    <d v="2024-04-09T00:00:00"/>
    <x v="3"/>
    <n v="4"/>
    <n v="893"/>
    <n v="523"/>
    <n v="178"/>
    <n v="546"/>
    <n v="169"/>
    <n v="188"/>
    <n v="268"/>
    <n v="67"/>
    <n v="188"/>
    <n v="77"/>
    <n v="71"/>
    <n v="38"/>
    <n v="27"/>
    <n v="135"/>
    <n v="50"/>
    <n v="33"/>
    <n v="37"/>
    <n v="237"/>
    <n v="52"/>
    <n v="10"/>
    <n v="36"/>
    <n v="5"/>
    <n v="73"/>
    <n v="36"/>
    <n v="10"/>
    <n v="5"/>
    <n v="31"/>
    <n v="0"/>
    <n v="0"/>
    <n v="26"/>
    <n v="0"/>
    <n v="10"/>
    <n v="5"/>
    <n v="36"/>
    <n v="10"/>
    <n v="10"/>
    <n v="0"/>
    <n v="0"/>
    <n v="5"/>
    <n v="10"/>
    <n v="57"/>
    <n v="10"/>
    <n v="41"/>
    <n v="15"/>
    <n v="5"/>
    <n v="5"/>
    <n v="5"/>
    <n v="15"/>
    <n v="0"/>
    <n v="103.03"/>
    <n v="33722.660000000003"/>
    <n v="26978.13"/>
    <n v="20233.59"/>
    <n v="22481.77"/>
    <n v="8992.7099999999991"/>
    <n v="39500"/>
    <n v="16250"/>
    <n v="8716"/>
    <n v="21175"/>
    <n v="35764"/>
    <n v="13723"/>
    <n v="8643"/>
    <n v="5764"/>
    <n v="72000"/>
    <n v="4056"/>
  </r>
  <r>
    <d v="2024-04-10T00:00:00"/>
    <x v="3"/>
    <n v="4"/>
    <n v="892"/>
    <n v="506"/>
    <n v="454"/>
    <n v="233"/>
    <n v="205"/>
    <n v="111"/>
    <n v="355"/>
    <n v="40"/>
    <n v="243"/>
    <n v="176"/>
    <n v="38"/>
    <n v="82"/>
    <n v="16"/>
    <n v="155"/>
    <n v="88"/>
    <n v="40"/>
    <n v="50"/>
    <n v="4"/>
    <n v="50"/>
    <n v="10"/>
    <n v="15"/>
    <n v="5"/>
    <n v="55"/>
    <n v="30"/>
    <n v="5"/>
    <n v="15"/>
    <n v="25"/>
    <n v="15"/>
    <n v="0"/>
    <n v="20"/>
    <n v="5"/>
    <n v="0"/>
    <n v="0"/>
    <n v="50"/>
    <n v="25"/>
    <n v="5"/>
    <n v="5"/>
    <n v="0"/>
    <n v="5"/>
    <n v="10"/>
    <n v="45"/>
    <n v="15"/>
    <n v="20"/>
    <n v="20"/>
    <n v="0"/>
    <n v="20"/>
    <n v="0"/>
    <n v="20"/>
    <n v="16"/>
    <n v="92.820000000000007"/>
    <n v="34000.28"/>
    <n v="17515.29"/>
    <n v="15454.67"/>
    <n v="15454.67"/>
    <n v="20606.23"/>
    <n v="39500"/>
    <n v="16250"/>
    <n v="8716"/>
    <n v="21175"/>
    <n v="35764"/>
    <n v="13723"/>
    <n v="8643"/>
    <n v="5764"/>
    <n v="72000"/>
    <n v="2092"/>
  </r>
  <r>
    <d v="2024-04-11T00:00:00"/>
    <x v="3"/>
    <n v="4"/>
    <n v="881"/>
    <n v="499"/>
    <n v="220"/>
    <n v="503"/>
    <n v="158"/>
    <n v="159"/>
    <n v="286"/>
    <n v="54"/>
    <n v="256"/>
    <n v="131"/>
    <n v="81"/>
    <n v="32"/>
    <n v="49"/>
    <n v="113"/>
    <n v="63"/>
    <n v="36"/>
    <n v="36"/>
    <n v="84"/>
    <n v="44"/>
    <n v="0"/>
    <n v="19"/>
    <n v="4"/>
    <n v="44"/>
    <n v="44"/>
    <n v="4"/>
    <n v="0"/>
    <n v="29"/>
    <n v="0"/>
    <n v="0"/>
    <n v="24"/>
    <n v="4"/>
    <n v="0"/>
    <n v="4"/>
    <n v="44"/>
    <n v="24"/>
    <n v="4"/>
    <n v="4"/>
    <n v="0"/>
    <n v="0"/>
    <n v="19"/>
    <n v="54"/>
    <n v="9"/>
    <n v="19"/>
    <n v="24"/>
    <n v="4"/>
    <n v="24"/>
    <n v="4"/>
    <n v="19"/>
    <n v="27"/>
    <n v="84"/>
    <n v="26919.41"/>
    <n v="19493.37"/>
    <n v="20421.63"/>
    <n v="23206.39"/>
    <n v="2784.77"/>
    <n v="39500"/>
    <n v="16250"/>
    <n v="8716"/>
    <n v="21175"/>
    <n v="35764"/>
    <n v="13723"/>
    <n v="8643"/>
    <n v="5764"/>
    <n v="72000"/>
    <n v="120"/>
  </r>
  <r>
    <d v="2024-04-12T00:00:00"/>
    <x v="3"/>
    <n v="4"/>
    <n v="863"/>
    <n v="497"/>
    <n v="431"/>
    <n v="338"/>
    <n v="94"/>
    <n v="104"/>
    <n v="299"/>
    <n v="94"/>
    <n v="219"/>
    <n v="133"/>
    <n v="69"/>
    <n v="26"/>
    <n v="32"/>
    <n v="121"/>
    <n v="62"/>
    <n v="29"/>
    <n v="49"/>
    <n v="123"/>
    <n v="19"/>
    <n v="14"/>
    <n v="19"/>
    <n v="9"/>
    <n v="53"/>
    <n v="34"/>
    <n v="4"/>
    <n v="4"/>
    <n v="29"/>
    <n v="9"/>
    <n v="0"/>
    <n v="19"/>
    <n v="14"/>
    <n v="0"/>
    <n v="0"/>
    <n v="49"/>
    <n v="24"/>
    <n v="14"/>
    <n v="4"/>
    <n v="4"/>
    <n v="14"/>
    <n v="19"/>
    <n v="34"/>
    <n v="4"/>
    <n v="34"/>
    <n v="19"/>
    <n v="4"/>
    <n v="19"/>
    <n v="14"/>
    <n v="14"/>
    <n v="0"/>
    <n v="77.14"/>
    <n v="23515.53"/>
    <n v="20996.01"/>
    <n v="10917.92"/>
    <n v="6718.72"/>
    <n v="21835.85"/>
    <n v="39500"/>
    <n v="16250"/>
    <n v="8716"/>
    <n v="21175"/>
    <n v="35764"/>
    <n v="13723"/>
    <n v="8643"/>
    <n v="5764"/>
    <n v="72000"/>
    <n v="4056"/>
  </r>
  <r>
    <d v="2024-04-13T00:00:00"/>
    <x v="3"/>
    <n v="4"/>
    <n v="837"/>
    <n v="497"/>
    <n v="343"/>
    <n v="402"/>
    <n v="92"/>
    <n v="129"/>
    <n v="289"/>
    <n v="79"/>
    <n v="269"/>
    <n v="62"/>
    <n v="62"/>
    <n v="51"/>
    <n v="51"/>
    <n v="146"/>
    <n v="69"/>
    <n v="28"/>
    <n v="34"/>
    <n v="65"/>
    <n v="54"/>
    <n v="4"/>
    <n v="29"/>
    <n v="0"/>
    <n v="29"/>
    <n v="39"/>
    <n v="9"/>
    <n v="4"/>
    <n v="14"/>
    <n v="4"/>
    <n v="4"/>
    <n v="9"/>
    <n v="9"/>
    <n v="9"/>
    <n v="0"/>
    <n v="49"/>
    <n v="9"/>
    <n v="24"/>
    <n v="0"/>
    <n v="4"/>
    <n v="14"/>
    <n v="14"/>
    <n v="39"/>
    <n v="4"/>
    <n v="24"/>
    <n v="14"/>
    <n v="0"/>
    <n v="24"/>
    <n v="9"/>
    <n v="14"/>
    <n v="38"/>
    <n v="71.81"/>
    <n v="26226.400000000001"/>
    <n v="10799.1"/>
    <n v="13884.56"/>
    <n v="14655.93"/>
    <n v="11570.47"/>
    <n v="39500"/>
    <n v="16250"/>
    <n v="8716"/>
    <n v="21175"/>
    <n v="35764"/>
    <n v="13723"/>
    <n v="8643"/>
    <n v="5764"/>
    <n v="72000"/>
    <n v="4252"/>
  </r>
  <r>
    <d v="2024-04-14T00:00:00"/>
    <x v="3"/>
    <n v="4"/>
    <n v="813"/>
    <n v="503"/>
    <n v="382"/>
    <n v="318"/>
    <n v="113"/>
    <n v="165"/>
    <n v="313"/>
    <n v="25"/>
    <n v="176"/>
    <n v="40"/>
    <n v="70"/>
    <n v="55"/>
    <n v="25"/>
    <n v="117"/>
    <n v="74"/>
    <n v="21"/>
    <n v="30"/>
    <n v="205"/>
    <n v="45"/>
    <n v="5"/>
    <n v="30"/>
    <n v="5"/>
    <n v="28"/>
    <n v="25"/>
    <n v="10"/>
    <n v="10"/>
    <n v="20"/>
    <n v="15"/>
    <n v="0"/>
    <n v="25"/>
    <n v="15"/>
    <n v="5"/>
    <n v="15"/>
    <n v="30"/>
    <n v="20"/>
    <n v="25"/>
    <n v="10"/>
    <n v="5"/>
    <n v="15"/>
    <n v="10"/>
    <n v="35"/>
    <n v="5"/>
    <n v="20"/>
    <n v="25"/>
    <n v="5"/>
    <n v="15"/>
    <n v="20"/>
    <n v="10"/>
    <n v="0"/>
    <n v="67.209999999999994"/>
    <n v="21542.560000000001"/>
    <n v="16515.96"/>
    <n v="17952.13"/>
    <n v="10797.87"/>
    <n v="5000"/>
    <n v="39500"/>
    <n v="16250"/>
    <n v="8716"/>
    <n v="21175"/>
    <n v="35764"/>
    <n v="13723"/>
    <n v="8643"/>
    <n v="5764"/>
    <n v="72000"/>
    <n v="6855"/>
  </r>
  <r>
    <d v="2024-04-15T00:00:00"/>
    <x v="3"/>
    <n v="4"/>
    <n v="790"/>
    <n v="511"/>
    <n v="339"/>
    <n v="333"/>
    <n v="118"/>
    <n v="245"/>
    <n v="215"/>
    <n v="51"/>
    <n v="264"/>
    <n v="78"/>
    <n v="68"/>
    <n v="58"/>
    <n v="19"/>
    <n v="120"/>
    <n v="90"/>
    <n v="30"/>
    <n v="21"/>
    <n v="42"/>
    <n v="71"/>
    <n v="10"/>
    <n v="25"/>
    <n v="0"/>
    <n v="51"/>
    <n v="30"/>
    <n v="10"/>
    <n v="15"/>
    <n v="15"/>
    <n v="5"/>
    <n v="0"/>
    <n v="5"/>
    <n v="10"/>
    <n v="15"/>
    <n v="5"/>
    <n v="40"/>
    <n v="15"/>
    <n v="10"/>
    <n v="0"/>
    <n v="0"/>
    <n v="15"/>
    <n v="15"/>
    <n v="40"/>
    <n v="15"/>
    <n v="30"/>
    <n v="5"/>
    <n v="0"/>
    <n v="5"/>
    <n v="0"/>
    <n v="15"/>
    <n v="39"/>
    <n v="65.11"/>
    <n v="22180.21"/>
    <n v="11426.17"/>
    <n v="16803.189999999999"/>
    <n v="6803.19"/>
    <n v="10000"/>
    <n v="36000"/>
    <n v="16250"/>
    <n v="8716"/>
    <n v="21175"/>
    <n v="35764"/>
    <n v="13723"/>
    <n v="8643"/>
    <n v="5764"/>
    <n v="72000"/>
    <n v="5734"/>
  </r>
  <r>
    <d v="2024-04-16T00:00:00"/>
    <x v="3"/>
    <n v="4"/>
    <n v="779"/>
    <n v="525"/>
    <n v="264"/>
    <n v="422"/>
    <n v="93"/>
    <n v="131"/>
    <n v="363"/>
    <n v="31"/>
    <n v="265"/>
    <n v="106"/>
    <n v="48"/>
    <n v="33"/>
    <n v="28"/>
    <n v="109"/>
    <n v="38"/>
    <n v="20"/>
    <n v="20"/>
    <n v="112"/>
    <n v="68"/>
    <n v="15"/>
    <n v="21"/>
    <n v="5"/>
    <n v="47"/>
    <n v="47"/>
    <n v="5"/>
    <n v="5"/>
    <n v="10"/>
    <n v="10"/>
    <n v="0"/>
    <n v="15"/>
    <n v="15"/>
    <n v="10"/>
    <n v="0"/>
    <n v="47"/>
    <n v="36"/>
    <n v="26"/>
    <n v="15"/>
    <n v="5"/>
    <n v="10"/>
    <n v="5"/>
    <n v="0"/>
    <n v="10"/>
    <n v="20"/>
    <n v="21"/>
    <n v="5"/>
    <n v="21"/>
    <n v="21"/>
    <n v="10"/>
    <n v="0"/>
    <n v="62.909999999999989"/>
    <n v="19534.82"/>
    <n v="14976.7"/>
    <n v="7813.93"/>
    <n v="5860.45"/>
    <n v="16930.18"/>
    <n v="36000"/>
    <n v="16250"/>
    <n v="8716"/>
    <n v="21175"/>
    <n v="35764"/>
    <n v="13723"/>
    <n v="8643"/>
    <n v="5764"/>
    <n v="72000"/>
    <n v="3533"/>
  </r>
  <r>
    <d v="2024-04-17T00:00:00"/>
    <x v="3"/>
    <n v="4"/>
    <n v="775"/>
    <n v="544"/>
    <n v="162"/>
    <n v="420"/>
    <n v="193"/>
    <n v="136"/>
    <n v="311"/>
    <n v="97"/>
    <n v="245"/>
    <n v="52"/>
    <n v="48"/>
    <n v="24"/>
    <n v="14"/>
    <n v="100"/>
    <n v="79"/>
    <n v="26"/>
    <n v="26"/>
    <n v="161"/>
    <n v="65"/>
    <n v="10"/>
    <n v="16"/>
    <n v="16"/>
    <n v="43"/>
    <n v="27"/>
    <n v="0"/>
    <n v="0"/>
    <n v="10"/>
    <n v="16"/>
    <n v="0"/>
    <n v="16"/>
    <n v="0"/>
    <n v="10"/>
    <n v="5"/>
    <n v="43"/>
    <n v="16"/>
    <n v="5"/>
    <n v="0"/>
    <n v="0"/>
    <n v="21"/>
    <n v="10"/>
    <n v="43"/>
    <n v="10"/>
    <n v="16"/>
    <n v="10"/>
    <n v="5"/>
    <n v="38"/>
    <n v="0"/>
    <n v="0"/>
    <n v="93"/>
    <n v="62.33"/>
    <n v="16985.54"/>
    <n v="15098.26"/>
    <n v="6290.94"/>
    <n v="11952.79"/>
    <n v="12581.88"/>
    <n v="36000"/>
    <n v="16250"/>
    <n v="8716"/>
    <n v="21175"/>
    <n v="35764"/>
    <n v="13723"/>
    <n v="8643"/>
    <n v="5764"/>
    <n v="72000"/>
    <n v="8779"/>
  </r>
  <r>
    <d v="2024-04-18T00:00:00"/>
    <x v="3"/>
    <n v="4"/>
    <n v="776"/>
    <n v="572"/>
    <n v="186"/>
    <n v="490"/>
    <n v="100"/>
    <n v="291"/>
    <n v="236"/>
    <n v="45"/>
    <n v="168"/>
    <n v="62"/>
    <n v="62"/>
    <n v="62"/>
    <n v="9"/>
    <n v="106"/>
    <n v="82"/>
    <n v="26"/>
    <n v="32"/>
    <n v="167"/>
    <n v="45"/>
    <n v="17"/>
    <n v="40"/>
    <n v="17"/>
    <n v="25"/>
    <n v="45"/>
    <n v="0"/>
    <n v="5"/>
    <n v="28"/>
    <n v="0"/>
    <n v="5"/>
    <n v="5"/>
    <n v="11"/>
    <n v="5"/>
    <n v="17"/>
    <n v="45"/>
    <n v="28"/>
    <n v="28"/>
    <n v="17"/>
    <n v="5"/>
    <n v="17"/>
    <n v="17"/>
    <n v="45"/>
    <n v="5"/>
    <n v="22"/>
    <n v="22"/>
    <n v="5"/>
    <n v="17"/>
    <n v="17"/>
    <n v="17"/>
    <n v="0"/>
    <n v="61.77"/>
    <n v="19324.099999999999"/>
    <n v="9350.3700000000008"/>
    <n v="7480.3"/>
    <n v="9350.3700000000008"/>
    <n v="16830.669999999998"/>
    <n v="36000"/>
    <n v="16250"/>
    <n v="8716"/>
    <n v="21175"/>
    <n v="35764"/>
    <n v="13723"/>
    <n v="8643"/>
    <n v="5764"/>
    <n v="72000"/>
    <n v="1603"/>
  </r>
  <r>
    <d v="2024-04-19T00:00:00"/>
    <x v="3"/>
    <n v="4"/>
    <n v="781"/>
    <n v="603"/>
    <n v="335"/>
    <n v="392"/>
    <n v="54"/>
    <n v="192"/>
    <n v="303"/>
    <n v="108"/>
    <n v="169"/>
    <n v="116"/>
    <n v="67"/>
    <n v="33"/>
    <n v="9"/>
    <n v="103"/>
    <n v="32"/>
    <n v="35"/>
    <n v="44"/>
    <n v="173"/>
    <n v="84"/>
    <n v="12"/>
    <n v="24"/>
    <n v="12"/>
    <n v="48"/>
    <n v="30"/>
    <n v="0"/>
    <n v="12"/>
    <n v="12"/>
    <n v="12"/>
    <n v="0"/>
    <n v="12"/>
    <n v="0"/>
    <n v="12"/>
    <n v="12"/>
    <n v="24"/>
    <n v="24"/>
    <n v="6"/>
    <n v="12"/>
    <n v="6"/>
    <n v="6"/>
    <n v="18"/>
    <n v="60"/>
    <n v="18"/>
    <n v="36"/>
    <n v="12"/>
    <n v="6"/>
    <n v="30"/>
    <n v="18"/>
    <n v="18"/>
    <n v="27"/>
    <n v="62.149999999999991"/>
    <n v="17913.169999999998"/>
    <n v="8030.04"/>
    <n v="11736.21"/>
    <n v="9883.1299999999992"/>
    <n v="14207"/>
    <n v="36000"/>
    <n v="10000"/>
    <n v="12578"/>
    <n v="13522"/>
    <n v="35764"/>
    <n v="13723"/>
    <n v="8643"/>
    <n v="5764"/>
    <n v="72000"/>
    <n v="8224"/>
  </r>
  <r>
    <d v="2024-04-20T00:00:00"/>
    <x v="3"/>
    <n v="4"/>
    <n v="788"/>
    <n v="640"/>
    <n v="299"/>
    <n v="324"/>
    <n v="165"/>
    <n v="249"/>
    <n v="251"/>
    <n v="140"/>
    <n v="166"/>
    <n v="107"/>
    <n v="48"/>
    <n v="34"/>
    <n v="48"/>
    <n v="122"/>
    <n v="44"/>
    <n v="32"/>
    <n v="23"/>
    <n v="164"/>
    <n v="70"/>
    <n v="0"/>
    <n v="25"/>
    <n v="6"/>
    <n v="73"/>
    <n v="44"/>
    <n v="12"/>
    <n v="0"/>
    <n v="19"/>
    <n v="6"/>
    <n v="0"/>
    <n v="19"/>
    <n v="19"/>
    <n v="0"/>
    <n v="0"/>
    <n v="32"/>
    <n v="25"/>
    <n v="32"/>
    <n v="12"/>
    <n v="6"/>
    <n v="19"/>
    <n v="25"/>
    <n v="51"/>
    <n v="6"/>
    <n v="44"/>
    <n v="32"/>
    <n v="0"/>
    <n v="38"/>
    <n v="19"/>
    <n v="6"/>
    <n v="0"/>
    <n v="63.65"/>
    <n v="20506.95"/>
    <n v="15535.57"/>
    <n v="11185.61"/>
    <n v="10014.14"/>
    <n v="4900"/>
    <n v="36000"/>
    <n v="10000"/>
    <n v="12578"/>
    <n v="13522"/>
    <n v="35764"/>
    <n v="13723"/>
    <n v="8643"/>
    <n v="5764"/>
    <n v="72000"/>
    <n v="6619"/>
  </r>
  <r>
    <d v="2024-04-21T00:00:00"/>
    <x v="3"/>
    <n v="4"/>
    <n v="800"/>
    <n v="682"/>
    <n v="408"/>
    <n v="216"/>
    <n v="176"/>
    <n v="361"/>
    <n v="274"/>
    <n v="47"/>
    <n v="262"/>
    <n v="24"/>
    <n v="54"/>
    <n v="64"/>
    <n v="29"/>
    <n v="106"/>
    <n v="24"/>
    <n v="21"/>
    <n v="30"/>
    <n v="186"/>
    <n v="27"/>
    <n v="20"/>
    <n v="47"/>
    <n v="6"/>
    <n v="30"/>
    <n v="61"/>
    <n v="20"/>
    <n v="6"/>
    <n v="34"/>
    <n v="20"/>
    <n v="6"/>
    <n v="6"/>
    <n v="0"/>
    <n v="6"/>
    <n v="6"/>
    <n v="54"/>
    <n v="47"/>
    <n v="34"/>
    <n v="6"/>
    <n v="6"/>
    <n v="20"/>
    <n v="20"/>
    <n v="54"/>
    <n v="20"/>
    <n v="40"/>
    <n v="34"/>
    <n v="6"/>
    <n v="6"/>
    <n v="13"/>
    <n v="27"/>
    <n v="0"/>
    <n v="67.14"/>
    <n v="20366.66"/>
    <n v="12729.16"/>
    <n v="11456.25"/>
    <n v="6364.58"/>
    <n v="12729.16"/>
    <n v="36000"/>
    <n v="10000"/>
    <n v="12578"/>
    <n v="13522"/>
    <n v="35764"/>
    <n v="13723"/>
    <n v="8643"/>
    <n v="5764"/>
    <n v="72000"/>
    <n v="4161"/>
  </r>
  <r>
    <d v="2024-04-22T00:00:00"/>
    <x v="3"/>
    <n v="4"/>
    <n v="815"/>
    <n v="727"/>
    <n v="366"/>
    <n v="286"/>
    <n v="163"/>
    <n v="232"/>
    <n v="314"/>
    <n v="181"/>
    <n v="217"/>
    <n v="116"/>
    <n v="50"/>
    <n v="50"/>
    <n v="25"/>
    <n v="108"/>
    <n v="68"/>
    <n v="24"/>
    <n v="34"/>
    <n v="123"/>
    <n v="72"/>
    <n v="0"/>
    <n v="50"/>
    <n v="21"/>
    <n v="12"/>
    <n v="43"/>
    <n v="7"/>
    <n v="0"/>
    <n v="36"/>
    <n v="14"/>
    <n v="7"/>
    <n v="7"/>
    <n v="14"/>
    <n v="21"/>
    <n v="0"/>
    <n v="72"/>
    <n v="50"/>
    <n v="29"/>
    <n v="0"/>
    <n v="0"/>
    <n v="7"/>
    <n v="14"/>
    <n v="72"/>
    <n v="21"/>
    <n v="58"/>
    <n v="29"/>
    <n v="7"/>
    <n v="50"/>
    <n v="0"/>
    <n v="14"/>
    <n v="0"/>
    <n v="72.600000000000009"/>
    <n v="22157.77"/>
    <n v="8728.82"/>
    <n v="15443.29"/>
    <n v="9400.27"/>
    <n v="11414.61"/>
    <n v="36000"/>
    <n v="10000"/>
    <n v="12578"/>
    <n v="13522"/>
    <n v="35764"/>
    <n v="13723"/>
    <n v="8643"/>
    <n v="5764"/>
    <n v="72000"/>
    <n v="8064"/>
  </r>
  <r>
    <d v="2024-04-23T00:00:00"/>
    <x v="3"/>
    <n v="4"/>
    <n v="833"/>
    <n v="763"/>
    <n v="249"/>
    <n v="401"/>
    <n v="183"/>
    <n v="358"/>
    <n v="329"/>
    <n v="76"/>
    <n v="263"/>
    <n v="165"/>
    <n v="67"/>
    <n v="30"/>
    <n v="10"/>
    <n v="126"/>
    <n v="34"/>
    <n v="25"/>
    <n v="47"/>
    <n v="66"/>
    <n v="99"/>
    <n v="22"/>
    <n v="45"/>
    <n v="0"/>
    <n v="52"/>
    <n v="38"/>
    <n v="15"/>
    <n v="22"/>
    <n v="15"/>
    <n v="15"/>
    <n v="7"/>
    <n v="22"/>
    <n v="0"/>
    <n v="15"/>
    <n v="0"/>
    <n v="76"/>
    <n v="7"/>
    <n v="38"/>
    <n v="0"/>
    <n v="7"/>
    <n v="22"/>
    <n v="15"/>
    <n v="53"/>
    <n v="7"/>
    <n v="45"/>
    <n v="22"/>
    <n v="7"/>
    <n v="45"/>
    <n v="22"/>
    <n v="30"/>
    <n v="0"/>
    <n v="77.510000000000005"/>
    <n v="22505.23"/>
    <n v="15971.45"/>
    <n v="12341.58"/>
    <n v="12341.58"/>
    <n v="9437.68"/>
    <n v="36000"/>
    <n v="10000"/>
    <n v="12578"/>
    <n v="13522"/>
    <n v="35764"/>
    <n v="13723"/>
    <n v="8643"/>
    <n v="5764"/>
    <n v="72000"/>
    <n v="4265"/>
  </r>
  <r>
    <d v="2024-04-24T00:00:00"/>
    <x v="3"/>
    <n v="4"/>
    <n v="860"/>
    <n v="796"/>
    <n v="421"/>
    <n v="259"/>
    <n v="180"/>
    <n v="214"/>
    <n v="503"/>
    <n v="79"/>
    <n v="202"/>
    <n v="154"/>
    <n v="69"/>
    <n v="63"/>
    <n v="10"/>
    <n v="111"/>
    <n v="16"/>
    <n v="22"/>
    <n v="29"/>
    <n v="184"/>
    <n v="87"/>
    <n v="0"/>
    <n v="47"/>
    <n v="15"/>
    <n v="63"/>
    <n v="71"/>
    <n v="7"/>
    <n v="0"/>
    <n v="47"/>
    <n v="0"/>
    <n v="0"/>
    <n v="15"/>
    <n v="0"/>
    <n v="23"/>
    <n v="15"/>
    <n v="55"/>
    <n v="31"/>
    <n v="39"/>
    <n v="0"/>
    <n v="0"/>
    <n v="0"/>
    <n v="15"/>
    <n v="71"/>
    <n v="15"/>
    <n v="55"/>
    <n v="23"/>
    <n v="0"/>
    <n v="7"/>
    <n v="7"/>
    <n v="31"/>
    <n v="57"/>
    <n v="83.19"/>
    <n v="24031.37"/>
    <n v="18604.93"/>
    <n v="10077.67"/>
    <n v="9302.4599999999991"/>
    <n v="15504.11"/>
    <n v="36000"/>
    <n v="10000"/>
    <n v="12578"/>
    <n v="13522"/>
    <n v="35764"/>
    <n v="13723"/>
    <n v="8643"/>
    <n v="5764"/>
    <n v="72000"/>
    <n v="8610"/>
  </r>
  <r>
    <d v="2024-04-25T00:00:00"/>
    <x v="3"/>
    <n v="4"/>
    <n v="886"/>
    <n v="819"/>
    <n v="256"/>
    <n v="542"/>
    <n v="88"/>
    <n v="393"/>
    <n v="345"/>
    <n v="81"/>
    <n v="285"/>
    <n v="38"/>
    <n v="65"/>
    <n v="43"/>
    <n v="27"/>
    <n v="117"/>
    <n v="40"/>
    <n v="30"/>
    <n v="16"/>
    <n v="225"/>
    <n v="98"/>
    <n v="16"/>
    <n v="32"/>
    <n v="24"/>
    <n v="49"/>
    <n v="57"/>
    <n v="16"/>
    <n v="0"/>
    <n v="32"/>
    <n v="0"/>
    <n v="0"/>
    <n v="32"/>
    <n v="16"/>
    <n v="16"/>
    <n v="8"/>
    <n v="40"/>
    <n v="24"/>
    <n v="16"/>
    <n v="8"/>
    <n v="8"/>
    <n v="24"/>
    <n v="16"/>
    <n v="65"/>
    <n v="16"/>
    <n v="49"/>
    <n v="40"/>
    <n v="8"/>
    <n v="8"/>
    <n v="0"/>
    <n v="24"/>
    <n v="77"/>
    <n v="86.609999999999985"/>
    <n v="26618.42"/>
    <n v="17468.34"/>
    <n v="18300.16"/>
    <n v="17468.34"/>
    <n v="3327.3"/>
    <n v="36000"/>
    <n v="10000"/>
    <n v="12578"/>
    <n v="13522"/>
    <n v="35764"/>
    <n v="13723"/>
    <n v="8643"/>
    <n v="5764"/>
    <n v="72000"/>
    <n v="7939"/>
  </r>
  <r>
    <d v="2024-04-26T00:00:00"/>
    <x v="3"/>
    <n v="4"/>
    <n v="912"/>
    <n v="838"/>
    <n v="355"/>
    <n v="512"/>
    <n v="45"/>
    <n v="326"/>
    <n v="404"/>
    <n v="108"/>
    <n v="260"/>
    <n v="96"/>
    <n v="67"/>
    <n v="50"/>
    <n v="50"/>
    <n v="166"/>
    <n v="34"/>
    <n v="51"/>
    <n v="27"/>
    <n v="111"/>
    <n v="100"/>
    <n v="25"/>
    <n v="41"/>
    <n v="0"/>
    <n v="36"/>
    <n v="67"/>
    <n v="8"/>
    <n v="25"/>
    <n v="41"/>
    <n v="8"/>
    <n v="8"/>
    <n v="16"/>
    <n v="8"/>
    <n v="25"/>
    <n v="8"/>
    <n v="50"/>
    <n v="50"/>
    <n v="8"/>
    <n v="16"/>
    <n v="8"/>
    <n v="25"/>
    <n v="33"/>
    <n v="67"/>
    <n v="25"/>
    <n v="50"/>
    <n v="25"/>
    <n v="8"/>
    <n v="16"/>
    <n v="25"/>
    <n v="16"/>
    <n v="0"/>
    <n v="87.51"/>
    <n v="27711.06"/>
    <n v="13855.53"/>
    <n v="21649.26"/>
    <n v="9525.68"/>
    <n v="13855.53"/>
    <n v="36000"/>
    <n v="16250"/>
    <n v="12578"/>
    <n v="22522"/>
    <n v="35764"/>
    <n v="13723"/>
    <n v="8643"/>
    <n v="5764"/>
    <n v="72000"/>
    <n v="5062"/>
  </r>
  <r>
    <d v="2024-04-27T00:00:00"/>
    <x v="3"/>
    <n v="4"/>
    <n v="936"/>
    <n v="849"/>
    <n v="486"/>
    <n v="376"/>
    <n v="74"/>
    <n v="195"/>
    <n v="527"/>
    <n v="127"/>
    <n v="301"/>
    <n v="87"/>
    <n v="69"/>
    <n v="87"/>
    <n v="46"/>
    <n v="174"/>
    <n v="92"/>
    <n v="24"/>
    <n v="46"/>
    <n v="10"/>
    <n v="76"/>
    <n v="16"/>
    <n v="25"/>
    <n v="16"/>
    <n v="93"/>
    <n v="67"/>
    <n v="8"/>
    <n v="8"/>
    <n v="42"/>
    <n v="0"/>
    <n v="8"/>
    <n v="33"/>
    <n v="25"/>
    <n v="16"/>
    <n v="16"/>
    <n v="59"/>
    <n v="59"/>
    <n v="42"/>
    <n v="8"/>
    <n v="8"/>
    <n v="8"/>
    <n v="8"/>
    <n v="59"/>
    <n v="8"/>
    <n v="67"/>
    <n v="16"/>
    <n v="8"/>
    <n v="16"/>
    <n v="8"/>
    <n v="0"/>
    <n v="26"/>
    <n v="87.509999999999991"/>
    <n v="24500.19"/>
    <n v="17500.13"/>
    <n v="12250.09"/>
    <n v="21875.17"/>
    <n v="11375.09"/>
    <n v="36000"/>
    <n v="16250"/>
    <n v="12578"/>
    <n v="22522"/>
    <n v="35764"/>
    <n v="13723"/>
    <n v="8643"/>
    <n v="5764"/>
    <n v="72000"/>
    <n v="4427"/>
  </r>
  <r>
    <d v="2024-04-28T00:00:00"/>
    <x v="3"/>
    <n v="4"/>
    <n v="958"/>
    <n v="855"/>
    <n v="488"/>
    <n v="365"/>
    <n v="105"/>
    <n v="333"/>
    <n v="480"/>
    <n v="42"/>
    <n v="285"/>
    <n v="83"/>
    <n v="71"/>
    <n v="29"/>
    <n v="29"/>
    <n v="200"/>
    <n v="25"/>
    <n v="54"/>
    <n v="36"/>
    <n v="146"/>
    <n v="119"/>
    <n v="8"/>
    <n v="42"/>
    <n v="25"/>
    <n v="44"/>
    <n v="68"/>
    <n v="17"/>
    <n v="0"/>
    <n v="51"/>
    <n v="0"/>
    <n v="8"/>
    <n v="42"/>
    <n v="17"/>
    <n v="8"/>
    <n v="17"/>
    <n v="42"/>
    <n v="17"/>
    <n v="34"/>
    <n v="17"/>
    <n v="0"/>
    <n v="34"/>
    <n v="34"/>
    <n v="59"/>
    <n v="17"/>
    <n v="42"/>
    <n v="34"/>
    <n v="8"/>
    <n v="17"/>
    <n v="17"/>
    <n v="17"/>
    <n v="0"/>
    <n v="85.669999999999987"/>
    <n v="28875.22"/>
    <n v="21000.16"/>
    <n v="17500.13"/>
    <n v="15750.12"/>
    <n v="4375.03"/>
    <n v="36000"/>
    <n v="16250"/>
    <n v="12578"/>
    <n v="22522"/>
    <n v="35764"/>
    <n v="13723"/>
    <n v="8643"/>
    <n v="5764"/>
    <n v="72000"/>
    <n v="1751"/>
  </r>
  <r>
    <d v="2024-04-29T00:00:00"/>
    <x v="3"/>
    <n v="4"/>
    <n v="977"/>
    <n v="857"/>
    <n v="322"/>
    <n v="587"/>
    <n v="68"/>
    <n v="239"/>
    <n v="516"/>
    <n v="102"/>
    <n v="308"/>
    <n v="109"/>
    <n v="78"/>
    <n v="30"/>
    <n v="48"/>
    <n v="163"/>
    <n v="33"/>
    <n v="40"/>
    <n v="40"/>
    <n v="128"/>
    <n v="59"/>
    <n v="25"/>
    <n v="59"/>
    <n v="17"/>
    <n v="102"/>
    <n v="77"/>
    <n v="0"/>
    <n v="17"/>
    <n v="34"/>
    <n v="17"/>
    <n v="0"/>
    <n v="17"/>
    <n v="0"/>
    <n v="0"/>
    <n v="17"/>
    <n v="85"/>
    <n v="25"/>
    <n v="8"/>
    <n v="8"/>
    <n v="8"/>
    <n v="8"/>
    <n v="17"/>
    <n v="68"/>
    <n v="8"/>
    <n v="77"/>
    <n v="34"/>
    <n v="0"/>
    <n v="25"/>
    <n v="0"/>
    <n v="34"/>
    <n v="11"/>
    <n v="79"/>
    <n v="22273.38"/>
    <n v="12850.03"/>
    <n v="13706.7"/>
    <n v="17990.04"/>
    <n v="18846.71"/>
    <n v="36000"/>
    <n v="16250"/>
    <n v="12578"/>
    <n v="22522"/>
    <n v="35764"/>
    <n v="13723"/>
    <n v="8643"/>
    <n v="5764"/>
    <n v="72000"/>
    <n v="8121"/>
  </r>
  <r>
    <d v="2024-04-30T00:00:00"/>
    <x v="3"/>
    <n v="4"/>
    <n v="987"/>
    <n v="855"/>
    <n v="523"/>
    <n v="405"/>
    <n v="59"/>
    <n v="179"/>
    <n v="540"/>
    <n v="136"/>
    <n v="275"/>
    <n v="189"/>
    <n v="91"/>
    <n v="67"/>
    <n v="48"/>
    <n v="127"/>
    <n v="71"/>
    <n v="30"/>
    <n v="56"/>
    <n v="33"/>
    <n v="34"/>
    <n v="0"/>
    <n v="59"/>
    <n v="0"/>
    <n v="68"/>
    <n v="51"/>
    <n v="0"/>
    <n v="25"/>
    <n v="42"/>
    <n v="17"/>
    <n v="0"/>
    <n v="42"/>
    <n v="8"/>
    <n v="0"/>
    <n v="17"/>
    <n v="76"/>
    <n v="25"/>
    <n v="34"/>
    <n v="17"/>
    <n v="8"/>
    <n v="17"/>
    <n v="17"/>
    <n v="59"/>
    <n v="8"/>
    <n v="76"/>
    <n v="8"/>
    <n v="0"/>
    <n v="34"/>
    <n v="8"/>
    <n v="17"/>
    <n v="88"/>
    <n v="79.03"/>
    <n v="23700"/>
    <n v="14220"/>
    <n v="15800"/>
    <n v="9480"/>
    <n v="15800"/>
    <n v="36000"/>
    <n v="16250"/>
    <n v="12578"/>
    <n v="22522"/>
    <n v="35764"/>
    <n v="13723"/>
    <n v="8643"/>
    <n v="5764"/>
    <n v="72000"/>
    <n v="6630"/>
  </r>
  <r>
    <d v="2024-05-01T00:00:00"/>
    <x v="4"/>
    <n v="5"/>
    <n v="994"/>
    <n v="1002"/>
    <n v="477"/>
    <n v="269"/>
    <n v="248"/>
    <n v="521"/>
    <n v="401"/>
    <n v="80"/>
    <n v="277"/>
    <n v="123"/>
    <n v="67"/>
    <n v="86"/>
    <n v="36"/>
    <n v="196"/>
    <n v="113"/>
    <n v="41"/>
    <n v="49"/>
    <n v="6"/>
    <n v="130"/>
    <n v="10"/>
    <n v="50"/>
    <n v="30"/>
    <n v="150"/>
    <n v="80"/>
    <n v="0"/>
    <n v="0"/>
    <n v="40"/>
    <n v="0"/>
    <n v="0"/>
    <n v="30"/>
    <n v="0"/>
    <n v="10"/>
    <n v="10"/>
    <n v="70"/>
    <n v="10"/>
    <n v="10"/>
    <n v="20"/>
    <n v="10"/>
    <n v="40"/>
    <n v="20"/>
    <n v="70"/>
    <n v="10"/>
    <n v="30"/>
    <n v="50"/>
    <n v="0"/>
    <n v="10"/>
    <n v="40"/>
    <n v="20"/>
    <n v="52"/>
    <n v="55.300000000000004"/>
    <n v="20547.05"/>
    <n v="18966.509999999998"/>
    <n v="13434.61"/>
    <n v="10273.530000000001"/>
    <n v="15805.42"/>
    <n v="36000"/>
    <n v="15000"/>
    <n v="12578"/>
    <n v="22522"/>
    <n v="41565"/>
    <n v="18624"/>
    <n v="12724"/>
    <n v="9545"/>
    <n v="106000"/>
    <n v="7191"/>
  </r>
  <r>
    <d v="2024-05-02T00:00:00"/>
    <x v="4"/>
    <n v="5"/>
    <n v="999"/>
    <n v="995"/>
    <n v="249"/>
    <n v="511"/>
    <n v="239"/>
    <n v="348"/>
    <n v="498"/>
    <n v="149"/>
    <n v="284"/>
    <n v="192"/>
    <n v="49"/>
    <n v="61"/>
    <n v="30"/>
    <n v="186"/>
    <n v="91"/>
    <n v="53"/>
    <n v="30"/>
    <n v="23"/>
    <n v="69"/>
    <n v="0"/>
    <n v="39"/>
    <n v="29"/>
    <n v="79"/>
    <n v="89"/>
    <n v="9"/>
    <n v="19"/>
    <n v="19"/>
    <n v="19"/>
    <n v="0"/>
    <n v="49"/>
    <n v="19"/>
    <n v="0"/>
    <n v="19"/>
    <n v="39"/>
    <n v="9"/>
    <n v="9"/>
    <n v="0"/>
    <n v="0"/>
    <n v="29"/>
    <n v="29"/>
    <n v="79"/>
    <n v="9"/>
    <n v="59"/>
    <n v="9"/>
    <n v="9"/>
    <n v="49"/>
    <n v="39"/>
    <n v="19"/>
    <n v="150"/>
    <n v="57.463000000000001"/>
    <n v="23700"/>
    <n v="14220"/>
    <n v="15800"/>
    <n v="9480"/>
    <n v="15800"/>
    <n v="36000"/>
    <n v="15000"/>
    <n v="12578"/>
    <n v="23522"/>
    <n v="41565"/>
    <n v="18624"/>
    <n v="12724"/>
    <n v="9545"/>
    <n v="106000"/>
    <n v="8013"/>
  </r>
  <r>
    <d v="2024-05-03T00:00:00"/>
    <x v="4"/>
    <n v="5"/>
    <n v="1000"/>
    <n v="985"/>
    <n v="420"/>
    <n v="500"/>
    <n v="80"/>
    <n v="206"/>
    <n v="582"/>
    <n v="197"/>
    <n v="316"/>
    <n v="74"/>
    <n v="49"/>
    <n v="49"/>
    <n v="37"/>
    <n v="182"/>
    <n v="106"/>
    <n v="53"/>
    <n v="30"/>
    <n v="104"/>
    <n v="128"/>
    <n v="0"/>
    <n v="29"/>
    <n v="9"/>
    <n v="59"/>
    <n v="88"/>
    <n v="0"/>
    <n v="29"/>
    <n v="29"/>
    <n v="19"/>
    <n v="9"/>
    <n v="39"/>
    <n v="29"/>
    <n v="9"/>
    <n v="0"/>
    <n v="88"/>
    <n v="29"/>
    <n v="9"/>
    <n v="0"/>
    <n v="0"/>
    <n v="39"/>
    <n v="39"/>
    <n v="78"/>
    <n v="9"/>
    <n v="39"/>
    <n v="29"/>
    <n v="0"/>
    <n v="49"/>
    <n v="9"/>
    <n v="0"/>
    <n v="92"/>
    <n v="59.22"/>
    <n v="24627.53"/>
    <n v="17239.27"/>
    <n v="10671.93"/>
    <n v="13134.68"/>
    <n v="16418.349999999999"/>
    <n v="36000"/>
    <n v="15000"/>
    <n v="12578"/>
    <n v="23522"/>
    <n v="41565"/>
    <n v="18624"/>
    <n v="12724"/>
    <n v="9545"/>
    <n v="106000"/>
    <n v="736"/>
  </r>
  <r>
    <d v="2024-05-04T00:00:00"/>
    <x v="4"/>
    <n v="5"/>
    <n v="999"/>
    <n v="972"/>
    <n v="439"/>
    <n v="441"/>
    <n v="119"/>
    <n v="252"/>
    <n v="575"/>
    <n v="145"/>
    <n v="291"/>
    <n v="142"/>
    <n v="55"/>
    <n v="43"/>
    <n v="24"/>
    <n v="155"/>
    <n v="106"/>
    <n v="34"/>
    <n v="41"/>
    <n v="108"/>
    <n v="126"/>
    <n v="19"/>
    <n v="38"/>
    <n v="0"/>
    <n v="116"/>
    <n v="68"/>
    <n v="29"/>
    <n v="0"/>
    <n v="38"/>
    <n v="9"/>
    <n v="0"/>
    <n v="29"/>
    <n v="9"/>
    <n v="9"/>
    <n v="0"/>
    <n v="77"/>
    <n v="38"/>
    <n v="19"/>
    <n v="9"/>
    <n v="0"/>
    <n v="0"/>
    <n v="19"/>
    <n v="87"/>
    <n v="19"/>
    <n v="68"/>
    <n v="48"/>
    <n v="9"/>
    <n v="9"/>
    <n v="29"/>
    <n v="38"/>
    <n v="13"/>
    <n v="61.831000000000003"/>
    <n v="21150.32"/>
    <n v="16920.25"/>
    <n v="18612.28"/>
    <n v="15228.23"/>
    <n v="12690.19"/>
    <n v="36000"/>
    <n v="15000"/>
    <n v="12578"/>
    <n v="23522"/>
    <n v="41565"/>
    <n v="18624"/>
    <n v="12724"/>
    <n v="9545"/>
    <n v="106000"/>
    <n v="7082"/>
  </r>
  <r>
    <d v="2024-05-05T00:00:00"/>
    <x v="4"/>
    <n v="5"/>
    <n v="987"/>
    <n v="952"/>
    <n v="503"/>
    <n v="376"/>
    <n v="108"/>
    <n v="495"/>
    <n v="258"/>
    <n v="199"/>
    <n v="238"/>
    <n v="42"/>
    <n v="73"/>
    <n v="30"/>
    <n v="18"/>
    <n v="187"/>
    <n v="56"/>
    <n v="41"/>
    <n v="48"/>
    <n v="254"/>
    <n v="38"/>
    <n v="19"/>
    <n v="47"/>
    <n v="19"/>
    <n v="133"/>
    <n v="57"/>
    <n v="9"/>
    <n v="0"/>
    <n v="28"/>
    <n v="28"/>
    <n v="9"/>
    <n v="28"/>
    <n v="28"/>
    <n v="28"/>
    <n v="19"/>
    <n v="66"/>
    <n v="28"/>
    <n v="19"/>
    <n v="0"/>
    <n v="0"/>
    <n v="19"/>
    <n v="38"/>
    <n v="66"/>
    <n v="28"/>
    <n v="28"/>
    <n v="19"/>
    <n v="9"/>
    <n v="28"/>
    <n v="28"/>
    <n v="28"/>
    <n v="58"/>
    <n v="63.60199999999999"/>
    <n v="26496.05"/>
    <n v="16780.830000000002"/>
    <n v="9715.2199999999993"/>
    <n v="16780.830000000002"/>
    <n v="18547.240000000002"/>
    <n v="36000"/>
    <n v="15000"/>
    <n v="12578"/>
    <n v="23522"/>
    <n v="41565"/>
    <n v="18624"/>
    <n v="12724"/>
    <n v="9545"/>
    <n v="106000"/>
    <n v="6805"/>
  </r>
  <r>
    <d v="2024-05-06T00:00:00"/>
    <x v="4"/>
    <n v="5"/>
    <n v="971"/>
    <n v="927"/>
    <n v="446"/>
    <n v="409"/>
    <n v="116"/>
    <n v="333"/>
    <n v="520"/>
    <n v="74"/>
    <n v="228"/>
    <n v="198"/>
    <n v="78"/>
    <n v="30"/>
    <n v="42"/>
    <n v="199"/>
    <n v="125"/>
    <n v="47"/>
    <n v="18"/>
    <n v="6"/>
    <n v="92"/>
    <n v="27"/>
    <n v="55"/>
    <n v="0"/>
    <n v="105"/>
    <n v="74"/>
    <n v="18"/>
    <n v="9"/>
    <n v="46"/>
    <n v="9"/>
    <n v="0"/>
    <n v="27"/>
    <n v="27"/>
    <n v="18"/>
    <n v="0"/>
    <n v="92"/>
    <n v="9"/>
    <n v="18"/>
    <n v="9"/>
    <n v="0"/>
    <n v="0"/>
    <n v="27"/>
    <n v="83"/>
    <n v="9"/>
    <n v="55"/>
    <n v="27"/>
    <n v="9"/>
    <n v="46"/>
    <n v="18"/>
    <n v="18"/>
    <n v="0"/>
    <n v="64.869"/>
    <n v="23621.87"/>
    <n v="15445.07"/>
    <n v="22713.34"/>
    <n v="14536.54"/>
    <n v="14536.54"/>
    <n v="36000"/>
    <n v="15000"/>
    <n v="12578"/>
    <n v="23522"/>
    <n v="41565"/>
    <n v="18624"/>
    <n v="12724"/>
    <n v="9545"/>
    <n v="106000"/>
    <n v="4246"/>
  </r>
  <r>
    <d v="2024-05-07T00:00:00"/>
    <x v="4"/>
    <n v="5"/>
    <n v="946"/>
    <n v="900"/>
    <n v="340"/>
    <n v="408"/>
    <n v="198"/>
    <n v="324"/>
    <n v="414"/>
    <n v="162"/>
    <n v="252"/>
    <n v="82"/>
    <n v="46"/>
    <n v="35"/>
    <n v="29"/>
    <n v="158"/>
    <n v="46"/>
    <n v="39"/>
    <n v="28"/>
    <n v="231"/>
    <n v="108"/>
    <n v="18"/>
    <n v="63"/>
    <n v="0"/>
    <n v="18"/>
    <n v="63"/>
    <n v="0"/>
    <n v="27"/>
    <n v="18"/>
    <n v="27"/>
    <n v="9"/>
    <n v="45"/>
    <n v="18"/>
    <n v="9"/>
    <n v="9"/>
    <n v="36"/>
    <n v="54"/>
    <n v="45"/>
    <n v="27"/>
    <n v="9"/>
    <n v="9"/>
    <n v="9"/>
    <n v="63"/>
    <n v="27"/>
    <n v="45"/>
    <n v="36"/>
    <n v="9"/>
    <n v="36"/>
    <n v="27"/>
    <n v="36"/>
    <n v="0"/>
    <n v="65.548000000000002"/>
    <n v="25020.73"/>
    <n v="20387.259999999998"/>
    <n v="11120.32"/>
    <n v="23167.34"/>
    <n v="12973.71"/>
    <n v="36000"/>
    <n v="15000"/>
    <n v="12578"/>
    <n v="23522"/>
    <n v="41565"/>
    <n v="18624"/>
    <n v="12724"/>
    <n v="9545"/>
    <n v="106000"/>
    <n v="3141"/>
  </r>
  <r>
    <d v="2024-05-08T00:00:00"/>
    <x v="4"/>
    <n v="5"/>
    <n v="920"/>
    <n v="869"/>
    <n v="276"/>
    <n v="571"/>
    <n v="73"/>
    <n v="217"/>
    <n v="566"/>
    <n v="86"/>
    <n v="279"/>
    <n v="142"/>
    <n v="62"/>
    <n v="57"/>
    <n v="17"/>
    <n v="188"/>
    <n v="41"/>
    <n v="34"/>
    <n v="34"/>
    <n v="66"/>
    <n v="43"/>
    <n v="0"/>
    <n v="34"/>
    <n v="8"/>
    <n v="130"/>
    <n v="60"/>
    <n v="8"/>
    <n v="17"/>
    <n v="52"/>
    <n v="17"/>
    <n v="0"/>
    <n v="8"/>
    <n v="26"/>
    <n v="0"/>
    <n v="17"/>
    <n v="78"/>
    <n v="43"/>
    <n v="17"/>
    <n v="0"/>
    <n v="0"/>
    <n v="8"/>
    <n v="17"/>
    <n v="86"/>
    <n v="8"/>
    <n v="34"/>
    <n v="26"/>
    <n v="0"/>
    <n v="60"/>
    <n v="8"/>
    <n v="0"/>
    <n v="64"/>
    <n v="66.065999999999988"/>
    <n v="23410.1"/>
    <n v="21537.29"/>
    <n v="13109.65"/>
    <n v="12173.25"/>
    <n v="23410.1"/>
    <n v="36000"/>
    <n v="15000"/>
    <n v="12578"/>
    <n v="23522"/>
    <n v="41565"/>
    <n v="18624"/>
    <n v="12724"/>
    <n v="9545"/>
    <n v="106000"/>
    <n v="3806"/>
  </r>
  <r>
    <d v="2024-05-09T00:00:00"/>
    <x v="4"/>
    <n v="5"/>
    <n v="900"/>
    <n v="836"/>
    <n v="333"/>
    <n v="423"/>
    <n v="144"/>
    <n v="250"/>
    <n v="503"/>
    <n v="83"/>
    <n v="195"/>
    <n v="184"/>
    <n v="50"/>
    <n v="66"/>
    <n v="22"/>
    <n v="116"/>
    <n v="95"/>
    <n v="41"/>
    <n v="41"/>
    <n v="90"/>
    <n v="66"/>
    <n v="0"/>
    <n v="33"/>
    <n v="16"/>
    <n v="50"/>
    <n v="58"/>
    <n v="8"/>
    <n v="16"/>
    <n v="33"/>
    <n v="16"/>
    <n v="0"/>
    <n v="41"/>
    <n v="16"/>
    <n v="25"/>
    <n v="0"/>
    <n v="50"/>
    <n v="41"/>
    <n v="25"/>
    <n v="16"/>
    <n v="8"/>
    <n v="33"/>
    <n v="16"/>
    <n v="83"/>
    <n v="25"/>
    <n v="33"/>
    <n v="8"/>
    <n v="0"/>
    <n v="8"/>
    <n v="8"/>
    <n v="8"/>
    <n v="96"/>
    <n v="66.149999999999991"/>
    <n v="24536.11"/>
    <n v="15099.14"/>
    <n v="19817.62"/>
    <n v="12268.05"/>
    <n v="22648.71"/>
    <n v="36000"/>
    <n v="15000"/>
    <n v="12578"/>
    <n v="23522"/>
    <n v="41565"/>
    <n v="18624"/>
    <n v="12724"/>
    <n v="9545"/>
    <n v="106000"/>
    <n v="237"/>
  </r>
  <r>
    <d v="2024-05-10T00:00:00"/>
    <x v="4"/>
    <n v="5"/>
    <n v="886"/>
    <n v="801"/>
    <n v="336"/>
    <n v="426"/>
    <n v="124"/>
    <n v="384"/>
    <n v="369"/>
    <n v="48"/>
    <n v="154"/>
    <n v="186"/>
    <n v="82"/>
    <n v="76"/>
    <n v="54"/>
    <n v="171"/>
    <n v="63"/>
    <n v="50"/>
    <n v="50"/>
    <n v="0"/>
    <n v="48"/>
    <n v="24"/>
    <n v="32"/>
    <n v="24"/>
    <n v="73"/>
    <n v="64"/>
    <n v="8"/>
    <n v="16"/>
    <n v="24"/>
    <n v="0"/>
    <n v="8"/>
    <n v="16"/>
    <n v="24"/>
    <n v="24"/>
    <n v="8"/>
    <n v="72"/>
    <n v="8"/>
    <n v="8"/>
    <n v="24"/>
    <n v="8"/>
    <n v="8"/>
    <n v="32"/>
    <n v="80"/>
    <n v="16"/>
    <n v="56"/>
    <n v="40"/>
    <n v="8"/>
    <n v="24"/>
    <n v="16"/>
    <n v="8"/>
    <n v="0"/>
    <n v="66.058999999999997"/>
    <n v="30237.22"/>
    <n v="18898.259999999998"/>
    <n v="17008.439999999999"/>
    <n v="18898.259999999998"/>
    <n v="9449.1299999999992"/>
    <n v="36000"/>
    <n v="15000"/>
    <n v="12578"/>
    <n v="23522"/>
    <n v="41565"/>
    <n v="18624"/>
    <n v="12724"/>
    <n v="9545"/>
    <n v="106000"/>
    <n v="1292"/>
  </r>
  <r>
    <d v="2024-05-11T00:00:00"/>
    <x v="4"/>
    <n v="5"/>
    <n v="883"/>
    <n v="770"/>
    <n v="317"/>
    <n v="372"/>
    <n v="194"/>
    <n v="292"/>
    <n v="440"/>
    <n v="38"/>
    <n v="262"/>
    <n v="32"/>
    <n v="49"/>
    <n v="60"/>
    <n v="43"/>
    <n v="164"/>
    <n v="70"/>
    <n v="23"/>
    <n v="43"/>
    <n v="137"/>
    <n v="92"/>
    <n v="7"/>
    <n v="46"/>
    <n v="15"/>
    <n v="27"/>
    <n v="46"/>
    <n v="15"/>
    <n v="23"/>
    <n v="15"/>
    <n v="7"/>
    <n v="7"/>
    <n v="30"/>
    <n v="0"/>
    <n v="7"/>
    <n v="0"/>
    <n v="69"/>
    <n v="46"/>
    <n v="30"/>
    <n v="15"/>
    <n v="7"/>
    <n v="23"/>
    <n v="15"/>
    <n v="77"/>
    <n v="15"/>
    <n v="53"/>
    <n v="30"/>
    <n v="0"/>
    <n v="23"/>
    <n v="30"/>
    <n v="0"/>
    <n v="0"/>
    <n v="65.128"/>
    <n v="30198.28"/>
    <n v="13211.75"/>
    <n v="18873.919999999998"/>
    <n v="9436.9599999999991"/>
    <n v="22648.71"/>
    <n v="36000"/>
    <n v="15000"/>
    <n v="12578"/>
    <n v="23522"/>
    <n v="41565"/>
    <n v="18624"/>
    <n v="12724"/>
    <n v="9545"/>
    <n v="106000"/>
    <n v="2757"/>
  </r>
  <r>
    <d v="2024-05-12T00:00:00"/>
    <x v="4"/>
    <n v="5"/>
    <n v="882"/>
    <n v="737"/>
    <n v="379"/>
    <n v="283"/>
    <n v="220"/>
    <n v="353"/>
    <n v="244"/>
    <n v="140"/>
    <n v="235"/>
    <n v="60"/>
    <n v="82"/>
    <n v="76"/>
    <n v="43"/>
    <n v="134"/>
    <n v="77"/>
    <n v="43"/>
    <n v="50"/>
    <n v="82"/>
    <n v="29"/>
    <n v="0"/>
    <n v="29"/>
    <n v="14"/>
    <n v="81"/>
    <n v="58"/>
    <n v="14"/>
    <n v="22"/>
    <n v="29"/>
    <n v="0"/>
    <n v="0"/>
    <n v="7"/>
    <n v="14"/>
    <n v="22"/>
    <n v="7"/>
    <n v="51"/>
    <n v="36"/>
    <n v="29"/>
    <n v="0"/>
    <n v="7"/>
    <n v="7"/>
    <n v="7"/>
    <n v="58"/>
    <n v="14"/>
    <n v="58"/>
    <n v="7"/>
    <n v="7"/>
    <n v="22"/>
    <n v="29"/>
    <n v="7"/>
    <n v="72"/>
    <n v="63.595000000000006"/>
    <n v="31630.639999999999"/>
    <n v="15815.32"/>
    <n v="15815.32"/>
    <n v="13954.7"/>
    <n v="15815.32"/>
    <n v="36000"/>
    <n v="15000"/>
    <n v="12578"/>
    <n v="23522"/>
    <n v="41565"/>
    <n v="18624"/>
    <n v="12724"/>
    <n v="9545"/>
    <n v="106000"/>
    <n v="7275"/>
  </r>
  <r>
    <d v="2024-05-13T00:00:00"/>
    <x v="4"/>
    <n v="5"/>
    <n v="886"/>
    <n v="716"/>
    <n v="283"/>
    <n v="533"/>
    <n v="70"/>
    <n v="350"/>
    <n v="316"/>
    <n v="50"/>
    <n v="192"/>
    <n v="120"/>
    <n v="43"/>
    <n v="76"/>
    <n v="49"/>
    <n v="164"/>
    <n v="40"/>
    <n v="50"/>
    <n v="47"/>
    <n v="105"/>
    <n v="71"/>
    <n v="21"/>
    <n v="28"/>
    <n v="0"/>
    <n v="57"/>
    <n v="50"/>
    <n v="14"/>
    <n v="0"/>
    <n v="14"/>
    <n v="7"/>
    <n v="0"/>
    <n v="28"/>
    <n v="21"/>
    <n v="7"/>
    <n v="21"/>
    <n v="64"/>
    <n v="28"/>
    <n v="7"/>
    <n v="14"/>
    <n v="7"/>
    <n v="21"/>
    <n v="14"/>
    <n v="57"/>
    <n v="7"/>
    <n v="64"/>
    <n v="35"/>
    <n v="0"/>
    <n v="35"/>
    <n v="7"/>
    <n v="0"/>
    <n v="17"/>
    <n v="61.39"/>
    <n v="29979"/>
    <n v="14535.27"/>
    <n v="18169.09"/>
    <n v="17260.63"/>
    <n v="10901.45"/>
    <n v="36000"/>
    <n v="15000"/>
    <n v="12578"/>
    <n v="23522"/>
    <n v="41565"/>
    <n v="18624"/>
    <n v="12724"/>
    <n v="9545"/>
    <n v="106000"/>
    <n v="1646"/>
  </r>
  <r>
    <d v="2024-05-14T00:00:00"/>
    <x v="4"/>
    <n v="5"/>
    <n v="893"/>
    <n v="694"/>
    <n v="196"/>
    <n v="537"/>
    <n v="160"/>
    <n v="173"/>
    <n v="390"/>
    <n v="131"/>
    <n v="249"/>
    <n v="188"/>
    <n v="66"/>
    <n v="33"/>
    <n v="33"/>
    <n v="128"/>
    <n v="27"/>
    <n v="23"/>
    <n v="30"/>
    <n v="116"/>
    <n v="62"/>
    <n v="13"/>
    <n v="20"/>
    <n v="13"/>
    <n v="48"/>
    <n v="62"/>
    <n v="6"/>
    <n v="0"/>
    <n v="20"/>
    <n v="0"/>
    <n v="6"/>
    <n v="34"/>
    <n v="0"/>
    <n v="13"/>
    <n v="13"/>
    <n v="27"/>
    <n v="41"/>
    <n v="13"/>
    <n v="20"/>
    <n v="0"/>
    <n v="27"/>
    <n v="13"/>
    <n v="48"/>
    <n v="6"/>
    <n v="34"/>
    <n v="20"/>
    <n v="6"/>
    <n v="13"/>
    <n v="13"/>
    <n v="27"/>
    <n v="76"/>
    <n v="59.374000000000002"/>
    <n v="30694.28"/>
    <n v="18416.57"/>
    <n v="10523.75"/>
    <n v="7015.84"/>
    <n v="21047.51"/>
    <n v="36000"/>
    <n v="15000"/>
    <n v="12578"/>
    <n v="23522"/>
    <n v="41565"/>
    <n v="18624"/>
    <n v="12724"/>
    <n v="9545"/>
    <n v="106000"/>
    <n v="2343"/>
  </r>
  <r>
    <d v="2024-05-15T00:00:00"/>
    <x v="4"/>
    <n v="5"/>
    <n v="903"/>
    <n v="675"/>
    <n v="261"/>
    <n v="534"/>
    <n v="108"/>
    <n v="317"/>
    <n v="196"/>
    <n v="162"/>
    <n v="229"/>
    <n v="89"/>
    <n v="50"/>
    <n v="78"/>
    <n v="39"/>
    <n v="116"/>
    <n v="58"/>
    <n v="51"/>
    <n v="24"/>
    <n v="169"/>
    <n v="87"/>
    <n v="13"/>
    <n v="33"/>
    <n v="6"/>
    <n v="33"/>
    <n v="54"/>
    <n v="20"/>
    <n v="20"/>
    <n v="33"/>
    <n v="6"/>
    <n v="0"/>
    <n v="33"/>
    <n v="20"/>
    <n v="13"/>
    <n v="0"/>
    <n v="33"/>
    <n v="6"/>
    <n v="27"/>
    <n v="13"/>
    <n v="6"/>
    <n v="27"/>
    <n v="13"/>
    <n v="74"/>
    <n v="13"/>
    <n v="20"/>
    <n v="33"/>
    <n v="0"/>
    <n v="33"/>
    <n v="6"/>
    <n v="0"/>
    <n v="0"/>
    <n v="57.434999999999988"/>
    <n v="23745.71"/>
    <n v="15265.1"/>
    <n v="14417.04"/>
    <n v="7632.55"/>
    <n v="23745.71"/>
    <n v="32500"/>
    <n v="15000"/>
    <n v="12578"/>
    <n v="22807"/>
    <n v="41565"/>
    <n v="18624"/>
    <n v="12724"/>
    <n v="9545"/>
    <n v="106000"/>
    <n v="6116"/>
  </r>
  <r>
    <d v="2024-05-16T00:00:00"/>
    <x v="4"/>
    <n v="5"/>
    <n v="917"/>
    <n v="663"/>
    <n v="458"/>
    <n v="331"/>
    <n v="128"/>
    <n v="232"/>
    <n v="272"/>
    <n v="159"/>
    <n v="216"/>
    <n v="125"/>
    <n v="85"/>
    <n v="34"/>
    <n v="56"/>
    <n v="146"/>
    <n v="66"/>
    <n v="34"/>
    <n v="27"/>
    <n v="128"/>
    <n v="72"/>
    <n v="13"/>
    <n v="19"/>
    <n v="19"/>
    <n v="4"/>
    <n v="59"/>
    <n v="13"/>
    <n v="6"/>
    <n v="13"/>
    <n v="19"/>
    <n v="6"/>
    <n v="13"/>
    <n v="19"/>
    <n v="19"/>
    <n v="19"/>
    <n v="26"/>
    <n v="46"/>
    <n v="6"/>
    <n v="6"/>
    <n v="6"/>
    <n v="19"/>
    <n v="6"/>
    <n v="66"/>
    <n v="19"/>
    <n v="46"/>
    <n v="6"/>
    <n v="0"/>
    <n v="46"/>
    <n v="26"/>
    <n v="26"/>
    <n v="0"/>
    <n v="56.518000000000001"/>
    <n v="22152.71"/>
    <n v="16409.41"/>
    <n v="9845.65"/>
    <n v="9845.65"/>
    <n v="23793.65"/>
    <n v="32500"/>
    <n v="15000"/>
    <n v="10445"/>
    <n v="22807"/>
    <n v="41565"/>
    <n v="18624"/>
    <n v="12724"/>
    <n v="9545"/>
    <n v="106000"/>
    <n v="2910"/>
  </r>
  <r>
    <d v="2024-05-17T00:00:00"/>
    <x v="4"/>
    <n v="5"/>
    <n v="937"/>
    <n v="653"/>
    <n v="309"/>
    <n v="413"/>
    <n v="215"/>
    <n v="287"/>
    <n v="275"/>
    <n v="91"/>
    <n v="249"/>
    <n v="52"/>
    <n v="58"/>
    <n v="40"/>
    <n v="46"/>
    <n v="170"/>
    <n v="28"/>
    <n v="42"/>
    <n v="28"/>
    <n v="224"/>
    <n v="32"/>
    <n v="13"/>
    <n v="19"/>
    <n v="19"/>
    <n v="52"/>
    <n v="52"/>
    <n v="0"/>
    <n v="0"/>
    <n v="19"/>
    <n v="19"/>
    <n v="6"/>
    <n v="6"/>
    <n v="0"/>
    <n v="19"/>
    <n v="0"/>
    <n v="39"/>
    <n v="32"/>
    <n v="19"/>
    <n v="19"/>
    <n v="6"/>
    <n v="13"/>
    <n v="6"/>
    <n v="65"/>
    <n v="13"/>
    <n v="45"/>
    <n v="32"/>
    <n v="0"/>
    <n v="45"/>
    <n v="0"/>
    <n v="0"/>
    <n v="63"/>
    <n v="56.189"/>
    <n v="28256.639999999999"/>
    <n v="11302.66"/>
    <n v="18568.650000000001"/>
    <n v="19375.98"/>
    <n v="3229.33"/>
    <n v="32500"/>
    <n v="15000"/>
    <n v="10445"/>
    <n v="22807"/>
    <n v="41565"/>
    <n v="18624"/>
    <n v="12724"/>
    <n v="9545"/>
    <n v="106000"/>
    <n v="4818"/>
  </r>
  <r>
    <d v="2024-05-18T00:00:00"/>
    <x v="4"/>
    <n v="5"/>
    <n v="957"/>
    <n v="649"/>
    <n v="191"/>
    <n v="575"/>
    <n v="191"/>
    <n v="227"/>
    <n v="299"/>
    <n v="123"/>
    <n v="290"/>
    <n v="106"/>
    <n v="53"/>
    <n v="77"/>
    <n v="59"/>
    <n v="200"/>
    <n v="69"/>
    <n v="25"/>
    <n v="29"/>
    <n v="49"/>
    <n v="58"/>
    <n v="0"/>
    <n v="32"/>
    <n v="19"/>
    <n v="64"/>
    <n v="45"/>
    <n v="19"/>
    <n v="19"/>
    <n v="19"/>
    <n v="19"/>
    <n v="0"/>
    <n v="25"/>
    <n v="12"/>
    <n v="6"/>
    <n v="0"/>
    <n v="64"/>
    <n v="38"/>
    <n v="25"/>
    <n v="19"/>
    <n v="6"/>
    <n v="19"/>
    <n v="6"/>
    <n v="45"/>
    <n v="12"/>
    <n v="25"/>
    <n v="12"/>
    <n v="0"/>
    <n v="6"/>
    <n v="0"/>
    <n v="19"/>
    <n v="16"/>
    <n v="56.258999999999993"/>
    <n v="22471.83"/>
    <n v="17656.439999999999"/>
    <n v="11235.91"/>
    <n v="14446.18"/>
    <n v="14446.18"/>
    <n v="32500"/>
    <n v="15000"/>
    <n v="10445"/>
    <n v="22807"/>
    <n v="41565"/>
    <n v="18624"/>
    <n v="12724"/>
    <n v="9545"/>
    <n v="106000"/>
    <n v="6654"/>
  </r>
  <r>
    <d v="2024-05-19T00:00:00"/>
    <x v="4"/>
    <n v="5"/>
    <n v="982"/>
    <n v="645"/>
    <n v="314"/>
    <n v="600"/>
    <n v="68"/>
    <n v="187"/>
    <n v="368"/>
    <n v="90"/>
    <n v="243"/>
    <n v="115"/>
    <n v="85"/>
    <n v="60"/>
    <n v="30"/>
    <n v="160"/>
    <n v="55"/>
    <n v="55"/>
    <n v="52"/>
    <n v="127"/>
    <n v="32"/>
    <n v="0"/>
    <n v="45"/>
    <n v="6"/>
    <n v="103"/>
    <n v="32"/>
    <n v="19"/>
    <n v="0"/>
    <n v="19"/>
    <n v="12"/>
    <n v="0"/>
    <n v="19"/>
    <n v="0"/>
    <n v="6"/>
    <n v="19"/>
    <n v="38"/>
    <n v="25"/>
    <n v="6"/>
    <n v="12"/>
    <n v="6"/>
    <n v="12"/>
    <n v="6"/>
    <n v="51"/>
    <n v="12"/>
    <n v="51"/>
    <n v="6"/>
    <n v="6"/>
    <n v="19"/>
    <n v="0"/>
    <n v="6"/>
    <n v="77"/>
    <n v="56.67199999999999"/>
    <n v="20093.91"/>
    <n v="19290.150000000001"/>
    <n v="15271.37"/>
    <n v="17682.64"/>
    <n v="8037.56"/>
    <n v="32500"/>
    <n v="15000"/>
    <n v="10445"/>
    <n v="22807"/>
    <n v="41565"/>
    <n v="18624"/>
    <n v="12724"/>
    <n v="9545"/>
    <n v="106000"/>
    <n v="2045"/>
  </r>
  <r>
    <d v="2024-05-20T00:00:00"/>
    <x v="4"/>
    <n v="5"/>
    <n v="1007"/>
    <n v="648"/>
    <n v="281"/>
    <n v="485"/>
    <n v="241"/>
    <n v="174"/>
    <n v="319"/>
    <n v="155"/>
    <n v="268"/>
    <n v="81"/>
    <n v="49"/>
    <n v="31"/>
    <n v="24"/>
    <n v="172"/>
    <n v="49"/>
    <n v="34"/>
    <n v="34"/>
    <n v="265"/>
    <n v="90"/>
    <n v="19"/>
    <n v="25"/>
    <n v="19"/>
    <n v="24"/>
    <n v="58"/>
    <n v="12"/>
    <n v="6"/>
    <n v="32"/>
    <n v="6"/>
    <n v="0"/>
    <n v="12"/>
    <n v="19"/>
    <n v="12"/>
    <n v="6"/>
    <n v="45"/>
    <n v="25"/>
    <n v="32"/>
    <n v="6"/>
    <n v="0"/>
    <n v="12"/>
    <n v="12"/>
    <n v="51"/>
    <n v="12"/>
    <n v="25"/>
    <n v="19"/>
    <n v="0"/>
    <n v="32"/>
    <n v="12"/>
    <n v="25"/>
    <n v="0"/>
    <n v="57.26"/>
    <n v="20242.8"/>
    <n v="20242.8"/>
    <n v="15384.53"/>
    <n v="10526.26"/>
    <n v="14574.81"/>
    <n v="32500"/>
    <n v="15000"/>
    <n v="10445"/>
    <n v="22807"/>
    <n v="41565"/>
    <n v="18624"/>
    <n v="12724"/>
    <n v="9545"/>
    <n v="106000"/>
    <n v="1796"/>
  </r>
  <r>
    <d v="2024-05-21T00:00:00"/>
    <x v="4"/>
    <n v="5"/>
    <n v="1032"/>
    <n v="652"/>
    <n v="361"/>
    <n v="537"/>
    <n v="134"/>
    <n v="345"/>
    <n v="171"/>
    <n v="136"/>
    <n v="266"/>
    <n v="217"/>
    <n v="89"/>
    <n v="76"/>
    <n v="57"/>
    <n v="211"/>
    <n v="27"/>
    <n v="31"/>
    <n v="58"/>
    <n v="0"/>
    <n v="52"/>
    <n v="6"/>
    <n v="19"/>
    <n v="19"/>
    <n v="71"/>
    <n v="32"/>
    <n v="6"/>
    <n v="0"/>
    <n v="13"/>
    <n v="0"/>
    <n v="6"/>
    <n v="32"/>
    <n v="0"/>
    <n v="19"/>
    <n v="6"/>
    <n v="52"/>
    <n v="26"/>
    <n v="19"/>
    <n v="0"/>
    <n v="0"/>
    <n v="19"/>
    <n v="13"/>
    <n v="52"/>
    <n v="6"/>
    <n v="26"/>
    <n v="26"/>
    <n v="6"/>
    <n v="26"/>
    <n v="26"/>
    <n v="26"/>
    <n v="48"/>
    <n v="58.267999999999994"/>
    <n v="27813.97"/>
    <n v="12270.87"/>
    <n v="9816.69"/>
    <n v="11452.81"/>
    <n v="20451.45"/>
    <n v="32500"/>
    <n v="15000"/>
    <n v="10445"/>
    <n v="22807"/>
    <n v="41565"/>
    <n v="18624"/>
    <n v="12724"/>
    <n v="9545"/>
    <n v="106000"/>
    <n v="4643"/>
  </r>
  <r>
    <d v="2024-05-22T00:00:00"/>
    <x v="4"/>
    <n v="5"/>
    <n v="1058"/>
    <n v="665"/>
    <n v="476"/>
    <n v="318"/>
    <n v="264"/>
    <n v="246"/>
    <n v="366"/>
    <n v="53"/>
    <n v="275"/>
    <n v="229"/>
    <n v="52"/>
    <n v="78"/>
    <n v="26"/>
    <n v="192"/>
    <n v="100"/>
    <n v="40"/>
    <n v="20"/>
    <n v="46"/>
    <n v="59"/>
    <n v="0"/>
    <n v="39"/>
    <n v="6"/>
    <n v="59"/>
    <n v="59"/>
    <n v="19"/>
    <n v="13"/>
    <n v="39"/>
    <n v="0"/>
    <n v="6"/>
    <n v="26"/>
    <n v="19"/>
    <n v="6"/>
    <n v="13"/>
    <n v="59"/>
    <n v="13"/>
    <n v="19"/>
    <n v="6"/>
    <n v="6"/>
    <n v="26"/>
    <n v="6"/>
    <n v="46"/>
    <n v="19"/>
    <n v="39"/>
    <n v="6"/>
    <n v="0"/>
    <n v="19"/>
    <n v="19"/>
    <n v="6"/>
    <n v="13"/>
    <n v="59.521000000000001"/>
    <n v="26636.3"/>
    <n v="14150.53"/>
    <n v="10821"/>
    <n v="13318.15"/>
    <n v="18312.45"/>
    <n v="32500"/>
    <n v="15000"/>
    <n v="10445"/>
    <n v="22807"/>
    <n v="41565"/>
    <n v="18624"/>
    <n v="12724"/>
    <n v="9545"/>
    <n v="106000"/>
    <n v="4422"/>
  </r>
  <r>
    <d v="2024-05-23T00:00:00"/>
    <x v="4"/>
    <n v="5"/>
    <n v="1080"/>
    <n v="678"/>
    <n v="518"/>
    <n v="411"/>
    <n v="151"/>
    <n v="176"/>
    <n v="469"/>
    <n v="33"/>
    <n v="261"/>
    <n v="120"/>
    <n v="73"/>
    <n v="73"/>
    <n v="20"/>
    <n v="139"/>
    <n v="41"/>
    <n v="36"/>
    <n v="53"/>
    <n v="264"/>
    <n v="33"/>
    <n v="0"/>
    <n v="20"/>
    <n v="6"/>
    <n v="61"/>
    <n v="54"/>
    <n v="0"/>
    <n v="0"/>
    <n v="40"/>
    <n v="20"/>
    <n v="6"/>
    <n v="6"/>
    <n v="6"/>
    <n v="0"/>
    <n v="6"/>
    <n v="33"/>
    <n v="13"/>
    <n v="6"/>
    <n v="20"/>
    <n v="6"/>
    <n v="13"/>
    <n v="20"/>
    <n v="47"/>
    <n v="6"/>
    <n v="20"/>
    <n v="13"/>
    <n v="6"/>
    <n v="40"/>
    <n v="27"/>
    <n v="6"/>
    <n v="144"/>
    <n v="61.039999999999992"/>
    <n v="27210.639999999999"/>
    <n v="16156.32"/>
    <n v="21258.31"/>
    <n v="11054.32"/>
    <n v="9353.66"/>
    <n v="32500"/>
    <n v="15000"/>
    <n v="10445"/>
    <n v="22807"/>
    <n v="41565"/>
    <n v="18624"/>
    <n v="12724"/>
    <n v="9545"/>
    <n v="106000"/>
    <n v="1630"/>
  </r>
  <r>
    <d v="2024-05-24T00:00:00"/>
    <x v="4"/>
    <n v="5"/>
    <n v="1101"/>
    <n v="696"/>
    <n v="275"/>
    <n v="661"/>
    <n v="165"/>
    <n v="215"/>
    <n v="433"/>
    <n v="48"/>
    <n v="368"/>
    <n v="102"/>
    <n v="54"/>
    <n v="40"/>
    <n v="61"/>
    <n v="146"/>
    <n v="104"/>
    <n v="62"/>
    <n v="20"/>
    <n v="144"/>
    <n v="27"/>
    <n v="0"/>
    <n v="48"/>
    <n v="6"/>
    <n v="69"/>
    <n v="55"/>
    <n v="20"/>
    <n v="13"/>
    <n v="20"/>
    <n v="20"/>
    <n v="0"/>
    <n v="34"/>
    <n v="20"/>
    <n v="0"/>
    <n v="20"/>
    <n v="34"/>
    <n v="13"/>
    <n v="13"/>
    <n v="6"/>
    <n v="0"/>
    <n v="6"/>
    <n v="13"/>
    <n v="48"/>
    <n v="6"/>
    <n v="41"/>
    <n v="27"/>
    <n v="6"/>
    <n v="20"/>
    <n v="13"/>
    <n v="6"/>
    <n v="92"/>
    <n v="63.307999999999993"/>
    <n v="25285.97"/>
    <n v="18310.53"/>
    <n v="16566.669999999998"/>
    <n v="18310.53"/>
    <n v="8719.2999999999993"/>
    <n v="32500"/>
    <n v="15000"/>
    <n v="10445"/>
    <n v="17748"/>
    <n v="41565"/>
    <n v="18624"/>
    <n v="12724"/>
    <n v="9545"/>
    <n v="106000"/>
    <n v="5885"/>
  </r>
  <r>
    <d v="2024-05-25T00:00:00"/>
    <x v="4"/>
    <n v="5"/>
    <n v="1115"/>
    <n v="725"/>
    <n v="579"/>
    <n v="369"/>
    <n v="167"/>
    <n v="319"/>
    <n v="232"/>
    <n v="174"/>
    <n v="212"/>
    <n v="235"/>
    <n v="103"/>
    <n v="89"/>
    <n v="41"/>
    <n v="199"/>
    <n v="144"/>
    <n v="29"/>
    <n v="63"/>
    <n v="0"/>
    <n v="58"/>
    <n v="21"/>
    <n v="43"/>
    <n v="14"/>
    <n v="26"/>
    <n v="50"/>
    <n v="7"/>
    <n v="21"/>
    <n v="36"/>
    <n v="0"/>
    <n v="0"/>
    <n v="36"/>
    <n v="21"/>
    <n v="7"/>
    <n v="21"/>
    <n v="29"/>
    <n v="14"/>
    <n v="36"/>
    <n v="21"/>
    <n v="0"/>
    <n v="29"/>
    <n v="21"/>
    <n v="72"/>
    <n v="21"/>
    <n v="58"/>
    <n v="7"/>
    <n v="7"/>
    <n v="21"/>
    <n v="7"/>
    <n v="21"/>
    <n v="0"/>
    <n v="65.52000000000001"/>
    <n v="30750.66"/>
    <n v="18993.05"/>
    <n v="13566.47"/>
    <n v="18088.62"/>
    <n v="9044.31"/>
    <n v="32500"/>
    <n v="15000"/>
    <n v="10445"/>
    <n v="17748"/>
    <n v="41565"/>
    <n v="18624"/>
    <n v="12724"/>
    <n v="9545"/>
    <n v="106000"/>
    <n v="912"/>
  </r>
  <r>
    <d v="2024-05-26T00:00:00"/>
    <x v="4"/>
    <n v="5"/>
    <n v="1127"/>
    <n v="753"/>
    <n v="439"/>
    <n v="621"/>
    <n v="67"/>
    <n v="293"/>
    <n v="385"/>
    <n v="75"/>
    <n v="332"/>
    <n v="167"/>
    <n v="97"/>
    <n v="90"/>
    <n v="41"/>
    <n v="192"/>
    <n v="98"/>
    <n v="51"/>
    <n v="59"/>
    <n v="0"/>
    <n v="90"/>
    <n v="22"/>
    <n v="22"/>
    <n v="22"/>
    <n v="67"/>
    <n v="45"/>
    <n v="0"/>
    <n v="7"/>
    <n v="15"/>
    <n v="22"/>
    <n v="0"/>
    <n v="7"/>
    <n v="15"/>
    <n v="15"/>
    <n v="15"/>
    <n v="30"/>
    <n v="15"/>
    <n v="37"/>
    <n v="0"/>
    <n v="7"/>
    <n v="7"/>
    <n v="15"/>
    <n v="75"/>
    <n v="22"/>
    <n v="60"/>
    <n v="22"/>
    <n v="7"/>
    <n v="7"/>
    <n v="30"/>
    <n v="15"/>
    <n v="40"/>
    <n v="67.710999999999999"/>
    <n v="29948.03"/>
    <n v="12166.39"/>
    <n v="21525.14"/>
    <n v="16845.759999999998"/>
    <n v="13102.26"/>
    <n v="32500"/>
    <n v="15000"/>
    <n v="10445"/>
    <n v="17748"/>
    <n v="41565"/>
    <n v="18624"/>
    <n v="12724"/>
    <n v="9545"/>
    <n v="106000"/>
    <n v="1520"/>
  </r>
  <r>
    <d v="2024-05-27T00:00:00"/>
    <x v="4"/>
    <n v="5"/>
    <n v="1134"/>
    <n v="785"/>
    <n v="351"/>
    <n v="545"/>
    <n v="238"/>
    <n v="251"/>
    <n v="354"/>
    <n v="180"/>
    <n v="246"/>
    <n v="63"/>
    <n v="84"/>
    <n v="63"/>
    <n v="14"/>
    <n v="232"/>
    <n v="25"/>
    <n v="30"/>
    <n v="43"/>
    <n v="334"/>
    <n v="102"/>
    <n v="0"/>
    <n v="54"/>
    <n v="23"/>
    <n v="102"/>
    <n v="39"/>
    <n v="7"/>
    <n v="0"/>
    <n v="23"/>
    <n v="0"/>
    <n v="7"/>
    <n v="7"/>
    <n v="7"/>
    <n v="0"/>
    <n v="7"/>
    <n v="70"/>
    <n v="47"/>
    <n v="39"/>
    <n v="7"/>
    <n v="0"/>
    <n v="0"/>
    <n v="7"/>
    <n v="86"/>
    <n v="7"/>
    <n v="39"/>
    <n v="7"/>
    <n v="0"/>
    <n v="47"/>
    <n v="15"/>
    <n v="0"/>
    <n v="36"/>
    <n v="69.768999999999991"/>
    <n v="25153.93"/>
    <n v="17414.259999999998"/>
    <n v="15479.34"/>
    <n v="17414.259999999998"/>
    <n v="21284.1"/>
    <n v="32500"/>
    <n v="15000"/>
    <n v="10445"/>
    <n v="17748"/>
    <n v="41565"/>
    <n v="18624"/>
    <n v="12724"/>
    <n v="9545"/>
    <n v="106000"/>
    <n v="6339"/>
  </r>
  <r>
    <d v="2024-05-28T00:00:00"/>
    <x v="4"/>
    <n v="5"/>
    <n v="1138"/>
    <n v="821"/>
    <n v="295"/>
    <n v="696"/>
    <n v="147"/>
    <n v="188"/>
    <n v="445"/>
    <n v="188"/>
    <n v="246"/>
    <n v="91"/>
    <n v="77"/>
    <n v="91"/>
    <n v="14"/>
    <n v="216"/>
    <n v="60"/>
    <n v="64"/>
    <n v="47"/>
    <n v="232"/>
    <n v="82"/>
    <n v="24"/>
    <n v="57"/>
    <n v="0"/>
    <n v="52"/>
    <n v="41"/>
    <n v="0"/>
    <n v="24"/>
    <n v="16"/>
    <n v="24"/>
    <n v="8"/>
    <n v="8"/>
    <n v="8"/>
    <n v="24"/>
    <n v="16"/>
    <n v="73"/>
    <n v="8"/>
    <n v="41"/>
    <n v="16"/>
    <n v="0"/>
    <n v="24"/>
    <n v="16"/>
    <n v="73"/>
    <n v="24"/>
    <n v="49"/>
    <n v="24"/>
    <n v="8"/>
    <n v="49"/>
    <n v="16"/>
    <n v="16"/>
    <n v="0"/>
    <n v="71.651999999999987"/>
    <n v="32892.33"/>
    <n v="19934.75"/>
    <n v="24918.43"/>
    <n v="11960.85"/>
    <n v="9967.3700000000008"/>
    <n v="32500"/>
    <n v="15000"/>
    <n v="10445"/>
    <n v="17748"/>
    <n v="41565"/>
    <n v="18624"/>
    <n v="12724"/>
    <n v="9545"/>
    <n v="106000"/>
    <n v="8089"/>
  </r>
  <r>
    <d v="2024-05-29T00:00:00"/>
    <x v="4"/>
    <n v="5"/>
    <n v="1139"/>
    <n v="854"/>
    <n v="250"/>
    <n v="628"/>
    <n v="261"/>
    <n v="427"/>
    <n v="359"/>
    <n v="68"/>
    <n v="388"/>
    <n v="56"/>
    <n v="105"/>
    <n v="91"/>
    <n v="63"/>
    <n v="173"/>
    <n v="125"/>
    <n v="30"/>
    <n v="30"/>
    <n v="78"/>
    <n v="119"/>
    <n v="25"/>
    <n v="34"/>
    <n v="17"/>
    <n v="3"/>
    <n v="76"/>
    <n v="25"/>
    <n v="25"/>
    <n v="34"/>
    <n v="25"/>
    <n v="0"/>
    <n v="42"/>
    <n v="8"/>
    <n v="17"/>
    <n v="0"/>
    <n v="34"/>
    <n v="17"/>
    <n v="25"/>
    <n v="17"/>
    <n v="0"/>
    <n v="0"/>
    <n v="25"/>
    <n v="76"/>
    <n v="25"/>
    <n v="76"/>
    <n v="42"/>
    <n v="8"/>
    <n v="17"/>
    <n v="25"/>
    <n v="17"/>
    <n v="0"/>
    <n v="73.283000000000001"/>
    <n v="26615.66"/>
    <n v="23544.62"/>
    <n v="20473.580000000002"/>
    <n v="14331.51"/>
    <n v="17402.54"/>
    <n v="32500"/>
    <n v="15000"/>
    <n v="10445"/>
    <n v="17748"/>
    <n v="41565"/>
    <n v="18624"/>
    <n v="12724"/>
    <n v="9545"/>
    <n v="106000"/>
    <n v="740"/>
  </r>
  <r>
    <d v="2024-05-30T00:00:00"/>
    <x v="4"/>
    <n v="5"/>
    <n v="1139"/>
    <n v="888"/>
    <n v="307"/>
    <n v="696"/>
    <n v="136"/>
    <n v="390"/>
    <n v="427"/>
    <n v="71"/>
    <n v="247"/>
    <n v="91"/>
    <n v="105"/>
    <n v="105"/>
    <n v="49"/>
    <n v="160"/>
    <n v="30"/>
    <n v="51"/>
    <n v="43"/>
    <n v="258"/>
    <n v="88"/>
    <n v="0"/>
    <n v="53"/>
    <n v="17"/>
    <n v="44"/>
    <n v="79"/>
    <n v="8"/>
    <n v="8"/>
    <n v="26"/>
    <n v="8"/>
    <n v="0"/>
    <n v="35"/>
    <n v="17"/>
    <n v="17"/>
    <n v="17"/>
    <n v="71"/>
    <n v="62"/>
    <n v="8"/>
    <n v="26"/>
    <n v="0"/>
    <n v="8"/>
    <n v="17"/>
    <n v="97"/>
    <n v="17"/>
    <n v="62"/>
    <n v="8"/>
    <n v="8"/>
    <n v="26"/>
    <n v="26"/>
    <n v="35"/>
    <n v="0"/>
    <n v="74.199999999999989"/>
    <n v="33504.870000000003"/>
    <n v="20940.54"/>
    <n v="19893.509999999998"/>
    <n v="16752.43"/>
    <n v="13611.35"/>
    <n v="32500"/>
    <n v="15000"/>
    <n v="10445"/>
    <n v="17748"/>
    <n v="41565"/>
    <n v="18624"/>
    <n v="12724"/>
    <n v="9545"/>
    <n v="106000"/>
    <n v="5110"/>
  </r>
  <r>
    <d v="2024-05-31T00:00:00"/>
    <x v="4"/>
    <n v="5"/>
    <n v="1131"/>
    <n v="913"/>
    <n v="294"/>
    <n v="679"/>
    <n v="158"/>
    <n v="365"/>
    <n v="475"/>
    <n v="73"/>
    <n v="329"/>
    <n v="224"/>
    <n v="49"/>
    <n v="35"/>
    <n v="14"/>
    <n v="184"/>
    <n v="34"/>
    <n v="38"/>
    <n v="38"/>
    <n v="186"/>
    <n v="109"/>
    <n v="18"/>
    <n v="63"/>
    <n v="18"/>
    <n v="118"/>
    <n v="82"/>
    <n v="9"/>
    <n v="0"/>
    <n v="18"/>
    <n v="0"/>
    <n v="0"/>
    <n v="45"/>
    <n v="18"/>
    <n v="9"/>
    <n v="27"/>
    <n v="36"/>
    <n v="36"/>
    <n v="18"/>
    <n v="0"/>
    <n v="0"/>
    <n v="36"/>
    <n v="9"/>
    <n v="63"/>
    <n v="9"/>
    <n v="27"/>
    <n v="18"/>
    <n v="9"/>
    <n v="18"/>
    <n v="9"/>
    <n v="0"/>
    <n v="91"/>
    <n v="74.199999999999989"/>
    <n v="26500"/>
    <n v="25440"/>
    <n v="15900"/>
    <n v="10600"/>
    <n v="27560"/>
    <n v="32500"/>
    <n v="15000"/>
    <n v="10445"/>
    <n v="17748"/>
    <n v="41565"/>
    <n v="18624"/>
    <n v="12724"/>
    <n v="9545"/>
    <n v="106000"/>
    <n v="7704"/>
  </r>
  <r>
    <d v="2024-06-01T00:00:00"/>
    <x v="5"/>
    <n v="6"/>
    <n v="1117"/>
    <n v="833"/>
    <n v="569"/>
    <n v="314"/>
    <n v="234"/>
    <n v="166"/>
    <n v="626"/>
    <n v="41"/>
    <n v="339"/>
    <n v="145"/>
    <n v="103"/>
    <n v="83"/>
    <n v="62"/>
    <n v="195"/>
    <n v="76"/>
    <n v="29"/>
    <n v="29"/>
    <n v="56"/>
    <n v="58"/>
    <n v="16"/>
    <n v="33"/>
    <n v="8"/>
    <n v="73"/>
    <n v="41"/>
    <n v="8"/>
    <n v="0"/>
    <n v="16"/>
    <n v="8"/>
    <n v="0"/>
    <n v="33"/>
    <n v="24"/>
    <n v="24"/>
    <n v="0"/>
    <n v="58"/>
    <n v="58"/>
    <n v="16"/>
    <n v="8"/>
    <n v="8"/>
    <n v="24"/>
    <n v="24"/>
    <n v="66"/>
    <n v="8"/>
    <n v="66"/>
    <n v="41"/>
    <n v="8"/>
    <n v="49"/>
    <n v="24"/>
    <n v="33"/>
    <n v="0"/>
    <n v="105.33999999999999"/>
    <n v="26500"/>
    <n v="25440"/>
    <n v="15900"/>
    <n v="10600"/>
    <n v="27560"/>
    <n v="32500"/>
    <n v="13750"/>
    <n v="10445"/>
    <n v="17748"/>
    <n v="48286"/>
    <n v="22765"/>
    <n v="21425"/>
    <n v="11977"/>
    <n v="126000"/>
    <n v="5089"/>
  </r>
  <r>
    <d v="2024-06-02T00:00:00"/>
    <x v="5"/>
    <n v="6"/>
    <n v="1093"/>
    <n v="846"/>
    <n v="327"/>
    <n v="635"/>
    <n v="131"/>
    <n v="253"/>
    <n v="526"/>
    <n v="67"/>
    <n v="352"/>
    <n v="74"/>
    <n v="81"/>
    <n v="47"/>
    <n v="33"/>
    <n v="199"/>
    <n v="37"/>
    <n v="58"/>
    <n v="49"/>
    <n v="163"/>
    <n v="42"/>
    <n v="8"/>
    <n v="59"/>
    <n v="8"/>
    <n v="67"/>
    <n v="42"/>
    <n v="8"/>
    <n v="8"/>
    <n v="16"/>
    <n v="0"/>
    <n v="8"/>
    <n v="25"/>
    <n v="16"/>
    <n v="16"/>
    <n v="25"/>
    <n v="67"/>
    <n v="8"/>
    <n v="25"/>
    <n v="16"/>
    <n v="0"/>
    <n v="33"/>
    <n v="16"/>
    <n v="59"/>
    <n v="8"/>
    <n v="25"/>
    <n v="16"/>
    <n v="8"/>
    <n v="50"/>
    <n v="16"/>
    <n v="0"/>
    <n v="151"/>
    <n v="105.19999999999999"/>
    <n v="26333.38"/>
    <n v="21066.7"/>
    <n v="15800.03"/>
    <n v="8426.68"/>
    <n v="33706.720000000001"/>
    <n v="32500"/>
    <n v="13750"/>
    <n v="8809"/>
    <n v="17748"/>
    <n v="48286"/>
    <n v="22765"/>
    <n v="21425"/>
    <n v="11977"/>
    <n v="126000"/>
    <n v="210"/>
  </r>
  <r>
    <d v="2024-06-03T00:00:00"/>
    <x v="5"/>
    <n v="6"/>
    <n v="1063"/>
    <n v="856"/>
    <n v="255"/>
    <n v="575"/>
    <n v="233"/>
    <n v="222"/>
    <n v="583"/>
    <n v="51"/>
    <n v="316"/>
    <n v="230"/>
    <n v="65"/>
    <n v="85"/>
    <n v="32"/>
    <n v="193"/>
    <n v="48"/>
    <n v="44"/>
    <n v="20"/>
    <n v="30"/>
    <n v="119"/>
    <n v="25"/>
    <n v="34"/>
    <n v="17"/>
    <n v="94"/>
    <n v="51"/>
    <n v="17"/>
    <n v="8"/>
    <n v="17"/>
    <n v="0"/>
    <n v="0"/>
    <n v="42"/>
    <n v="0"/>
    <n v="0"/>
    <n v="8"/>
    <n v="51"/>
    <n v="17"/>
    <n v="25"/>
    <n v="17"/>
    <n v="8"/>
    <n v="0"/>
    <n v="34"/>
    <n v="59"/>
    <n v="17"/>
    <n v="77"/>
    <n v="42"/>
    <n v="0"/>
    <n v="34"/>
    <n v="17"/>
    <n v="0"/>
    <n v="26"/>
    <n v="105.33"/>
    <n v="26300.43"/>
    <n v="16832.27"/>
    <n v="13676.22"/>
    <n v="19988.32"/>
    <n v="28404.46"/>
    <n v="32500"/>
    <n v="13750"/>
    <n v="8809"/>
    <n v="17748"/>
    <n v="48286"/>
    <n v="22765"/>
    <n v="21425"/>
    <n v="11977"/>
    <n v="126000"/>
    <n v="4036"/>
  </r>
  <r>
    <d v="2024-06-04T00:00:00"/>
    <x v="5"/>
    <n v="6"/>
    <n v="1045"/>
    <n v="859"/>
    <n v="292"/>
    <n v="555"/>
    <n v="198"/>
    <n v="300"/>
    <n v="448"/>
    <n v="111"/>
    <n v="233"/>
    <n v="207"/>
    <n v="84"/>
    <n v="84"/>
    <n v="38"/>
    <n v="162"/>
    <n v="55"/>
    <n v="51"/>
    <n v="31"/>
    <n v="100"/>
    <n v="51"/>
    <n v="8"/>
    <n v="34"/>
    <n v="25"/>
    <n v="68"/>
    <n v="60"/>
    <n v="25"/>
    <n v="8"/>
    <n v="34"/>
    <n v="17"/>
    <n v="0"/>
    <n v="8"/>
    <n v="0"/>
    <n v="17"/>
    <n v="17"/>
    <n v="34"/>
    <n v="8"/>
    <n v="17"/>
    <n v="25"/>
    <n v="0"/>
    <n v="8"/>
    <n v="8"/>
    <n v="94"/>
    <n v="8"/>
    <n v="42"/>
    <n v="34"/>
    <n v="8"/>
    <n v="42"/>
    <n v="0"/>
    <n v="34"/>
    <n v="125"/>
    <n v="106.93"/>
    <n v="35813.29"/>
    <n v="26333.3"/>
    <n v="22119.97"/>
    <n v="12639.98"/>
    <n v="8426.66"/>
    <n v="32500"/>
    <n v="13750"/>
    <n v="8809"/>
    <n v="17748"/>
    <n v="48286"/>
    <n v="22765"/>
    <n v="21425"/>
    <n v="11977"/>
    <n v="126000"/>
    <n v="5330"/>
  </r>
  <r>
    <d v="2024-06-05T00:00:00"/>
    <x v="5"/>
    <n v="6"/>
    <n v="1035"/>
    <n v="860"/>
    <n v="227"/>
    <n v="674"/>
    <n v="134"/>
    <n v="378"/>
    <n v="336"/>
    <n v="146"/>
    <n v="237"/>
    <n v="109"/>
    <n v="51"/>
    <n v="83"/>
    <n v="32"/>
    <n v="180"/>
    <n v="55"/>
    <n v="47"/>
    <n v="43"/>
    <n v="198"/>
    <n v="86"/>
    <n v="8"/>
    <n v="60"/>
    <n v="8"/>
    <n v="137"/>
    <n v="60"/>
    <n v="0"/>
    <n v="8"/>
    <n v="17"/>
    <n v="17"/>
    <n v="0"/>
    <n v="34"/>
    <n v="25"/>
    <n v="17"/>
    <n v="0"/>
    <n v="43"/>
    <n v="17"/>
    <n v="43"/>
    <n v="25"/>
    <n v="8"/>
    <n v="8"/>
    <n v="8"/>
    <n v="77"/>
    <n v="17"/>
    <n v="25"/>
    <n v="25"/>
    <n v="8"/>
    <n v="17"/>
    <n v="34"/>
    <n v="25"/>
    <n v="3"/>
    <n v="109.08000000000001"/>
    <n v="29936.14"/>
    <n v="18175.509999999998"/>
    <n v="16037.22"/>
    <n v="12829.77"/>
    <n v="29936.14"/>
    <n v="32500"/>
    <n v="13750"/>
    <n v="8809"/>
    <n v="17748"/>
    <n v="48286"/>
    <n v="22765"/>
    <n v="21425"/>
    <n v="11977"/>
    <n v="126000"/>
    <n v="6138"/>
  </r>
  <r>
    <d v="2024-06-06T00:00:00"/>
    <x v="5"/>
    <n v="6"/>
    <n v="1031"/>
    <n v="858"/>
    <n v="257"/>
    <n v="661"/>
    <n v="113"/>
    <n v="420"/>
    <n v="224"/>
    <n v="214"/>
    <n v="274"/>
    <n v="44"/>
    <n v="44"/>
    <n v="89"/>
    <n v="25"/>
    <n v="144"/>
    <n v="19"/>
    <n v="27"/>
    <n v="35"/>
    <n v="330"/>
    <n v="51"/>
    <n v="25"/>
    <n v="60"/>
    <n v="25"/>
    <n v="60"/>
    <n v="42"/>
    <n v="0"/>
    <n v="8"/>
    <n v="34"/>
    <n v="0"/>
    <n v="8"/>
    <n v="25"/>
    <n v="0"/>
    <n v="8"/>
    <n v="0"/>
    <n v="85"/>
    <n v="17"/>
    <n v="34"/>
    <n v="0"/>
    <n v="8"/>
    <n v="8"/>
    <n v="8"/>
    <n v="94"/>
    <n v="8"/>
    <n v="42"/>
    <n v="8"/>
    <n v="0"/>
    <n v="17"/>
    <n v="8"/>
    <n v="8"/>
    <n v="167"/>
    <n v="112.58"/>
    <n v="27270.31"/>
    <n v="14180.56"/>
    <n v="23997.87"/>
    <n v="18543.810000000001"/>
    <n v="25088.69"/>
    <n v="32500"/>
    <n v="13750"/>
    <n v="8809"/>
    <n v="17748"/>
    <n v="48286"/>
    <n v="22765"/>
    <n v="21425"/>
    <n v="11977"/>
    <n v="126000"/>
    <n v="5188"/>
  </r>
  <r>
    <d v="2024-06-07T00:00:00"/>
    <x v="5"/>
    <n v="6"/>
    <n v="1037"/>
    <n v="843"/>
    <n v="466"/>
    <n v="343"/>
    <n v="228"/>
    <n v="337"/>
    <n v="372"/>
    <n v="134"/>
    <n v="282"/>
    <n v="180"/>
    <n v="90"/>
    <n v="32"/>
    <n v="51"/>
    <n v="212"/>
    <n v="19"/>
    <n v="35"/>
    <n v="35"/>
    <n v="101"/>
    <n v="75"/>
    <n v="16"/>
    <n v="25"/>
    <n v="8"/>
    <n v="75"/>
    <n v="67"/>
    <n v="0"/>
    <n v="0"/>
    <n v="50"/>
    <n v="0"/>
    <n v="0"/>
    <n v="42"/>
    <n v="16"/>
    <n v="0"/>
    <n v="16"/>
    <n v="33"/>
    <n v="33"/>
    <n v="8"/>
    <n v="25"/>
    <n v="0"/>
    <n v="0"/>
    <n v="16"/>
    <n v="67"/>
    <n v="8"/>
    <n v="59"/>
    <n v="33"/>
    <n v="8"/>
    <n v="8"/>
    <n v="16"/>
    <n v="16"/>
    <n v="123"/>
    <n v="116.45"/>
    <n v="30399.8"/>
    <n v="15762.86"/>
    <n v="21392.45"/>
    <n v="23644.29"/>
    <n v="21392.45"/>
    <n v="32500"/>
    <n v="13750"/>
    <n v="8809"/>
    <n v="26687"/>
    <n v="48286"/>
    <n v="22765"/>
    <n v="21425"/>
    <n v="11977"/>
    <n v="126000"/>
    <n v="1213"/>
  </r>
  <r>
    <d v="2024-06-08T00:00:00"/>
    <x v="5"/>
    <n v="6"/>
    <n v="1056"/>
    <n v="826"/>
    <n v="464"/>
    <n v="424"/>
    <n v="168"/>
    <n v="396"/>
    <n v="381"/>
    <n v="49"/>
    <n v="210"/>
    <n v="229"/>
    <n v="52"/>
    <n v="78"/>
    <n v="39"/>
    <n v="220"/>
    <n v="124"/>
    <n v="48"/>
    <n v="56"/>
    <n v="0"/>
    <n v="99"/>
    <n v="16"/>
    <n v="57"/>
    <n v="8"/>
    <n v="19"/>
    <n v="66"/>
    <n v="0"/>
    <n v="16"/>
    <n v="49"/>
    <n v="8"/>
    <n v="8"/>
    <n v="33"/>
    <n v="24"/>
    <n v="0"/>
    <n v="16"/>
    <n v="49"/>
    <n v="16"/>
    <n v="33"/>
    <n v="24"/>
    <n v="0"/>
    <n v="0"/>
    <n v="16"/>
    <n v="74"/>
    <n v="16"/>
    <n v="74"/>
    <n v="33"/>
    <n v="8"/>
    <n v="16"/>
    <n v="24"/>
    <n v="24"/>
    <n v="0"/>
    <n v="119.62"/>
    <n v="29114.99"/>
    <n v="20962.79"/>
    <n v="15139.79"/>
    <n v="19798.189999999999"/>
    <n v="31444.19"/>
    <n v="32500"/>
    <n v="13750"/>
    <n v="8809"/>
    <n v="26687"/>
    <n v="48286"/>
    <n v="22765"/>
    <n v="21425"/>
    <n v="11977"/>
    <n v="126000"/>
    <n v="5694"/>
  </r>
  <r>
    <d v="2024-06-09T00:00:00"/>
    <x v="5"/>
    <n v="6"/>
    <n v="1082"/>
    <n v="800"/>
    <n v="335"/>
    <n v="574"/>
    <n v="173"/>
    <n v="240"/>
    <n v="448"/>
    <n v="112"/>
    <n v="268"/>
    <n v="134"/>
    <n v="93"/>
    <n v="53"/>
    <n v="60"/>
    <n v="152"/>
    <n v="74"/>
    <n v="37"/>
    <n v="41"/>
    <n v="170"/>
    <n v="40"/>
    <n v="8"/>
    <n v="56"/>
    <n v="0"/>
    <n v="112"/>
    <n v="40"/>
    <n v="8"/>
    <n v="0"/>
    <n v="40"/>
    <n v="16"/>
    <n v="8"/>
    <n v="16"/>
    <n v="16"/>
    <n v="0"/>
    <n v="24"/>
    <n v="80"/>
    <n v="8"/>
    <n v="24"/>
    <n v="0"/>
    <n v="0"/>
    <n v="0"/>
    <n v="16"/>
    <n v="56"/>
    <n v="8"/>
    <n v="56"/>
    <n v="8"/>
    <n v="8"/>
    <n v="24"/>
    <n v="32"/>
    <n v="32"/>
    <n v="64"/>
    <n v="121.95"/>
    <n v="39476.129999999997"/>
    <n v="23924.93"/>
    <n v="17943.689999999999"/>
    <n v="27513.66"/>
    <n v="10766.22"/>
    <n v="32500"/>
    <n v="13750"/>
    <n v="8809"/>
    <n v="26687"/>
    <n v="48286"/>
    <n v="22765"/>
    <n v="21425"/>
    <n v="11977"/>
    <n v="126000"/>
    <n v="5234"/>
  </r>
  <r>
    <d v="2024-06-10T00:00:00"/>
    <x v="5"/>
    <n v="6"/>
    <n v="1095"/>
    <n v="772"/>
    <n v="569"/>
    <n v="472"/>
    <n v="54"/>
    <n v="293"/>
    <n v="402"/>
    <n v="77"/>
    <n v="271"/>
    <n v="237"/>
    <n v="101"/>
    <n v="74"/>
    <n v="27"/>
    <n v="166"/>
    <n v="45"/>
    <n v="41"/>
    <n v="41"/>
    <n v="92"/>
    <n v="54"/>
    <n v="7"/>
    <n v="54"/>
    <n v="0"/>
    <n v="123"/>
    <n v="38"/>
    <n v="23"/>
    <n v="7"/>
    <n v="15"/>
    <n v="23"/>
    <n v="7"/>
    <n v="7"/>
    <n v="0"/>
    <n v="7"/>
    <n v="15"/>
    <n v="30"/>
    <n v="15"/>
    <n v="38"/>
    <n v="23"/>
    <n v="0"/>
    <n v="7"/>
    <n v="7"/>
    <n v="61"/>
    <n v="15"/>
    <n v="69"/>
    <n v="23"/>
    <n v="0"/>
    <n v="30"/>
    <n v="7"/>
    <n v="15"/>
    <n v="52"/>
    <n v="122.46"/>
    <n v="40243.72"/>
    <n v="17073.09"/>
    <n v="12195.07"/>
    <n v="28048.65"/>
    <n v="24390.13"/>
    <n v="32500"/>
    <n v="13750"/>
    <n v="8809"/>
    <n v="26687"/>
    <n v="48286"/>
    <n v="22765"/>
    <n v="21425"/>
    <n v="11977"/>
    <n v="126000"/>
    <n v="780"/>
  </r>
  <r>
    <d v="2024-06-11T00:00:00"/>
    <x v="5"/>
    <n v="6"/>
    <n v="1101"/>
    <n v="749"/>
    <n v="319"/>
    <n v="617"/>
    <n v="165"/>
    <n v="367"/>
    <n v="263"/>
    <n v="119"/>
    <n v="245"/>
    <n v="232"/>
    <n v="61"/>
    <n v="95"/>
    <n v="47"/>
    <n v="150"/>
    <n v="54"/>
    <n v="37"/>
    <n v="20"/>
    <n v="160"/>
    <n v="44"/>
    <n v="14"/>
    <n v="29"/>
    <n v="7"/>
    <n v="97"/>
    <n v="59"/>
    <n v="14"/>
    <n v="0"/>
    <n v="14"/>
    <n v="7"/>
    <n v="0"/>
    <n v="29"/>
    <n v="0"/>
    <n v="14"/>
    <n v="0"/>
    <n v="29"/>
    <n v="44"/>
    <n v="14"/>
    <n v="0"/>
    <n v="7"/>
    <n v="22"/>
    <n v="22"/>
    <n v="74"/>
    <n v="14"/>
    <n v="44"/>
    <n v="37"/>
    <n v="7"/>
    <n v="44"/>
    <n v="14"/>
    <n v="14"/>
    <n v="35"/>
    <n v="122.63999999999999"/>
    <n v="42863.39"/>
    <n v="28167.37"/>
    <n v="15920.69"/>
    <n v="11022.01"/>
    <n v="24493.360000000001"/>
    <n v="32500"/>
    <n v="13750"/>
    <n v="8809"/>
    <n v="26687"/>
    <n v="48286"/>
    <n v="22765"/>
    <n v="21425"/>
    <n v="11977"/>
    <n v="126000"/>
    <n v="8423"/>
  </r>
  <r>
    <d v="2024-06-12T00:00:00"/>
    <x v="5"/>
    <n v="6"/>
    <n v="1101"/>
    <n v="730"/>
    <n v="462"/>
    <n v="518"/>
    <n v="121"/>
    <n v="379"/>
    <n v="286"/>
    <n v="65"/>
    <n v="286"/>
    <n v="225"/>
    <n v="81"/>
    <n v="61"/>
    <n v="47"/>
    <n v="146"/>
    <n v="133"/>
    <n v="62"/>
    <n v="50"/>
    <n v="10"/>
    <n v="73"/>
    <n v="21"/>
    <n v="51"/>
    <n v="21"/>
    <n v="12"/>
    <n v="51"/>
    <n v="14"/>
    <n v="7"/>
    <n v="29"/>
    <n v="21"/>
    <n v="0"/>
    <n v="29"/>
    <n v="0"/>
    <n v="21"/>
    <n v="0"/>
    <n v="51"/>
    <n v="21"/>
    <n v="7"/>
    <n v="21"/>
    <n v="7"/>
    <n v="29"/>
    <n v="21"/>
    <n v="73"/>
    <n v="21"/>
    <n v="58"/>
    <n v="21"/>
    <n v="0"/>
    <n v="36"/>
    <n v="0"/>
    <n v="14"/>
    <n v="0"/>
    <n v="121.93999999999998"/>
    <n v="41697.660000000003"/>
    <n v="29433.64"/>
    <n v="18396.03"/>
    <n v="23301.63"/>
    <n v="9811.2099999999991"/>
    <n v="32500"/>
    <n v="13750"/>
    <n v="8809"/>
    <n v="26687"/>
    <n v="48286"/>
    <n v="22765"/>
    <n v="21425"/>
    <n v="11977"/>
    <n v="126000"/>
    <n v="8493"/>
  </r>
  <r>
    <d v="2024-06-13T00:00:00"/>
    <x v="5"/>
    <n v="6"/>
    <n v="1097"/>
    <n v="722"/>
    <n v="383"/>
    <n v="572"/>
    <n v="142"/>
    <n v="296"/>
    <n v="282"/>
    <n v="144"/>
    <n v="258"/>
    <n v="40"/>
    <n v="81"/>
    <n v="40"/>
    <n v="54"/>
    <n v="191"/>
    <n v="112"/>
    <n v="58"/>
    <n v="33"/>
    <n v="230"/>
    <n v="86"/>
    <n v="21"/>
    <n v="28"/>
    <n v="21"/>
    <n v="20"/>
    <n v="57"/>
    <n v="0"/>
    <n v="21"/>
    <n v="28"/>
    <n v="14"/>
    <n v="7"/>
    <n v="28"/>
    <n v="14"/>
    <n v="21"/>
    <n v="0"/>
    <n v="36"/>
    <n v="36"/>
    <n v="14"/>
    <n v="21"/>
    <n v="7"/>
    <n v="7"/>
    <n v="14"/>
    <n v="79"/>
    <n v="14"/>
    <n v="36"/>
    <n v="14"/>
    <n v="7"/>
    <n v="36"/>
    <n v="14"/>
    <n v="21"/>
    <n v="0"/>
    <n v="120.73999999999998"/>
    <n v="41461.279999999999"/>
    <n v="23169.54"/>
    <n v="24388.99"/>
    <n v="17072.29"/>
    <n v="15852.84"/>
    <n v="32500"/>
    <n v="13750"/>
    <n v="8809"/>
    <n v="26687"/>
    <n v="48286"/>
    <n v="22765"/>
    <n v="21425"/>
    <n v="11977"/>
    <n v="126000"/>
    <n v="3694"/>
  </r>
  <r>
    <d v="2024-06-14T00:00:00"/>
    <x v="5"/>
    <n v="6"/>
    <n v="1079"/>
    <n v="719"/>
    <n v="366"/>
    <n v="508"/>
    <n v="205"/>
    <n v="150"/>
    <n v="411"/>
    <n v="158"/>
    <n v="247"/>
    <n v="73"/>
    <n v="53"/>
    <n v="73"/>
    <n v="13"/>
    <n v="147"/>
    <n v="143"/>
    <n v="45"/>
    <n v="61"/>
    <n v="224"/>
    <n v="100"/>
    <n v="0"/>
    <n v="50"/>
    <n v="21"/>
    <n v="11"/>
    <n v="43"/>
    <n v="21"/>
    <n v="7"/>
    <n v="28"/>
    <n v="14"/>
    <n v="0"/>
    <n v="28"/>
    <n v="7"/>
    <n v="14"/>
    <n v="0"/>
    <n v="50"/>
    <n v="35"/>
    <n v="21"/>
    <n v="14"/>
    <n v="0"/>
    <n v="28"/>
    <n v="7"/>
    <n v="79"/>
    <n v="7"/>
    <n v="64"/>
    <n v="7"/>
    <n v="0"/>
    <n v="14"/>
    <n v="21"/>
    <n v="28"/>
    <n v="0"/>
    <n v="119.04999999999998"/>
    <n v="38637"/>
    <n v="22940.720000000001"/>
    <n v="24148.13"/>
    <n v="18111.099999999999"/>
    <n v="16903.689999999999"/>
    <n v="32500"/>
    <n v="13750"/>
    <n v="8809"/>
    <n v="26687"/>
    <n v="48286"/>
    <n v="22765"/>
    <n v="21425"/>
    <n v="11977"/>
    <n v="126000"/>
    <n v="2178"/>
  </r>
  <r>
    <d v="2024-06-15T00:00:00"/>
    <x v="5"/>
    <n v="6"/>
    <n v="1048"/>
    <n v="723"/>
    <n v="471"/>
    <n v="347"/>
    <n v="230"/>
    <n v="173"/>
    <n v="478"/>
    <n v="72"/>
    <n v="266"/>
    <n v="175"/>
    <n v="71"/>
    <n v="97"/>
    <n v="19"/>
    <n v="179"/>
    <n v="19"/>
    <n v="27"/>
    <n v="43"/>
    <n v="152"/>
    <n v="50"/>
    <n v="7"/>
    <n v="50"/>
    <n v="14"/>
    <n v="50"/>
    <n v="57"/>
    <n v="0"/>
    <n v="14"/>
    <n v="28"/>
    <n v="7"/>
    <n v="7"/>
    <n v="36"/>
    <n v="7"/>
    <n v="7"/>
    <n v="7"/>
    <n v="43"/>
    <n v="36"/>
    <n v="14"/>
    <n v="0"/>
    <n v="0"/>
    <n v="14"/>
    <n v="14"/>
    <n v="72"/>
    <n v="21"/>
    <n v="50"/>
    <n v="7"/>
    <n v="0"/>
    <n v="21"/>
    <n v="7"/>
    <n v="0"/>
    <n v="83"/>
    <n v="116.75"/>
    <n v="38096.17"/>
    <n v="28572.13"/>
    <n v="28572.13"/>
    <n v="13095.56"/>
    <n v="10714.55"/>
    <n v="29000"/>
    <n v="13750"/>
    <n v="8809"/>
    <n v="26687"/>
    <n v="48286"/>
    <n v="22765"/>
    <n v="21425"/>
    <n v="11977"/>
    <n v="126000"/>
    <n v="8729"/>
  </r>
  <r>
    <d v="2024-06-16T00:00:00"/>
    <x v="5"/>
    <n v="6"/>
    <n v="1018"/>
    <n v="737"/>
    <n v="346"/>
    <n v="550"/>
    <n v="122"/>
    <n v="154"/>
    <n v="429"/>
    <n v="154"/>
    <n v="220"/>
    <n v="138"/>
    <n v="75"/>
    <n v="88"/>
    <n v="12"/>
    <n v="189"/>
    <n v="108"/>
    <n v="27"/>
    <n v="23"/>
    <n v="138"/>
    <n v="44"/>
    <n v="7"/>
    <n v="51"/>
    <n v="7"/>
    <n v="79"/>
    <n v="36"/>
    <n v="7"/>
    <n v="0"/>
    <n v="14"/>
    <n v="7"/>
    <n v="7"/>
    <n v="36"/>
    <n v="0"/>
    <n v="22"/>
    <n v="14"/>
    <n v="51"/>
    <n v="44"/>
    <n v="29"/>
    <n v="14"/>
    <n v="0"/>
    <n v="14"/>
    <n v="22"/>
    <n v="73"/>
    <n v="7"/>
    <n v="58"/>
    <n v="14"/>
    <n v="0"/>
    <n v="44"/>
    <n v="22"/>
    <n v="14"/>
    <n v="0"/>
    <n v="113.56"/>
    <n v="32688.14"/>
    <n v="22181.24"/>
    <n v="17511.5"/>
    <n v="10506.9"/>
    <n v="33855.57"/>
    <n v="29000"/>
    <n v="10000"/>
    <n v="8809"/>
    <n v="12053"/>
    <n v="48286"/>
    <n v="22765"/>
    <n v="21425"/>
    <n v="11977"/>
    <n v="126000"/>
    <n v="7010"/>
  </r>
  <r>
    <d v="2024-06-17T00:00:00"/>
    <x v="5"/>
    <n v="6"/>
    <n v="995"/>
    <n v="764"/>
    <n v="268"/>
    <n v="668"/>
    <n v="59"/>
    <n v="313"/>
    <n v="360"/>
    <n v="91"/>
    <n v="265"/>
    <n v="141"/>
    <n v="67"/>
    <n v="67"/>
    <n v="61"/>
    <n v="207"/>
    <n v="120"/>
    <n v="34"/>
    <n v="26"/>
    <n v="7"/>
    <n v="99"/>
    <n v="7"/>
    <n v="38"/>
    <n v="0"/>
    <n v="67"/>
    <n v="68"/>
    <n v="15"/>
    <n v="7"/>
    <n v="15"/>
    <n v="0"/>
    <n v="7"/>
    <n v="7"/>
    <n v="7"/>
    <n v="0"/>
    <n v="7"/>
    <n v="76"/>
    <n v="30"/>
    <n v="30"/>
    <n v="22"/>
    <n v="7"/>
    <n v="15"/>
    <n v="22"/>
    <n v="53"/>
    <n v="7"/>
    <n v="30"/>
    <n v="38"/>
    <n v="0"/>
    <n v="30"/>
    <n v="30"/>
    <n v="30"/>
    <n v="0"/>
    <n v="110.51999999999998"/>
    <n v="35203.79"/>
    <n v="18169.7"/>
    <n v="21576.51"/>
    <n v="20440.91"/>
    <n v="18169.7"/>
    <n v="29000"/>
    <n v="10000"/>
    <n v="8809"/>
    <n v="12053"/>
    <n v="48286"/>
    <n v="22765"/>
    <n v="21425"/>
    <n v="11977"/>
    <n v="126000"/>
    <n v="6260"/>
  </r>
  <r>
    <d v="2024-06-18T00:00:00"/>
    <x v="5"/>
    <n v="6"/>
    <n v="986"/>
    <n v="796"/>
    <n v="374"/>
    <n v="405"/>
    <n v="207"/>
    <n v="358"/>
    <n v="255"/>
    <n v="183"/>
    <n v="292"/>
    <n v="134"/>
    <n v="79"/>
    <n v="79"/>
    <n v="48"/>
    <n v="198"/>
    <n v="97"/>
    <n v="33"/>
    <n v="26"/>
    <n v="0"/>
    <n v="55"/>
    <n v="23"/>
    <n v="55"/>
    <n v="0"/>
    <n v="79"/>
    <n v="55"/>
    <n v="15"/>
    <n v="15"/>
    <n v="39"/>
    <n v="15"/>
    <n v="0"/>
    <n v="23"/>
    <n v="7"/>
    <n v="7"/>
    <n v="15"/>
    <n v="31"/>
    <n v="15"/>
    <n v="23"/>
    <n v="15"/>
    <n v="0"/>
    <n v="23"/>
    <n v="23"/>
    <n v="71"/>
    <n v="23"/>
    <n v="39"/>
    <n v="7"/>
    <n v="0"/>
    <n v="39"/>
    <n v="31"/>
    <n v="31"/>
    <n v="22"/>
    <n v="106.93"/>
    <n v="34264.519999999997"/>
    <n v="25422.06"/>
    <n v="23211.45"/>
    <n v="11053.07"/>
    <n v="16579.61"/>
    <n v="29000"/>
    <n v="10000"/>
    <n v="8809"/>
    <n v="12053"/>
    <n v="48286"/>
    <n v="22765"/>
    <n v="21425"/>
    <n v="11977"/>
    <n v="126000"/>
    <n v="3057"/>
  </r>
  <r>
    <d v="2024-06-19T00:00:00"/>
    <x v="5"/>
    <n v="6"/>
    <n v="983"/>
    <n v="841"/>
    <n v="452"/>
    <n v="296"/>
    <n v="235"/>
    <n v="227"/>
    <n v="455"/>
    <n v="159"/>
    <n v="292"/>
    <n v="182"/>
    <n v="54"/>
    <n v="48"/>
    <n v="12"/>
    <n v="179"/>
    <n v="97"/>
    <n v="52"/>
    <n v="37"/>
    <n v="30"/>
    <n v="117"/>
    <n v="8"/>
    <n v="33"/>
    <n v="0"/>
    <n v="58"/>
    <n v="58"/>
    <n v="0"/>
    <n v="0"/>
    <n v="42"/>
    <n v="25"/>
    <n v="8"/>
    <n v="8"/>
    <n v="8"/>
    <n v="16"/>
    <n v="16"/>
    <n v="42"/>
    <n v="33"/>
    <n v="42"/>
    <n v="0"/>
    <n v="0"/>
    <n v="33"/>
    <n v="8"/>
    <n v="67"/>
    <n v="8"/>
    <n v="33"/>
    <n v="33"/>
    <n v="0"/>
    <n v="50"/>
    <n v="25"/>
    <n v="8"/>
    <n v="62"/>
    <n v="103.52"/>
    <n v="36353.279999999999"/>
    <n v="17107.43"/>
    <n v="20315.07"/>
    <n v="20315.07"/>
    <n v="12830.57"/>
    <n v="29000"/>
    <n v="10000"/>
    <n v="8809"/>
    <n v="12053"/>
    <n v="48286"/>
    <n v="22765"/>
    <n v="21425"/>
    <n v="11977"/>
    <n v="126000"/>
    <n v="6203"/>
  </r>
  <r>
    <d v="2024-06-20T00:00:00"/>
    <x v="5"/>
    <n v="6"/>
    <n v="985"/>
    <n v="874"/>
    <n v="275"/>
    <n v="533"/>
    <n v="177"/>
    <n v="209"/>
    <n v="578"/>
    <n v="87"/>
    <n v="335"/>
    <n v="122"/>
    <n v="91"/>
    <n v="54"/>
    <n v="24"/>
    <n v="160"/>
    <n v="37"/>
    <n v="33"/>
    <n v="26"/>
    <n v="103"/>
    <n v="96"/>
    <n v="26"/>
    <n v="61"/>
    <n v="0"/>
    <n v="78"/>
    <n v="43"/>
    <n v="0"/>
    <n v="17"/>
    <n v="52"/>
    <n v="17"/>
    <n v="8"/>
    <n v="26"/>
    <n v="17"/>
    <n v="17"/>
    <n v="8"/>
    <n v="61"/>
    <n v="8"/>
    <n v="17"/>
    <n v="8"/>
    <n v="8"/>
    <n v="17"/>
    <n v="34"/>
    <n v="69"/>
    <n v="17"/>
    <n v="43"/>
    <n v="17"/>
    <n v="0"/>
    <n v="52"/>
    <n v="0"/>
    <n v="26"/>
    <n v="31"/>
    <n v="100.31"/>
    <n v="25879.72"/>
    <n v="16563.02"/>
    <n v="11387.08"/>
    <n v="14492.64"/>
    <n v="35196.42"/>
    <n v="29000"/>
    <n v="10000"/>
    <n v="8809"/>
    <n v="12053"/>
    <n v="48286"/>
    <n v="22765"/>
    <n v="21425"/>
    <n v="11977"/>
    <n v="126000"/>
    <n v="7443"/>
  </r>
  <r>
    <d v="2024-06-21T00:00:00"/>
    <x v="5"/>
    <n v="6"/>
    <n v="998"/>
    <n v="902"/>
    <n v="399"/>
    <n v="390"/>
    <n v="209"/>
    <n v="315"/>
    <n v="425"/>
    <n v="162"/>
    <n v="228"/>
    <n v="167"/>
    <n v="61"/>
    <n v="86"/>
    <n v="24"/>
    <n v="151"/>
    <n v="18"/>
    <n v="30"/>
    <n v="18"/>
    <n v="215"/>
    <n v="45"/>
    <n v="18"/>
    <n v="36"/>
    <n v="18"/>
    <n v="126"/>
    <n v="54"/>
    <n v="27"/>
    <n v="27"/>
    <n v="36"/>
    <n v="0"/>
    <n v="0"/>
    <n v="9"/>
    <n v="18"/>
    <n v="27"/>
    <n v="9"/>
    <n v="72"/>
    <n v="45"/>
    <n v="36"/>
    <n v="0"/>
    <n v="9"/>
    <n v="36"/>
    <n v="36"/>
    <n v="81"/>
    <n v="9"/>
    <n v="36"/>
    <n v="36"/>
    <n v="9"/>
    <n v="9"/>
    <n v="0"/>
    <n v="36"/>
    <n v="2"/>
    <n v="97.16"/>
    <n v="27082.73"/>
    <n v="16049.02"/>
    <n v="12036.77"/>
    <n v="17052.09"/>
    <n v="28085.79"/>
    <n v="29000"/>
    <n v="10000"/>
    <n v="8809"/>
    <n v="12053"/>
    <n v="48286"/>
    <n v="22765"/>
    <n v="21425"/>
    <n v="11977"/>
    <n v="126000"/>
    <n v="7169"/>
  </r>
  <r>
    <d v="2024-06-22T00:00:00"/>
    <x v="5"/>
    <n v="6"/>
    <n v="1032"/>
    <n v="910"/>
    <n v="495"/>
    <n v="465"/>
    <n v="72"/>
    <n v="473"/>
    <n v="346"/>
    <n v="91"/>
    <n v="217"/>
    <n v="159"/>
    <n v="95"/>
    <n v="76"/>
    <n v="51"/>
    <n v="207"/>
    <n v="35"/>
    <n v="27"/>
    <n v="54"/>
    <n v="111"/>
    <n v="91"/>
    <n v="0"/>
    <n v="45"/>
    <n v="27"/>
    <n v="54"/>
    <n v="63"/>
    <n v="9"/>
    <n v="27"/>
    <n v="18"/>
    <n v="18"/>
    <n v="0"/>
    <n v="45"/>
    <n v="9"/>
    <n v="18"/>
    <n v="0"/>
    <n v="45"/>
    <n v="45"/>
    <n v="45"/>
    <n v="0"/>
    <n v="0"/>
    <n v="18"/>
    <n v="9"/>
    <n v="63"/>
    <n v="27"/>
    <n v="72"/>
    <n v="18"/>
    <n v="0"/>
    <n v="45"/>
    <n v="27"/>
    <n v="9"/>
    <n v="63"/>
    <n v="94.62"/>
    <n v="24286.880000000001"/>
    <n v="23315.41"/>
    <n v="19429.509999999998"/>
    <n v="17486.560000000001"/>
    <n v="12629.18"/>
    <n v="29000"/>
    <n v="10000"/>
    <n v="8809"/>
    <n v="12053"/>
    <n v="48286"/>
    <n v="22765"/>
    <n v="21425"/>
    <n v="11977"/>
    <n v="126000"/>
    <n v="219"/>
  </r>
  <r>
    <d v="2024-06-23T00:00:00"/>
    <x v="5"/>
    <n v="6"/>
    <n v="1047"/>
    <n v="912"/>
    <n v="366"/>
    <n v="451"/>
    <n v="230"/>
    <n v="355"/>
    <n v="375"/>
    <n v="182"/>
    <n v="246"/>
    <n v="142"/>
    <n v="97"/>
    <n v="64"/>
    <n v="32"/>
    <n v="206"/>
    <n v="59"/>
    <n v="31"/>
    <n v="43"/>
    <n v="127"/>
    <n v="36"/>
    <n v="9"/>
    <n v="36"/>
    <n v="27"/>
    <n v="100"/>
    <n v="54"/>
    <n v="0"/>
    <n v="9"/>
    <n v="54"/>
    <n v="18"/>
    <n v="0"/>
    <n v="9"/>
    <n v="27"/>
    <n v="0"/>
    <n v="9"/>
    <n v="36"/>
    <n v="54"/>
    <n v="18"/>
    <n v="9"/>
    <n v="0"/>
    <n v="36"/>
    <n v="36"/>
    <n v="91"/>
    <n v="18"/>
    <n v="82"/>
    <n v="45"/>
    <n v="0"/>
    <n v="18"/>
    <n v="36"/>
    <n v="9"/>
    <n v="36"/>
    <n v="92.32"/>
    <n v="24601.83"/>
    <n v="20816.93"/>
    <n v="14193.36"/>
    <n v="18924.490000000002"/>
    <n v="16085.81"/>
    <n v="29000"/>
    <n v="13750"/>
    <n v="8809"/>
    <n v="17694"/>
    <n v="48286"/>
    <n v="22765"/>
    <n v="21425"/>
    <n v="11977"/>
    <n v="126000"/>
    <n v="8320"/>
  </r>
  <r>
    <d v="2024-06-24T00:00:00"/>
    <x v="5"/>
    <n v="6"/>
    <n v="1051"/>
    <n v="912"/>
    <n v="536"/>
    <n v="421"/>
    <n v="94"/>
    <n v="218"/>
    <n v="549"/>
    <n v="145"/>
    <n v="247"/>
    <n v="58"/>
    <n v="78"/>
    <n v="97"/>
    <n v="32"/>
    <n v="195"/>
    <n v="47"/>
    <n v="31"/>
    <n v="23"/>
    <n v="243"/>
    <n v="127"/>
    <n v="0"/>
    <n v="27"/>
    <n v="9"/>
    <n v="118"/>
    <n v="82"/>
    <n v="18"/>
    <n v="0"/>
    <n v="18"/>
    <n v="18"/>
    <n v="0"/>
    <n v="18"/>
    <n v="18"/>
    <n v="18"/>
    <n v="9"/>
    <n v="63"/>
    <n v="54"/>
    <n v="45"/>
    <n v="0"/>
    <n v="0"/>
    <n v="18"/>
    <n v="27"/>
    <n v="72"/>
    <n v="9"/>
    <n v="54"/>
    <n v="9"/>
    <n v="9"/>
    <n v="9"/>
    <n v="9"/>
    <n v="9"/>
    <n v="45"/>
    <n v="90.85"/>
    <n v="32312.9"/>
    <n v="23080.639999999999"/>
    <n v="11078.71"/>
    <n v="11078.71"/>
    <n v="14771.61"/>
    <n v="29000"/>
    <n v="13750"/>
    <n v="6498"/>
    <n v="17694"/>
    <n v="48286"/>
    <n v="22765"/>
    <n v="21425"/>
    <n v="11977"/>
    <n v="126000"/>
    <n v="2216"/>
  </r>
  <r>
    <d v="2024-06-25T00:00:00"/>
    <x v="5"/>
    <n v="6"/>
    <n v="1051"/>
    <n v="905"/>
    <n v="399"/>
    <n v="589"/>
    <n v="63"/>
    <n v="416"/>
    <n v="308"/>
    <n v="181"/>
    <n v="319"/>
    <n v="162"/>
    <n v="91"/>
    <n v="39"/>
    <n v="32"/>
    <n v="219"/>
    <n v="23"/>
    <n v="59"/>
    <n v="23"/>
    <n v="84"/>
    <n v="117"/>
    <n v="18"/>
    <n v="27"/>
    <n v="9"/>
    <n v="72"/>
    <n v="72"/>
    <n v="9"/>
    <n v="27"/>
    <n v="45"/>
    <n v="18"/>
    <n v="0"/>
    <n v="36"/>
    <n v="9"/>
    <n v="18"/>
    <n v="0"/>
    <n v="72"/>
    <n v="63"/>
    <n v="36"/>
    <n v="9"/>
    <n v="9"/>
    <n v="0"/>
    <n v="18"/>
    <n v="0"/>
    <n v="9"/>
    <n v="77"/>
    <n v="9"/>
    <n v="9"/>
    <n v="63"/>
    <n v="36"/>
    <n v="18"/>
    <n v="0"/>
    <n v="89.63"/>
    <n v="26347.99"/>
    <n v="16353.93"/>
    <n v="12719.72"/>
    <n v="22713.79"/>
    <n v="12719.72"/>
    <n v="29000"/>
    <n v="13750"/>
    <n v="6498"/>
    <n v="17694"/>
    <n v="48286"/>
    <n v="22765"/>
    <n v="21425"/>
    <n v="11977"/>
    <n v="126000"/>
    <n v="973"/>
  </r>
  <r>
    <d v="2024-06-26T00:00:00"/>
    <x v="5"/>
    <n v="6"/>
    <n v="1039"/>
    <n v="897"/>
    <n v="529"/>
    <n v="396"/>
    <n v="114"/>
    <n v="233"/>
    <n v="503"/>
    <n v="161"/>
    <n v="309"/>
    <n v="51"/>
    <n v="57"/>
    <n v="70"/>
    <n v="51"/>
    <n v="169"/>
    <n v="19"/>
    <n v="43"/>
    <n v="27"/>
    <n v="243"/>
    <n v="53"/>
    <n v="26"/>
    <n v="53"/>
    <n v="8"/>
    <n v="94"/>
    <n v="71"/>
    <n v="0"/>
    <n v="26"/>
    <n v="44"/>
    <n v="17"/>
    <n v="8"/>
    <n v="17"/>
    <n v="26"/>
    <n v="26"/>
    <n v="0"/>
    <n v="80"/>
    <n v="53"/>
    <n v="8"/>
    <n v="26"/>
    <n v="8"/>
    <n v="0"/>
    <n v="26"/>
    <n v="71"/>
    <n v="17"/>
    <n v="26"/>
    <n v="17"/>
    <n v="0"/>
    <n v="35"/>
    <n v="35"/>
    <n v="26"/>
    <n v="0"/>
    <n v="88.94"/>
    <n v="31371.51"/>
    <n v="15237.59"/>
    <n v="14341.26"/>
    <n v="8963.2900000000009"/>
    <n v="19719.23"/>
    <n v="29000"/>
    <n v="13750"/>
    <n v="6498"/>
    <n v="17694"/>
    <n v="48286"/>
    <n v="22765"/>
    <n v="21425"/>
    <n v="11977"/>
    <n v="126000"/>
    <n v="2616"/>
  </r>
  <r>
    <d v="2024-06-27T00:00:00"/>
    <x v="5"/>
    <n v="6"/>
    <n v="1022"/>
    <n v="882"/>
    <n v="265"/>
    <n v="614"/>
    <n v="143"/>
    <n v="273"/>
    <n v="460"/>
    <n v="149"/>
    <n v="259"/>
    <n v="139"/>
    <n v="57"/>
    <n v="76"/>
    <n v="50"/>
    <n v="174"/>
    <n v="135"/>
    <n v="27"/>
    <n v="38"/>
    <n v="67"/>
    <n v="52"/>
    <n v="8"/>
    <n v="52"/>
    <n v="17"/>
    <n v="86"/>
    <n v="79"/>
    <n v="8"/>
    <n v="8"/>
    <n v="35"/>
    <n v="26"/>
    <n v="8"/>
    <n v="26"/>
    <n v="26"/>
    <n v="26"/>
    <n v="0"/>
    <n v="44"/>
    <n v="17"/>
    <n v="17"/>
    <n v="26"/>
    <n v="8"/>
    <n v="17"/>
    <n v="8"/>
    <n v="88"/>
    <n v="8"/>
    <n v="44"/>
    <n v="44"/>
    <n v="0"/>
    <n v="52"/>
    <n v="17"/>
    <n v="35"/>
    <n v="0"/>
    <n v="88.54"/>
    <n v="27570.46"/>
    <n v="17787.39"/>
    <n v="18676.759999999998"/>
    <n v="16008.65"/>
    <n v="8893.7000000000007"/>
    <n v="29000"/>
    <n v="13750"/>
    <n v="6498"/>
    <n v="17694"/>
    <n v="48286"/>
    <n v="22765"/>
    <n v="21425"/>
    <n v="11977"/>
    <n v="126000"/>
    <n v="4893"/>
  </r>
  <r>
    <d v="2024-06-28T00:00:00"/>
    <x v="5"/>
    <n v="6"/>
    <n v="1000"/>
    <n v="863"/>
    <n v="220"/>
    <n v="540"/>
    <n v="240"/>
    <n v="431"/>
    <n v="294"/>
    <n v="138"/>
    <n v="260"/>
    <n v="148"/>
    <n v="68"/>
    <n v="93"/>
    <n v="43"/>
    <n v="163"/>
    <n v="30"/>
    <n v="49"/>
    <n v="45"/>
    <n v="101"/>
    <n v="86"/>
    <n v="25"/>
    <n v="43"/>
    <n v="8"/>
    <n v="65"/>
    <n v="43"/>
    <n v="25"/>
    <n v="0"/>
    <n v="34"/>
    <n v="25"/>
    <n v="0"/>
    <n v="43"/>
    <n v="25"/>
    <n v="8"/>
    <n v="25"/>
    <n v="86"/>
    <n v="60"/>
    <n v="25"/>
    <n v="0"/>
    <n v="0"/>
    <n v="0"/>
    <n v="17"/>
    <n v="77"/>
    <n v="8"/>
    <n v="34"/>
    <n v="8"/>
    <n v="8"/>
    <n v="51"/>
    <n v="17"/>
    <n v="17"/>
    <n v="0"/>
    <n v="88.449999999999989"/>
    <n v="24792.55"/>
    <n v="13281.72"/>
    <n v="21250.76"/>
    <n v="15052.62"/>
    <n v="14167.17"/>
    <n v="29000"/>
    <n v="13750"/>
    <n v="6498"/>
    <n v="17694"/>
    <n v="48286"/>
    <n v="22765"/>
    <n v="21425"/>
    <n v="11977"/>
    <n v="126000"/>
    <n v="4957"/>
  </r>
  <r>
    <d v="2024-06-29T00:00:00"/>
    <x v="5"/>
    <n v="6"/>
    <n v="973"/>
    <n v="837"/>
    <n v="496"/>
    <n v="429"/>
    <n v="48"/>
    <n v="259"/>
    <n v="428"/>
    <n v="150"/>
    <n v="265"/>
    <n v="180"/>
    <n v="54"/>
    <n v="72"/>
    <n v="42"/>
    <n v="129"/>
    <n v="33"/>
    <n v="40"/>
    <n v="25"/>
    <n v="133"/>
    <n v="117"/>
    <n v="16"/>
    <n v="33"/>
    <n v="25"/>
    <n v="133"/>
    <n v="58"/>
    <n v="0"/>
    <n v="8"/>
    <n v="16"/>
    <n v="0"/>
    <n v="0"/>
    <n v="41"/>
    <n v="0"/>
    <n v="8"/>
    <n v="25"/>
    <n v="33"/>
    <n v="8"/>
    <n v="16"/>
    <n v="0"/>
    <n v="8"/>
    <n v="25"/>
    <n v="8"/>
    <n v="58"/>
    <n v="16"/>
    <n v="58"/>
    <n v="25"/>
    <n v="0"/>
    <n v="50"/>
    <n v="8"/>
    <n v="0"/>
    <n v="44"/>
    <n v="89"/>
    <n v="30956.65"/>
    <n v="18573.990000000002"/>
    <n v="15036.09"/>
    <n v="10613.71"/>
    <n v="13267.14"/>
    <n v="29000"/>
    <n v="13750"/>
    <n v="6498"/>
    <n v="17694"/>
    <n v="48286"/>
    <n v="22765"/>
    <n v="21425"/>
    <n v="11977"/>
    <n v="126000"/>
    <n v="2460"/>
  </r>
  <r>
    <d v="2024-06-30T00:00:00"/>
    <x v="5"/>
    <n v="6"/>
    <n v="951"/>
    <n v="809"/>
    <n v="408"/>
    <n v="467"/>
    <n v="76"/>
    <n v="428"/>
    <n v="244"/>
    <n v="137"/>
    <n v="277"/>
    <n v="53"/>
    <n v="70"/>
    <n v="58"/>
    <n v="58"/>
    <n v="191"/>
    <n v="93"/>
    <n v="39"/>
    <n v="25"/>
    <n v="87"/>
    <n v="105"/>
    <n v="16"/>
    <n v="48"/>
    <n v="16"/>
    <n v="16"/>
    <n v="64"/>
    <n v="16"/>
    <n v="8"/>
    <n v="24"/>
    <n v="24"/>
    <n v="0"/>
    <n v="8"/>
    <n v="24"/>
    <n v="0"/>
    <n v="24"/>
    <n v="48"/>
    <n v="32"/>
    <n v="16"/>
    <n v="8"/>
    <n v="0"/>
    <n v="32"/>
    <n v="32"/>
    <n v="64"/>
    <n v="24"/>
    <n v="48"/>
    <n v="8"/>
    <n v="8"/>
    <n v="32"/>
    <n v="32"/>
    <n v="32"/>
    <n v="0"/>
    <n v="89.22"/>
    <n v="27590"/>
    <n v="12460"/>
    <n v="22250"/>
    <n v="13350"/>
    <n v="13350"/>
    <n v="29000"/>
    <n v="13750"/>
    <n v="6498"/>
    <n v="17694"/>
    <n v="48286"/>
    <n v="22765"/>
    <n v="21425"/>
    <n v="11977"/>
    <n v="126000"/>
    <n v="714"/>
  </r>
  <r>
    <d v="2024-07-01T00:00:00"/>
    <x v="6"/>
    <n v="7"/>
    <n v="946"/>
    <n v="778"/>
    <n v="236"/>
    <n v="540"/>
    <n v="170"/>
    <n v="396"/>
    <n v="196"/>
    <n v="186"/>
    <n v="299"/>
    <n v="105"/>
    <n v="87"/>
    <n v="41"/>
    <n v="29"/>
    <n v="150"/>
    <n v="46"/>
    <n v="28"/>
    <n v="17"/>
    <n v="144"/>
    <n v="108"/>
    <n v="7"/>
    <n v="31"/>
    <n v="0"/>
    <n v="6"/>
    <n v="54"/>
    <n v="15"/>
    <n v="23"/>
    <n v="46"/>
    <n v="23"/>
    <n v="0"/>
    <n v="38"/>
    <n v="23"/>
    <n v="23"/>
    <n v="15"/>
    <n v="70"/>
    <n v="38"/>
    <n v="7"/>
    <n v="15"/>
    <n v="7"/>
    <n v="23"/>
    <n v="23"/>
    <n v="54"/>
    <n v="23"/>
    <n v="31"/>
    <n v="23"/>
    <n v="7"/>
    <n v="31"/>
    <n v="7"/>
    <n v="7"/>
    <n v="0"/>
    <n v="89"/>
    <n v="24982.75"/>
    <n v="11599.13"/>
    <n v="18737.060000000001"/>
    <n v="9814.65"/>
    <n v="24090.51"/>
    <n v="29000"/>
    <n v="12500"/>
    <n v="6498"/>
    <n v="17694"/>
    <n v="49237"/>
    <n v="30576"/>
    <n v="23946"/>
    <n v="13866"/>
    <n v="133000"/>
    <n v="8235"/>
  </r>
  <r>
    <d v="2024-07-02T00:00:00"/>
    <x v="6"/>
    <n v="7"/>
    <n v="937"/>
    <n v="745"/>
    <n v="206"/>
    <n v="525"/>
    <n v="206"/>
    <n v="238"/>
    <n v="351"/>
    <n v="156"/>
    <n v="238"/>
    <n v="92"/>
    <n v="46"/>
    <n v="40"/>
    <n v="58"/>
    <n v="178"/>
    <n v="24"/>
    <n v="24"/>
    <n v="53"/>
    <n v="184"/>
    <n v="44"/>
    <n v="22"/>
    <n v="29"/>
    <n v="14"/>
    <n v="74"/>
    <n v="52"/>
    <n v="22"/>
    <n v="14"/>
    <n v="22"/>
    <n v="22"/>
    <n v="7"/>
    <n v="7"/>
    <n v="0"/>
    <n v="7"/>
    <n v="0"/>
    <n v="67"/>
    <n v="14"/>
    <n v="7"/>
    <n v="14"/>
    <n v="7"/>
    <n v="7"/>
    <n v="22"/>
    <n v="67"/>
    <n v="7"/>
    <n v="52"/>
    <n v="22"/>
    <n v="0"/>
    <n v="44"/>
    <n v="14"/>
    <n v="14"/>
    <n v="51"/>
    <n v="87.949999999999989"/>
    <n v="27590"/>
    <n v="12460"/>
    <n v="22250"/>
    <n v="13350"/>
    <n v="13350"/>
    <n v="29000"/>
    <n v="12500"/>
    <n v="6498"/>
    <n v="17694"/>
    <n v="49237"/>
    <n v="30576"/>
    <n v="23946"/>
    <n v="13866"/>
    <n v="133000"/>
    <n v="1572"/>
  </r>
  <r>
    <d v="2024-07-03T00:00:00"/>
    <x v="6"/>
    <n v="7"/>
    <n v="931"/>
    <n v="705"/>
    <n v="288"/>
    <n v="588"/>
    <n v="55"/>
    <n v="190"/>
    <n v="339"/>
    <n v="176"/>
    <n v="242"/>
    <n v="161"/>
    <n v="75"/>
    <n v="86"/>
    <n v="23"/>
    <n v="162"/>
    <n v="91"/>
    <n v="24"/>
    <n v="17"/>
    <n v="50"/>
    <n v="63"/>
    <n v="21"/>
    <n v="28"/>
    <n v="14"/>
    <n v="70"/>
    <n v="35"/>
    <n v="7"/>
    <n v="21"/>
    <n v="42"/>
    <n v="21"/>
    <n v="7"/>
    <n v="35"/>
    <n v="14"/>
    <n v="0"/>
    <n v="7"/>
    <n v="49"/>
    <n v="21"/>
    <n v="7"/>
    <n v="7"/>
    <n v="7"/>
    <n v="28"/>
    <n v="14"/>
    <n v="63"/>
    <n v="14"/>
    <n v="21"/>
    <n v="21"/>
    <n v="0"/>
    <n v="14"/>
    <n v="7"/>
    <n v="28"/>
    <n v="19"/>
    <n v="86.610000000000014"/>
    <n v="22866.55"/>
    <n v="11433.27"/>
    <n v="17589.650000000001"/>
    <n v="11433.27"/>
    <n v="24625.51"/>
    <n v="29000"/>
    <n v="12500"/>
    <n v="6498"/>
    <n v="17694"/>
    <n v="49237"/>
    <n v="30576"/>
    <n v="23946"/>
    <n v="13866"/>
    <n v="133000"/>
    <n v="34"/>
  </r>
  <r>
    <d v="2024-07-04T00:00:00"/>
    <x v="6"/>
    <n v="7"/>
    <n v="928"/>
    <n v="672"/>
    <n v="259"/>
    <n v="447"/>
    <n v="222"/>
    <n v="221"/>
    <n v="331"/>
    <n v="120"/>
    <n v="270"/>
    <n v="178"/>
    <n v="74"/>
    <n v="51"/>
    <n v="34"/>
    <n v="169"/>
    <n v="52"/>
    <n v="24"/>
    <n v="45"/>
    <n v="31"/>
    <n v="60"/>
    <n v="20"/>
    <n v="47"/>
    <n v="0"/>
    <n v="87"/>
    <n v="47"/>
    <n v="20"/>
    <n v="0"/>
    <n v="33"/>
    <n v="6"/>
    <n v="6"/>
    <n v="6"/>
    <n v="6"/>
    <n v="20"/>
    <n v="13"/>
    <n v="33"/>
    <n v="26"/>
    <n v="20"/>
    <n v="0"/>
    <n v="0"/>
    <n v="26"/>
    <n v="13"/>
    <n v="60"/>
    <n v="6"/>
    <n v="47"/>
    <n v="20"/>
    <n v="6"/>
    <n v="13"/>
    <n v="20"/>
    <n v="6"/>
    <n v="5"/>
    <n v="85.820000000000007"/>
    <n v="26852.38"/>
    <n v="19922.73"/>
    <n v="11260.68"/>
    <n v="15591.7"/>
    <n v="12993.09"/>
    <n v="29000"/>
    <n v="12500"/>
    <n v="6498"/>
    <n v="17694"/>
    <n v="49237"/>
    <n v="30576"/>
    <n v="23946"/>
    <n v="13866"/>
    <n v="133000"/>
    <n v="1604"/>
  </r>
  <r>
    <d v="2024-07-05T00:00:00"/>
    <x v="6"/>
    <n v="7"/>
    <n v="940"/>
    <n v="635"/>
    <n v="376"/>
    <n v="442"/>
    <n v="122"/>
    <n v="158"/>
    <n v="357"/>
    <n v="120"/>
    <n v="285"/>
    <n v="180"/>
    <n v="40"/>
    <n v="40"/>
    <n v="40"/>
    <n v="196"/>
    <n v="42"/>
    <n v="28"/>
    <n v="25"/>
    <n v="64"/>
    <n v="25"/>
    <n v="0"/>
    <n v="44"/>
    <n v="12"/>
    <n v="63"/>
    <n v="31"/>
    <n v="6"/>
    <n v="0"/>
    <n v="25"/>
    <n v="6"/>
    <n v="6"/>
    <n v="25"/>
    <n v="0"/>
    <n v="6"/>
    <n v="19"/>
    <n v="63"/>
    <n v="31"/>
    <n v="31"/>
    <n v="12"/>
    <n v="0"/>
    <n v="0"/>
    <n v="12"/>
    <n v="63"/>
    <n v="12"/>
    <n v="19"/>
    <n v="12"/>
    <n v="6"/>
    <n v="44"/>
    <n v="0"/>
    <n v="0"/>
    <n v="62"/>
    <n v="85.37"/>
    <n v="24027.88"/>
    <n v="14588.36"/>
    <n v="12872.08"/>
    <n v="19737.189999999999"/>
    <n v="14588.36"/>
    <n v="29000"/>
    <n v="12500"/>
    <n v="6498"/>
    <n v="17694"/>
    <n v="49237"/>
    <n v="30576"/>
    <n v="23946"/>
    <n v="13866"/>
    <n v="133000"/>
    <n v="8202"/>
  </r>
  <r>
    <d v="2024-07-06T00:00:00"/>
    <x v="6"/>
    <n v="7"/>
    <n v="965"/>
    <n v="608"/>
    <n v="386"/>
    <n v="358"/>
    <n v="221"/>
    <n v="127"/>
    <n v="342"/>
    <n v="139"/>
    <n v="293"/>
    <n v="65"/>
    <n v="89"/>
    <n v="65"/>
    <n v="47"/>
    <n v="183"/>
    <n v="44"/>
    <n v="51"/>
    <n v="36"/>
    <n v="92"/>
    <n v="30"/>
    <n v="0"/>
    <n v="24"/>
    <n v="18"/>
    <n v="79"/>
    <n v="48"/>
    <n v="0"/>
    <n v="0"/>
    <n v="18"/>
    <n v="12"/>
    <n v="0"/>
    <n v="24"/>
    <n v="0"/>
    <n v="6"/>
    <n v="18"/>
    <n v="48"/>
    <n v="12"/>
    <n v="30"/>
    <n v="0"/>
    <n v="6"/>
    <n v="12"/>
    <n v="12"/>
    <n v="66"/>
    <n v="18"/>
    <n v="30"/>
    <n v="6"/>
    <n v="0"/>
    <n v="42"/>
    <n v="0"/>
    <n v="6"/>
    <n v="43"/>
    <n v="85.18"/>
    <n v="28169.53"/>
    <n v="11097.09"/>
    <n v="21340.55"/>
    <n v="8536.2199999999993"/>
    <n v="16218.82"/>
    <n v="29000"/>
    <n v="12500"/>
    <n v="6498"/>
    <n v="17694"/>
    <n v="49237"/>
    <n v="30576"/>
    <n v="23946"/>
    <n v="13866"/>
    <n v="133000"/>
    <n v="1630"/>
  </r>
  <r>
    <d v="2024-07-07T00:00:00"/>
    <x v="6"/>
    <n v="7"/>
    <n v="984"/>
    <n v="585"/>
    <n v="403"/>
    <n v="463"/>
    <n v="118"/>
    <n v="187"/>
    <n v="369"/>
    <n v="29"/>
    <n v="323"/>
    <n v="30"/>
    <n v="85"/>
    <n v="48"/>
    <n v="54"/>
    <n v="198"/>
    <n v="78"/>
    <n v="29"/>
    <n v="29"/>
    <n v="110"/>
    <n v="58"/>
    <n v="17"/>
    <n v="23"/>
    <n v="11"/>
    <n v="4"/>
    <n v="40"/>
    <n v="17"/>
    <n v="11"/>
    <n v="11"/>
    <n v="0"/>
    <n v="0"/>
    <n v="11"/>
    <n v="17"/>
    <n v="5"/>
    <n v="11"/>
    <n v="52"/>
    <n v="29"/>
    <n v="23"/>
    <n v="5"/>
    <n v="0"/>
    <n v="23"/>
    <n v="17"/>
    <n v="64"/>
    <n v="17"/>
    <n v="52"/>
    <n v="17"/>
    <n v="5"/>
    <n v="5"/>
    <n v="17"/>
    <n v="23"/>
    <n v="0"/>
    <n v="85.460000000000008"/>
    <n v="22998.81"/>
    <n v="12777.11"/>
    <n v="11073.5"/>
    <n v="9369.8799999999992"/>
    <n v="28961.46"/>
    <n v="29000"/>
    <n v="12500"/>
    <n v="6498"/>
    <n v="17694"/>
    <n v="49237"/>
    <n v="30576"/>
    <n v="23946"/>
    <n v="13866"/>
    <n v="133000"/>
    <n v="6694"/>
  </r>
  <r>
    <d v="2024-07-08T00:00:00"/>
    <x v="6"/>
    <n v="7"/>
    <n v="989"/>
    <n v="570"/>
    <n v="484"/>
    <n v="288"/>
    <n v="217"/>
    <n v="165"/>
    <n v="343"/>
    <n v="62"/>
    <n v="275"/>
    <n v="165"/>
    <n v="42"/>
    <n v="42"/>
    <n v="49"/>
    <n v="165"/>
    <n v="131"/>
    <n v="33"/>
    <n v="41"/>
    <n v="46"/>
    <n v="79"/>
    <n v="11"/>
    <n v="28"/>
    <n v="11"/>
    <n v="74"/>
    <n v="34"/>
    <n v="17"/>
    <n v="5"/>
    <n v="22"/>
    <n v="11"/>
    <n v="5"/>
    <n v="17"/>
    <n v="11"/>
    <n v="0"/>
    <n v="0"/>
    <n v="28"/>
    <n v="5"/>
    <n v="22"/>
    <n v="5"/>
    <n v="5"/>
    <n v="5"/>
    <n v="17"/>
    <n v="39"/>
    <n v="5"/>
    <n v="17"/>
    <n v="11"/>
    <n v="0"/>
    <n v="39"/>
    <n v="22"/>
    <n v="22"/>
    <n v="3"/>
    <n v="86.31"/>
    <n v="27345.09"/>
    <n v="21363.35"/>
    <n v="17945.22"/>
    <n v="8799.75"/>
    <n v="10000"/>
    <n v="29000"/>
    <n v="10000"/>
    <n v="5044"/>
    <n v="10717"/>
    <n v="49237"/>
    <n v="30576"/>
    <n v="23946"/>
    <n v="13866"/>
    <n v="133000"/>
    <n v="6394"/>
  </r>
  <r>
    <d v="2024-07-09T00:00:00"/>
    <x v="6"/>
    <n v="7"/>
    <n v="984"/>
    <n v="557"/>
    <n v="265"/>
    <n v="523"/>
    <n v="196"/>
    <n v="206"/>
    <n v="296"/>
    <n v="55"/>
    <n v="225"/>
    <n v="189"/>
    <n v="79"/>
    <n v="85"/>
    <n v="42"/>
    <n v="175"/>
    <n v="59"/>
    <n v="44"/>
    <n v="56"/>
    <n v="30"/>
    <n v="27"/>
    <n v="0"/>
    <n v="27"/>
    <n v="0"/>
    <n v="44"/>
    <n v="50"/>
    <n v="0"/>
    <n v="0"/>
    <n v="16"/>
    <n v="16"/>
    <n v="0"/>
    <n v="5"/>
    <n v="16"/>
    <n v="11"/>
    <n v="11"/>
    <n v="22"/>
    <n v="38"/>
    <n v="22"/>
    <n v="0"/>
    <n v="0"/>
    <n v="5"/>
    <n v="5"/>
    <n v="44"/>
    <n v="11"/>
    <n v="50"/>
    <n v="11"/>
    <n v="5"/>
    <n v="5"/>
    <n v="11"/>
    <n v="0"/>
    <n v="105"/>
    <n v="87.490000000000009"/>
    <n v="29346.94"/>
    <n v="14673.47"/>
    <n v="12084.03"/>
    <n v="12947.18"/>
    <n v="17262.91"/>
    <n v="29000"/>
    <n v="10000"/>
    <n v="5044"/>
    <n v="10717"/>
    <n v="49237"/>
    <n v="30576"/>
    <n v="23946"/>
    <n v="13866"/>
    <n v="133000"/>
    <n v="8714"/>
  </r>
  <r>
    <d v="2024-07-10T00:00:00"/>
    <x v="6"/>
    <n v="7"/>
    <n v="962"/>
    <n v="550"/>
    <n v="240"/>
    <n v="540"/>
    <n v="182"/>
    <n v="225"/>
    <n v="199"/>
    <n v="126"/>
    <n v="292"/>
    <n v="172"/>
    <n v="53"/>
    <n v="83"/>
    <n v="11"/>
    <n v="127"/>
    <n v="69"/>
    <n v="36"/>
    <n v="36"/>
    <n v="83"/>
    <n v="71"/>
    <n v="0"/>
    <n v="33"/>
    <n v="11"/>
    <n v="23"/>
    <n v="33"/>
    <n v="5"/>
    <n v="16"/>
    <n v="22"/>
    <n v="16"/>
    <n v="0"/>
    <n v="16"/>
    <n v="11"/>
    <n v="0"/>
    <n v="0"/>
    <n v="44"/>
    <n v="27"/>
    <n v="5"/>
    <n v="0"/>
    <n v="5"/>
    <n v="16"/>
    <n v="16"/>
    <n v="49"/>
    <n v="16"/>
    <n v="38"/>
    <n v="22"/>
    <n v="0"/>
    <n v="33"/>
    <n v="11"/>
    <n v="11"/>
    <n v="0"/>
    <n v="88.06"/>
    <n v="23620.51"/>
    <n v="20996.01"/>
    <n v="20121.18"/>
    <n v="13997.34"/>
    <n v="8748.34"/>
    <n v="29000"/>
    <n v="10000"/>
    <n v="5044"/>
    <n v="10717"/>
    <n v="49237"/>
    <n v="30576"/>
    <n v="23946"/>
    <n v="13866"/>
    <n v="133000"/>
    <n v="1353"/>
  </r>
  <r>
    <d v="2024-07-11T00:00:00"/>
    <x v="6"/>
    <n v="7"/>
    <n v="937"/>
    <n v="548"/>
    <n v="412"/>
    <n v="394"/>
    <n v="131"/>
    <n v="235"/>
    <n v="231"/>
    <n v="82"/>
    <n v="197"/>
    <n v="121"/>
    <n v="46"/>
    <n v="29"/>
    <n v="23"/>
    <n v="145"/>
    <n v="121"/>
    <n v="35"/>
    <n v="28"/>
    <n v="192"/>
    <n v="38"/>
    <n v="16"/>
    <n v="27"/>
    <n v="0"/>
    <n v="47"/>
    <n v="27"/>
    <n v="0"/>
    <n v="16"/>
    <n v="27"/>
    <n v="5"/>
    <n v="0"/>
    <n v="27"/>
    <n v="16"/>
    <n v="5"/>
    <n v="5"/>
    <n v="27"/>
    <n v="38"/>
    <n v="16"/>
    <n v="5"/>
    <n v="5"/>
    <n v="21"/>
    <n v="5"/>
    <n v="54"/>
    <n v="16"/>
    <n v="43"/>
    <n v="5"/>
    <n v="5"/>
    <n v="32"/>
    <n v="10"/>
    <n v="10"/>
    <n v="0"/>
    <n v="88.320000000000007"/>
    <n v="26418.44"/>
    <n v="21134.75"/>
    <n v="17612.3"/>
    <n v="12328.61"/>
    <n v="10567.38"/>
    <n v="29000"/>
    <n v="10000"/>
    <n v="5044"/>
    <n v="10717"/>
    <n v="49237"/>
    <n v="30576"/>
    <n v="23946"/>
    <n v="13866"/>
    <n v="133000"/>
    <n v="7781"/>
  </r>
  <r>
    <d v="2024-07-12T00:00:00"/>
    <x v="6"/>
    <n v="7"/>
    <n v="916"/>
    <n v="548"/>
    <n v="348"/>
    <n v="376"/>
    <n v="192"/>
    <n v="197"/>
    <n v="220"/>
    <n v="131"/>
    <n v="238"/>
    <n v="130"/>
    <n v="85"/>
    <n v="85"/>
    <n v="39"/>
    <n v="132"/>
    <n v="20"/>
    <n v="38"/>
    <n v="20"/>
    <n v="129"/>
    <n v="76"/>
    <n v="0"/>
    <n v="16"/>
    <n v="5"/>
    <n v="56"/>
    <n v="49"/>
    <n v="16"/>
    <n v="10"/>
    <n v="21"/>
    <n v="5"/>
    <n v="5"/>
    <n v="16"/>
    <n v="5"/>
    <n v="5"/>
    <n v="5"/>
    <n v="49"/>
    <n v="32"/>
    <n v="27"/>
    <n v="0"/>
    <n v="0"/>
    <n v="0"/>
    <n v="16"/>
    <n v="49"/>
    <n v="16"/>
    <n v="32"/>
    <n v="5"/>
    <n v="0"/>
    <n v="27"/>
    <n v="5"/>
    <n v="0"/>
    <n v="0"/>
    <n v="88.33"/>
    <n v="26498.06"/>
    <n v="11482.49"/>
    <n v="16782.11"/>
    <n v="14132.3"/>
    <n v="19431.91"/>
    <n v="29000"/>
    <n v="10000"/>
    <n v="5044"/>
    <n v="10717"/>
    <n v="49237"/>
    <n v="30576"/>
    <n v="23946"/>
    <n v="13866"/>
    <n v="133000"/>
    <n v="7524"/>
  </r>
  <r>
    <d v="2024-07-13T00:00:00"/>
    <x v="6"/>
    <n v="7"/>
    <n v="908"/>
    <n v="550"/>
    <n v="254"/>
    <n v="546"/>
    <n v="108"/>
    <n v="192"/>
    <n v="221"/>
    <n v="137"/>
    <n v="299"/>
    <n v="151"/>
    <n v="84"/>
    <n v="39"/>
    <n v="16"/>
    <n v="162"/>
    <n v="62"/>
    <n v="51"/>
    <n v="44"/>
    <n v="0"/>
    <n v="77"/>
    <n v="11"/>
    <n v="22"/>
    <n v="5"/>
    <n v="1"/>
    <n v="49"/>
    <n v="5"/>
    <n v="0"/>
    <n v="33"/>
    <n v="16"/>
    <n v="0"/>
    <n v="27"/>
    <n v="0"/>
    <n v="11"/>
    <n v="16"/>
    <n v="33"/>
    <n v="16"/>
    <n v="22"/>
    <n v="5"/>
    <n v="0"/>
    <n v="16"/>
    <n v="22"/>
    <n v="60"/>
    <n v="5"/>
    <n v="22"/>
    <n v="16"/>
    <n v="5"/>
    <n v="33"/>
    <n v="0"/>
    <n v="22"/>
    <n v="0"/>
    <n v="88.139999999999986"/>
    <n v="22081.72"/>
    <n v="18548.64"/>
    <n v="13249.03"/>
    <n v="9715.9599999999991"/>
    <n v="24731.52"/>
    <n v="29000"/>
    <n v="10000"/>
    <n v="5044"/>
    <n v="10717"/>
    <n v="49237"/>
    <n v="30576"/>
    <n v="23946"/>
    <n v="13866"/>
    <n v="133000"/>
    <n v="1110"/>
  </r>
  <r>
    <d v="2024-07-14T00:00:00"/>
    <x v="6"/>
    <n v="7"/>
    <n v="905"/>
    <n v="560"/>
    <n v="217"/>
    <n v="480"/>
    <n v="208"/>
    <n v="296"/>
    <n v="214"/>
    <n v="50"/>
    <n v="201"/>
    <n v="39"/>
    <n v="61"/>
    <n v="78"/>
    <n v="44"/>
    <n v="151"/>
    <n v="89"/>
    <n v="27"/>
    <n v="34"/>
    <n v="181"/>
    <n v="39"/>
    <n v="11"/>
    <n v="16"/>
    <n v="11"/>
    <n v="61"/>
    <n v="44"/>
    <n v="0"/>
    <n v="0"/>
    <n v="28"/>
    <n v="5"/>
    <n v="5"/>
    <n v="28"/>
    <n v="11"/>
    <n v="16"/>
    <n v="0"/>
    <n v="28"/>
    <n v="33"/>
    <n v="28"/>
    <n v="11"/>
    <n v="0"/>
    <n v="5"/>
    <n v="16"/>
    <n v="39"/>
    <n v="11"/>
    <n v="44"/>
    <n v="11"/>
    <n v="0"/>
    <n v="11"/>
    <n v="0"/>
    <n v="16"/>
    <n v="32"/>
    <n v="87.360000000000014"/>
    <n v="29089.62"/>
    <n v="20274.59"/>
    <n v="11459.55"/>
    <n v="7052.03"/>
    <n v="20274.59"/>
    <n v="29000"/>
    <n v="10000"/>
    <n v="5044"/>
    <n v="10717"/>
    <n v="49237"/>
    <n v="30576"/>
    <n v="23946"/>
    <n v="13866"/>
    <n v="133000"/>
    <n v="4190"/>
  </r>
  <r>
    <d v="2024-07-15T00:00:00"/>
    <x v="6"/>
    <n v="7"/>
    <n v="910"/>
    <n v="575"/>
    <n v="354"/>
    <n v="365"/>
    <n v="191"/>
    <n v="264"/>
    <n v="283"/>
    <n v="28"/>
    <n v="191"/>
    <n v="39"/>
    <n v="56"/>
    <n v="28"/>
    <n v="16"/>
    <n v="169"/>
    <n v="93"/>
    <n v="41"/>
    <n v="20"/>
    <n v="257"/>
    <n v="28"/>
    <n v="17"/>
    <n v="40"/>
    <n v="0"/>
    <n v="34"/>
    <n v="51"/>
    <n v="11"/>
    <n v="5"/>
    <n v="34"/>
    <n v="0"/>
    <n v="5"/>
    <n v="11"/>
    <n v="11"/>
    <n v="11"/>
    <n v="5"/>
    <n v="46"/>
    <n v="23"/>
    <n v="5"/>
    <n v="17"/>
    <n v="0"/>
    <n v="23"/>
    <n v="17"/>
    <n v="46"/>
    <n v="11"/>
    <n v="23"/>
    <n v="23"/>
    <n v="5"/>
    <n v="23"/>
    <n v="17"/>
    <n v="23"/>
    <n v="10"/>
    <n v="85.98"/>
    <n v="28827.1"/>
    <n v="20091.62"/>
    <n v="9609.0300000000007"/>
    <n v="12229.68"/>
    <n v="16597.419999999998"/>
    <n v="25500"/>
    <n v="10000"/>
    <n v="8956"/>
    <n v="10717"/>
    <n v="49237"/>
    <n v="30576"/>
    <n v="23946"/>
    <n v="13866"/>
    <n v="133000"/>
    <n v="3635"/>
  </r>
  <r>
    <d v="2024-07-16T00:00:00"/>
    <x v="6"/>
    <n v="7"/>
    <n v="917"/>
    <n v="593"/>
    <n v="265"/>
    <n v="460"/>
    <n v="192"/>
    <n v="308"/>
    <n v="244"/>
    <n v="41"/>
    <n v="233"/>
    <n v="28"/>
    <n v="56"/>
    <n v="85"/>
    <n v="45"/>
    <n v="177"/>
    <n v="83"/>
    <n v="38"/>
    <n v="34"/>
    <n v="138"/>
    <n v="29"/>
    <n v="5"/>
    <n v="35"/>
    <n v="0"/>
    <n v="7"/>
    <n v="41"/>
    <n v="17"/>
    <n v="11"/>
    <n v="35"/>
    <n v="5"/>
    <n v="0"/>
    <n v="29"/>
    <n v="5"/>
    <n v="17"/>
    <n v="11"/>
    <n v="53"/>
    <n v="11"/>
    <n v="23"/>
    <n v="5"/>
    <n v="0"/>
    <n v="17"/>
    <n v="23"/>
    <n v="65"/>
    <n v="11"/>
    <n v="53"/>
    <n v="23"/>
    <n v="5"/>
    <n v="29"/>
    <n v="23"/>
    <n v="5"/>
    <n v="0"/>
    <n v="84.63000000000001"/>
    <n v="22353.37"/>
    <n v="12036.43"/>
    <n v="16335.16"/>
    <n v="19774.14"/>
    <n v="15475.41"/>
    <n v="25500"/>
    <n v="10000"/>
    <n v="8956"/>
    <n v="10717"/>
    <n v="49237"/>
    <n v="30576"/>
    <n v="23946"/>
    <n v="13866"/>
    <n v="133000"/>
    <n v="1279"/>
  </r>
  <r>
    <d v="2024-07-17T00:00:00"/>
    <x v="6"/>
    <n v="7"/>
    <n v="937"/>
    <n v="624"/>
    <n v="440"/>
    <n v="338"/>
    <n v="159"/>
    <n v="230"/>
    <n v="332"/>
    <n v="62"/>
    <n v="197"/>
    <n v="168"/>
    <n v="40"/>
    <n v="40"/>
    <n v="46"/>
    <n v="135"/>
    <n v="106"/>
    <n v="24"/>
    <n v="28"/>
    <n v="153"/>
    <n v="62"/>
    <n v="0"/>
    <n v="37"/>
    <n v="12"/>
    <n v="62"/>
    <n v="43"/>
    <n v="0"/>
    <n v="18"/>
    <n v="37"/>
    <n v="18"/>
    <n v="0"/>
    <n v="6"/>
    <n v="18"/>
    <n v="6"/>
    <n v="6"/>
    <n v="37"/>
    <n v="24"/>
    <n v="31"/>
    <n v="0"/>
    <n v="0"/>
    <n v="0"/>
    <n v="12"/>
    <n v="49"/>
    <n v="6"/>
    <n v="37"/>
    <n v="12"/>
    <n v="6"/>
    <n v="12"/>
    <n v="12"/>
    <n v="12"/>
    <n v="49"/>
    <n v="83.570000000000007"/>
    <n v="29617.31"/>
    <n v="11000.72"/>
    <n v="18616.599999999999"/>
    <n v="18616.599999999999"/>
    <n v="6769.67"/>
    <n v="25500"/>
    <n v="10000"/>
    <n v="8956"/>
    <n v="10717"/>
    <n v="49237"/>
    <n v="30576"/>
    <n v="23946"/>
    <n v="13866"/>
    <n v="133000"/>
    <n v="4237"/>
  </r>
  <r>
    <d v="2024-07-18T00:00:00"/>
    <x v="6"/>
    <n v="7"/>
    <n v="960"/>
    <n v="658"/>
    <n v="288"/>
    <n v="500"/>
    <n v="172"/>
    <n v="322"/>
    <n v="179"/>
    <n v="157"/>
    <n v="291"/>
    <n v="160"/>
    <n v="65"/>
    <n v="41"/>
    <n v="17"/>
    <n v="189"/>
    <n v="91"/>
    <n v="25"/>
    <n v="21"/>
    <n v="60"/>
    <n v="78"/>
    <n v="13"/>
    <n v="32"/>
    <n v="0"/>
    <n v="34"/>
    <n v="39"/>
    <n v="6"/>
    <n v="13"/>
    <n v="19"/>
    <n v="6"/>
    <n v="6"/>
    <n v="32"/>
    <n v="13"/>
    <n v="0"/>
    <n v="19"/>
    <n v="32"/>
    <n v="26"/>
    <n v="13"/>
    <n v="19"/>
    <n v="6"/>
    <n v="19"/>
    <n v="19"/>
    <n v="59"/>
    <n v="19"/>
    <n v="59"/>
    <n v="26"/>
    <n v="0"/>
    <n v="19"/>
    <n v="13"/>
    <n v="19"/>
    <n v="0"/>
    <n v="83.149999999999991"/>
    <n v="29249.279999999999"/>
    <n v="16713.87"/>
    <n v="8356.94"/>
    <n v="20892.34"/>
    <n v="8356.94"/>
    <n v="25500"/>
    <n v="12500"/>
    <n v="8956"/>
    <n v="19494"/>
    <n v="49237"/>
    <n v="30576"/>
    <n v="23946"/>
    <n v="13866"/>
    <n v="133000"/>
    <n v="7628"/>
  </r>
  <r>
    <d v="2024-07-19T00:00:00"/>
    <x v="6"/>
    <n v="7"/>
    <n v="985"/>
    <n v="692"/>
    <n v="512"/>
    <n v="276"/>
    <n v="197"/>
    <n v="221"/>
    <n v="437"/>
    <n v="34"/>
    <n v="238"/>
    <n v="128"/>
    <n v="42"/>
    <n v="48"/>
    <n v="61"/>
    <n v="142"/>
    <n v="86"/>
    <n v="33"/>
    <n v="48"/>
    <n v="159"/>
    <n v="76"/>
    <n v="20"/>
    <n v="48"/>
    <n v="0"/>
    <n v="69"/>
    <n v="48"/>
    <n v="13"/>
    <n v="20"/>
    <n v="34"/>
    <n v="0"/>
    <n v="0"/>
    <n v="13"/>
    <n v="0"/>
    <n v="20"/>
    <n v="20"/>
    <n v="55"/>
    <n v="41"/>
    <n v="27"/>
    <n v="13"/>
    <n v="0"/>
    <n v="27"/>
    <n v="13"/>
    <n v="0"/>
    <n v="20"/>
    <n v="23"/>
    <n v="20"/>
    <n v="0"/>
    <n v="48"/>
    <n v="13"/>
    <n v="6"/>
    <n v="5"/>
    <n v="83"/>
    <n v="23283.01"/>
    <n v="18293.8"/>
    <n v="13304.58"/>
    <n v="14136.12"/>
    <n v="14136.12"/>
    <n v="25500"/>
    <n v="12500"/>
    <n v="8956"/>
    <n v="19494"/>
    <n v="49237"/>
    <n v="30576"/>
    <n v="23946"/>
    <n v="13866"/>
    <n v="133000"/>
    <n v="4245"/>
  </r>
  <r>
    <d v="2024-07-20T00:00:00"/>
    <x v="6"/>
    <n v="7"/>
    <n v="1010"/>
    <n v="723"/>
    <n v="535"/>
    <n v="385"/>
    <n v="90"/>
    <n v="303"/>
    <n v="355"/>
    <n v="65"/>
    <n v="288"/>
    <n v="206"/>
    <n v="75"/>
    <n v="43"/>
    <n v="25"/>
    <n v="130"/>
    <n v="61"/>
    <n v="46"/>
    <n v="19"/>
    <n v="117"/>
    <n v="36"/>
    <n v="21"/>
    <n v="43"/>
    <n v="21"/>
    <n v="43"/>
    <n v="50"/>
    <n v="0"/>
    <n v="7"/>
    <n v="21"/>
    <n v="21"/>
    <n v="7"/>
    <n v="36"/>
    <n v="21"/>
    <n v="21"/>
    <n v="0"/>
    <n v="28"/>
    <n v="21"/>
    <n v="28"/>
    <n v="14"/>
    <n v="0"/>
    <n v="21"/>
    <n v="21"/>
    <n v="50"/>
    <n v="21"/>
    <n v="50"/>
    <n v="28"/>
    <n v="7"/>
    <n v="21"/>
    <n v="7"/>
    <n v="7"/>
    <n v="51"/>
    <n v="83.12"/>
    <n v="27394.77"/>
    <n v="18263.18"/>
    <n v="19923.47"/>
    <n v="7433.04"/>
    <n v="10000"/>
    <n v="25500"/>
    <n v="12500"/>
    <n v="8956"/>
    <n v="19494"/>
    <n v="49237"/>
    <n v="30576"/>
    <n v="23946"/>
    <n v="13866"/>
    <n v="133000"/>
    <n v="1231"/>
  </r>
  <r>
    <d v="2024-07-21T00:00:00"/>
    <x v="6"/>
    <n v="7"/>
    <n v="1031"/>
    <n v="758"/>
    <n v="278"/>
    <n v="506"/>
    <n v="247"/>
    <n v="325"/>
    <n v="350"/>
    <n v="83"/>
    <n v="255"/>
    <n v="127"/>
    <n v="95"/>
    <n v="83"/>
    <n v="44"/>
    <n v="137"/>
    <n v="35"/>
    <n v="50"/>
    <n v="35"/>
    <n v="170"/>
    <n v="68"/>
    <n v="15"/>
    <n v="30"/>
    <n v="0"/>
    <n v="53"/>
    <n v="45"/>
    <n v="15"/>
    <n v="22"/>
    <n v="45"/>
    <n v="7"/>
    <n v="7"/>
    <n v="30"/>
    <n v="7"/>
    <n v="15"/>
    <n v="15"/>
    <n v="30"/>
    <n v="15"/>
    <n v="37"/>
    <n v="7"/>
    <n v="0"/>
    <n v="7"/>
    <n v="30"/>
    <n v="60"/>
    <n v="15"/>
    <n v="30"/>
    <n v="37"/>
    <n v="7"/>
    <n v="53"/>
    <n v="22"/>
    <n v="7"/>
    <n v="27"/>
    <n v="83.71"/>
    <n v="28256.5"/>
    <n v="13297.18"/>
    <n v="12466.1"/>
    <n v="11635.03"/>
    <n v="17452.55"/>
    <n v="25500"/>
    <n v="12500"/>
    <n v="8956"/>
    <n v="19494"/>
    <n v="49237"/>
    <n v="30576"/>
    <n v="23946"/>
    <n v="13866"/>
    <n v="133000"/>
    <n v="4160"/>
  </r>
  <r>
    <d v="2024-07-22T00:00:00"/>
    <x v="6"/>
    <n v="7"/>
    <n v="1050"/>
    <n v="782"/>
    <n v="514"/>
    <n v="400"/>
    <n v="136"/>
    <n v="172"/>
    <n v="493"/>
    <n v="117"/>
    <n v="351"/>
    <n v="195"/>
    <n v="65"/>
    <n v="39"/>
    <n v="45"/>
    <n v="135"/>
    <n v="51"/>
    <n v="59"/>
    <n v="19"/>
    <n v="91"/>
    <n v="54"/>
    <n v="15"/>
    <n v="31"/>
    <n v="0"/>
    <n v="70"/>
    <n v="54"/>
    <n v="7"/>
    <n v="7"/>
    <n v="15"/>
    <n v="23"/>
    <n v="0"/>
    <n v="31"/>
    <n v="15"/>
    <n v="23"/>
    <n v="7"/>
    <n v="46"/>
    <n v="46"/>
    <n v="23"/>
    <n v="15"/>
    <n v="0"/>
    <n v="0"/>
    <n v="15"/>
    <n v="70"/>
    <n v="15"/>
    <n v="39"/>
    <n v="39"/>
    <n v="0"/>
    <n v="39"/>
    <n v="23"/>
    <n v="23"/>
    <n v="37"/>
    <n v="85.29"/>
    <n v="22601.87"/>
    <n v="16742.13"/>
    <n v="15905.02"/>
    <n v="20090.55"/>
    <n v="8371.06"/>
    <n v="25500"/>
    <n v="12500"/>
    <n v="8956"/>
    <n v="19494"/>
    <n v="49237"/>
    <n v="30576"/>
    <n v="23946"/>
    <n v="13866"/>
    <n v="133000"/>
    <n v="2172"/>
  </r>
  <r>
    <d v="2024-07-23T00:00:00"/>
    <x v="6"/>
    <n v="7"/>
    <n v="1058"/>
    <n v="803"/>
    <n v="243"/>
    <n v="657"/>
    <n v="158"/>
    <n v="216"/>
    <n v="395"/>
    <n v="192"/>
    <n v="282"/>
    <n v="229"/>
    <n v="59"/>
    <n v="45"/>
    <n v="59"/>
    <n v="140"/>
    <n v="56"/>
    <n v="40"/>
    <n v="20"/>
    <n v="128"/>
    <n v="104"/>
    <n v="24"/>
    <n v="32"/>
    <n v="0"/>
    <n v="75"/>
    <n v="40"/>
    <n v="8"/>
    <n v="24"/>
    <n v="24"/>
    <n v="24"/>
    <n v="0"/>
    <n v="40"/>
    <n v="24"/>
    <n v="0"/>
    <n v="16"/>
    <n v="64"/>
    <n v="8"/>
    <n v="24"/>
    <n v="8"/>
    <n v="0"/>
    <n v="0"/>
    <n v="16"/>
    <n v="88"/>
    <n v="8"/>
    <n v="56"/>
    <n v="16"/>
    <n v="0"/>
    <n v="48"/>
    <n v="0"/>
    <n v="32"/>
    <n v="0"/>
    <n v="85.96"/>
    <n v="29847.7"/>
    <n v="15350.25"/>
    <n v="20467"/>
    <n v="17908.62"/>
    <n v="1705.58"/>
    <n v="25500"/>
    <n v="12500"/>
    <n v="8956"/>
    <n v="19494"/>
    <n v="49237"/>
    <n v="30576"/>
    <n v="23946"/>
    <n v="13866"/>
    <n v="133000"/>
    <n v="7165"/>
  </r>
  <r>
    <d v="2024-07-24T00:00:00"/>
    <x v="6"/>
    <n v="7"/>
    <n v="1064"/>
    <n v="814"/>
    <n v="329"/>
    <n v="523"/>
    <n v="212"/>
    <n v="211"/>
    <n v="522"/>
    <n v="81"/>
    <n v="336"/>
    <n v="65"/>
    <n v="98"/>
    <n v="72"/>
    <n v="13"/>
    <n v="181"/>
    <n v="36"/>
    <n v="56"/>
    <n v="28"/>
    <n v="179"/>
    <n v="56"/>
    <n v="24"/>
    <n v="48"/>
    <n v="0"/>
    <n v="56"/>
    <n v="56"/>
    <n v="0"/>
    <n v="24"/>
    <n v="24"/>
    <n v="24"/>
    <n v="0"/>
    <n v="32"/>
    <n v="0"/>
    <n v="24"/>
    <n v="0"/>
    <n v="32"/>
    <n v="24"/>
    <n v="32"/>
    <n v="16"/>
    <n v="8"/>
    <n v="16"/>
    <n v="24"/>
    <n v="73"/>
    <n v="16"/>
    <n v="65"/>
    <n v="24"/>
    <n v="8"/>
    <n v="56"/>
    <n v="0"/>
    <n v="0"/>
    <n v="52"/>
    <n v="86.15"/>
    <n v="28367.1"/>
    <n v="16332.57"/>
    <n v="18911.400000000001"/>
    <n v="16332.57"/>
    <n v="6017.26"/>
    <n v="25500"/>
    <n v="12500"/>
    <n v="8956"/>
    <n v="19494"/>
    <n v="49237"/>
    <n v="30576"/>
    <n v="23946"/>
    <n v="13866"/>
    <n v="133000"/>
    <n v="7677"/>
  </r>
  <r>
    <d v="2024-07-25T00:00:00"/>
    <x v="6"/>
    <n v="7"/>
    <n v="1063"/>
    <n v="822"/>
    <n v="233"/>
    <n v="724"/>
    <n v="106"/>
    <n v="221"/>
    <n v="478"/>
    <n v="123"/>
    <n v="336"/>
    <n v="204"/>
    <n v="72"/>
    <n v="46"/>
    <n v="32"/>
    <n v="145"/>
    <n v="44"/>
    <n v="60"/>
    <n v="60"/>
    <n v="64"/>
    <n v="106"/>
    <n v="16"/>
    <n v="49"/>
    <n v="16"/>
    <n v="37"/>
    <n v="57"/>
    <n v="0"/>
    <n v="8"/>
    <n v="49"/>
    <n v="8"/>
    <n v="0"/>
    <n v="16"/>
    <n v="24"/>
    <n v="16"/>
    <n v="16"/>
    <n v="32"/>
    <n v="49"/>
    <n v="8"/>
    <n v="8"/>
    <n v="8"/>
    <n v="32"/>
    <n v="32"/>
    <n v="82"/>
    <n v="16"/>
    <n v="41"/>
    <n v="32"/>
    <n v="8"/>
    <n v="24"/>
    <n v="0"/>
    <n v="32"/>
    <n v="0"/>
    <n v="86.149999999999991"/>
    <n v="28426.7"/>
    <n v="13782.64"/>
    <n v="21535.38"/>
    <n v="15505.47"/>
    <n v="6891.32"/>
    <n v="25500"/>
    <n v="12500"/>
    <n v="8956"/>
    <n v="19494"/>
    <n v="49237"/>
    <n v="30576"/>
    <n v="23946"/>
    <n v="13866"/>
    <n v="133000"/>
    <n v="8570"/>
  </r>
  <r>
    <d v="2024-07-26T00:00:00"/>
    <x v="6"/>
    <n v="7"/>
    <n v="1055"/>
    <n v="827"/>
    <n v="495"/>
    <n v="392"/>
    <n v="168"/>
    <n v="339"/>
    <n v="298"/>
    <n v="190"/>
    <n v="346"/>
    <n v="39"/>
    <n v="71"/>
    <n v="58"/>
    <n v="19"/>
    <n v="152"/>
    <n v="112"/>
    <n v="36"/>
    <n v="56"/>
    <n v="166"/>
    <n v="66"/>
    <n v="8"/>
    <n v="24"/>
    <n v="0"/>
    <n v="57"/>
    <n v="41"/>
    <n v="8"/>
    <n v="24"/>
    <n v="33"/>
    <n v="24"/>
    <n v="0"/>
    <n v="41"/>
    <n v="0"/>
    <n v="16"/>
    <n v="0"/>
    <n v="82"/>
    <n v="16"/>
    <n v="33"/>
    <n v="16"/>
    <n v="0"/>
    <n v="33"/>
    <n v="16"/>
    <n v="74"/>
    <n v="24"/>
    <n v="24"/>
    <n v="24"/>
    <n v="8"/>
    <n v="8"/>
    <n v="8"/>
    <n v="16"/>
    <n v="103"/>
    <n v="85.600000000000009"/>
    <n v="24119.63"/>
    <n v="21535.38"/>
    <n v="12059.81"/>
    <n v="12921.23"/>
    <n v="15505.47"/>
    <n v="25500"/>
    <n v="12500"/>
    <n v="8956"/>
    <n v="19494"/>
    <n v="49237"/>
    <n v="30576"/>
    <n v="23946"/>
    <n v="13866"/>
    <n v="133000"/>
    <n v="585"/>
  </r>
  <r>
    <d v="2024-07-27T00:00:00"/>
    <x v="6"/>
    <n v="7"/>
    <n v="1033"/>
    <n v="825"/>
    <n v="247"/>
    <n v="683"/>
    <n v="103"/>
    <n v="247"/>
    <n v="422"/>
    <n v="156"/>
    <n v="230"/>
    <n v="44"/>
    <n v="76"/>
    <n v="70"/>
    <n v="38"/>
    <n v="211"/>
    <n v="125"/>
    <n v="35"/>
    <n v="39"/>
    <n v="165"/>
    <n v="107"/>
    <n v="8"/>
    <n v="24"/>
    <n v="16"/>
    <n v="26"/>
    <n v="74"/>
    <n v="24"/>
    <n v="0"/>
    <n v="41"/>
    <n v="8"/>
    <n v="0"/>
    <n v="16"/>
    <n v="8"/>
    <n v="24"/>
    <n v="8"/>
    <n v="82"/>
    <n v="33"/>
    <n v="33"/>
    <n v="0"/>
    <n v="8"/>
    <n v="16"/>
    <n v="8"/>
    <n v="74"/>
    <n v="24"/>
    <n v="74"/>
    <n v="24"/>
    <n v="0"/>
    <n v="16"/>
    <n v="33"/>
    <n v="16"/>
    <n v="0"/>
    <n v="84.84"/>
    <n v="23112.15"/>
    <n v="13696.09"/>
    <n v="9416.06"/>
    <n v="18832.13"/>
    <n v="20544.14"/>
    <n v="25500"/>
    <n v="12500"/>
    <n v="8956"/>
    <n v="19494"/>
    <n v="49237"/>
    <n v="30576"/>
    <n v="23946"/>
    <n v="13866"/>
    <n v="133000"/>
    <n v="4413"/>
  </r>
  <r>
    <d v="2024-07-28T00:00:00"/>
    <x v="6"/>
    <n v="7"/>
    <n v="1007"/>
    <n v="811"/>
    <n v="211"/>
    <n v="726"/>
    <n v="70"/>
    <n v="162"/>
    <n v="495"/>
    <n v="154"/>
    <n v="280"/>
    <n v="43"/>
    <n v="74"/>
    <n v="37"/>
    <n v="43"/>
    <n v="198"/>
    <n v="99"/>
    <n v="38"/>
    <n v="38"/>
    <n v="157"/>
    <n v="81"/>
    <n v="16"/>
    <n v="40"/>
    <n v="24"/>
    <n v="81"/>
    <n v="72"/>
    <n v="8"/>
    <n v="8"/>
    <n v="48"/>
    <n v="16"/>
    <n v="0"/>
    <n v="16"/>
    <n v="0"/>
    <n v="16"/>
    <n v="8"/>
    <n v="48"/>
    <n v="56"/>
    <n v="8"/>
    <n v="16"/>
    <n v="0"/>
    <n v="16"/>
    <n v="24"/>
    <n v="0"/>
    <n v="24"/>
    <n v="72"/>
    <n v="9"/>
    <n v="8"/>
    <n v="56"/>
    <n v="24"/>
    <n v="16"/>
    <n v="0"/>
    <n v="83.82"/>
    <n v="22055.87"/>
    <n v="20359.259999999998"/>
    <n v="16966.05"/>
    <n v="11876.24"/>
    <n v="13572.84"/>
    <n v="25500"/>
    <n v="12500"/>
    <n v="8956"/>
    <n v="19494"/>
    <n v="49237"/>
    <n v="30576"/>
    <n v="23946"/>
    <n v="13866"/>
    <n v="133000"/>
    <n v="1425"/>
  </r>
  <r>
    <d v="2024-07-29T00:00:00"/>
    <x v="6"/>
    <n v="7"/>
    <n v="990"/>
    <n v="790"/>
    <n v="405"/>
    <n v="427"/>
    <n v="158"/>
    <n v="308"/>
    <n v="443"/>
    <n v="39"/>
    <n v="300"/>
    <n v="184"/>
    <n v="61"/>
    <n v="61"/>
    <n v="49"/>
    <n v="199"/>
    <n v="37"/>
    <n v="26"/>
    <n v="37"/>
    <n v="36"/>
    <n v="31"/>
    <n v="15"/>
    <n v="39"/>
    <n v="0"/>
    <n v="126"/>
    <n v="47"/>
    <n v="23"/>
    <n v="0"/>
    <n v="23"/>
    <n v="15"/>
    <n v="7"/>
    <n v="7"/>
    <n v="7"/>
    <n v="0"/>
    <n v="7"/>
    <n v="39"/>
    <n v="23"/>
    <n v="31"/>
    <n v="23"/>
    <n v="7"/>
    <n v="0"/>
    <n v="7"/>
    <n v="79"/>
    <n v="15"/>
    <n v="31"/>
    <n v="7"/>
    <n v="0"/>
    <n v="39"/>
    <n v="23"/>
    <n v="0"/>
    <n v="119"/>
    <n v="82.59"/>
    <n v="24309.51"/>
    <n v="20118.22"/>
    <n v="8382.59"/>
    <n v="13412.14"/>
    <n v="17603.439999999999"/>
    <n v="25500"/>
    <n v="12500"/>
    <n v="8956"/>
    <n v="19494"/>
    <n v="49237"/>
    <n v="30576"/>
    <n v="23946"/>
    <n v="13866"/>
    <n v="133000"/>
    <n v="1646"/>
  </r>
  <r>
    <d v="2024-07-30T00:00:00"/>
    <x v="6"/>
    <n v="7"/>
    <n v="984"/>
    <n v="757"/>
    <n v="511"/>
    <n v="395"/>
    <n v="78"/>
    <n v="295"/>
    <n v="394"/>
    <n v="68"/>
    <n v="311"/>
    <n v="54"/>
    <n v="48"/>
    <n v="85"/>
    <n v="54"/>
    <n v="183"/>
    <n v="104"/>
    <n v="44"/>
    <n v="44"/>
    <n v="57"/>
    <n v="68"/>
    <n v="7"/>
    <n v="22"/>
    <n v="15"/>
    <n v="57"/>
    <n v="60"/>
    <n v="15"/>
    <n v="15"/>
    <n v="37"/>
    <n v="15"/>
    <n v="7"/>
    <n v="15"/>
    <n v="22"/>
    <n v="0"/>
    <n v="22"/>
    <n v="60"/>
    <n v="45"/>
    <n v="22"/>
    <n v="0"/>
    <n v="7"/>
    <n v="0"/>
    <n v="15"/>
    <n v="68"/>
    <n v="22"/>
    <n v="60"/>
    <n v="7"/>
    <n v="7"/>
    <n v="22"/>
    <n v="30"/>
    <n v="15"/>
    <n v="0"/>
    <n v="81"/>
    <n v="26425.95"/>
    <n v="19819.46"/>
    <n v="15690.41"/>
    <n v="19819.46"/>
    <n v="825.81"/>
    <n v="25500"/>
    <n v="12500"/>
    <n v="8956"/>
    <n v="19494"/>
    <n v="49237"/>
    <n v="30576"/>
    <n v="23946"/>
    <n v="13866"/>
    <n v="133000"/>
    <n v="7764"/>
  </r>
  <r>
    <d v="2024-07-31T00:00:00"/>
    <x v="6"/>
    <n v="7"/>
    <n v="982"/>
    <n v="718"/>
    <n v="441"/>
    <n v="306"/>
    <n v="235"/>
    <n v="165"/>
    <n v="467"/>
    <n v="86"/>
    <n v="286"/>
    <n v="103"/>
    <n v="66"/>
    <n v="30"/>
    <n v="42"/>
    <n v="167"/>
    <n v="41"/>
    <n v="52"/>
    <n v="52"/>
    <n v="143"/>
    <n v="100"/>
    <n v="21"/>
    <n v="43"/>
    <n v="14"/>
    <n v="57"/>
    <n v="50"/>
    <n v="0"/>
    <n v="14"/>
    <n v="28"/>
    <n v="21"/>
    <n v="7"/>
    <n v="14"/>
    <n v="14"/>
    <n v="0"/>
    <n v="7"/>
    <n v="43"/>
    <n v="21"/>
    <n v="35"/>
    <n v="7"/>
    <n v="7"/>
    <n v="21"/>
    <n v="7"/>
    <n v="57"/>
    <n v="14"/>
    <n v="21"/>
    <n v="35"/>
    <n v="0"/>
    <n v="21"/>
    <n v="0"/>
    <n v="14"/>
    <n v="25"/>
    <n v="81"/>
    <n v="22680"/>
    <n v="12150"/>
    <n v="11340"/>
    <n v="7290"/>
    <n v="27540"/>
    <n v="25500"/>
    <n v="12500"/>
    <n v="8956"/>
    <n v="19494"/>
    <n v="49237"/>
    <n v="30576"/>
    <n v="23946"/>
    <n v="13866"/>
    <n v="133000"/>
    <n v="8795"/>
  </r>
  <r>
    <d v="2024-08-01T00:00:00"/>
    <x v="7"/>
    <n v="8"/>
    <n v="988"/>
    <n v="686"/>
    <n v="316"/>
    <n v="584"/>
    <n v="88"/>
    <n v="260"/>
    <n v="337"/>
    <n v="89"/>
    <n v="295"/>
    <n v="208"/>
    <n v="49"/>
    <n v="67"/>
    <n v="30"/>
    <n v="202"/>
    <n v="48"/>
    <n v="37"/>
    <n v="52"/>
    <n v="0"/>
    <n v="96"/>
    <n v="20"/>
    <n v="41"/>
    <n v="6"/>
    <n v="14"/>
    <n v="61"/>
    <n v="6"/>
    <n v="20"/>
    <n v="34"/>
    <n v="20"/>
    <n v="0"/>
    <n v="6"/>
    <n v="0"/>
    <n v="13"/>
    <n v="0"/>
    <n v="34"/>
    <n v="27"/>
    <n v="13"/>
    <n v="20"/>
    <n v="0"/>
    <n v="0"/>
    <n v="27"/>
    <n v="68"/>
    <n v="6"/>
    <n v="61"/>
    <n v="20"/>
    <n v="6"/>
    <n v="34"/>
    <n v="27"/>
    <n v="6"/>
    <n v="0"/>
    <n v="81.87"/>
    <n v="22680"/>
    <n v="12150"/>
    <n v="11340"/>
    <n v="7290"/>
    <n v="27540"/>
    <n v="25500"/>
    <n v="11250"/>
    <n v="8956"/>
    <n v="19494"/>
    <n v="51528"/>
    <n v="40447"/>
    <n v="28127"/>
    <n v="18319"/>
    <n v="148000"/>
    <n v="5662"/>
  </r>
  <r>
    <d v="2024-08-02T00:00:00"/>
    <x v="7"/>
    <n v="8"/>
    <n v="996"/>
    <n v="671"/>
    <n v="328"/>
    <n v="419"/>
    <n v="249"/>
    <n v="248"/>
    <n v="377"/>
    <n v="46"/>
    <n v="321"/>
    <n v="55"/>
    <n v="80"/>
    <n v="61"/>
    <n v="30"/>
    <n v="140"/>
    <n v="41"/>
    <n v="56"/>
    <n v="56"/>
    <n v="156"/>
    <n v="33"/>
    <n v="20"/>
    <n v="26"/>
    <n v="20"/>
    <n v="80"/>
    <n v="46"/>
    <n v="20"/>
    <n v="6"/>
    <n v="20"/>
    <n v="13"/>
    <n v="6"/>
    <n v="6"/>
    <n v="20"/>
    <n v="6"/>
    <n v="6"/>
    <n v="60"/>
    <n v="33"/>
    <n v="13"/>
    <n v="0"/>
    <n v="0"/>
    <n v="0"/>
    <n v="6"/>
    <n v="53"/>
    <n v="6"/>
    <n v="33"/>
    <n v="13"/>
    <n v="6"/>
    <n v="6"/>
    <n v="0"/>
    <n v="20"/>
    <n v="94"/>
    <n v="83.77000000000001"/>
    <n v="25384.48"/>
    <n v="13101.67"/>
    <n v="11463.96"/>
    <n v="13101.67"/>
    <n v="18833.650000000001"/>
    <n v="25500"/>
    <n v="11250"/>
    <n v="8956"/>
    <n v="19494"/>
    <n v="51528"/>
    <n v="40447"/>
    <n v="28127"/>
    <n v="18319"/>
    <n v="148000"/>
    <n v="8792"/>
  </r>
  <r>
    <d v="2024-08-03T00:00:00"/>
    <x v="7"/>
    <n v="8"/>
    <n v="1013"/>
    <n v="663"/>
    <n v="253"/>
    <n v="649"/>
    <n v="111"/>
    <n v="278"/>
    <n v="293"/>
    <n v="92"/>
    <n v="320"/>
    <n v="43"/>
    <n v="43"/>
    <n v="75"/>
    <n v="50"/>
    <n v="165"/>
    <n v="76"/>
    <n v="57"/>
    <n v="53"/>
    <n v="131"/>
    <n v="92"/>
    <n v="13"/>
    <n v="46"/>
    <n v="0"/>
    <n v="37"/>
    <n v="33"/>
    <n v="0"/>
    <n v="19"/>
    <n v="13"/>
    <n v="13"/>
    <n v="0"/>
    <n v="19"/>
    <n v="0"/>
    <n v="0"/>
    <n v="13"/>
    <n v="39"/>
    <n v="13"/>
    <n v="13"/>
    <n v="19"/>
    <n v="0"/>
    <n v="0"/>
    <n v="26"/>
    <n v="66"/>
    <n v="13"/>
    <n v="59"/>
    <n v="33"/>
    <n v="6"/>
    <n v="46"/>
    <n v="6"/>
    <n v="26"/>
    <n v="0"/>
    <n v="86"/>
    <n v="29320.29"/>
    <n v="10890.39"/>
    <n v="13403.56"/>
    <n v="12565.84"/>
    <n v="17592.169999999998"/>
    <n v="25500"/>
    <n v="11250"/>
    <n v="8956"/>
    <n v="17395"/>
    <n v="51528"/>
    <n v="40447"/>
    <n v="28127"/>
    <n v="18319"/>
    <n v="148000"/>
    <n v="4524"/>
  </r>
  <r>
    <d v="2024-08-04T00:00:00"/>
    <x v="7"/>
    <n v="8"/>
    <n v="1033"/>
    <n v="666"/>
    <n v="227"/>
    <n v="600"/>
    <n v="206"/>
    <n v="173"/>
    <n v="460"/>
    <n v="33"/>
    <n v="256"/>
    <n v="64"/>
    <n v="51"/>
    <n v="83"/>
    <n v="12"/>
    <n v="133"/>
    <n v="23"/>
    <n v="51"/>
    <n v="23"/>
    <n v="337"/>
    <n v="59"/>
    <n v="0"/>
    <n v="19"/>
    <n v="13"/>
    <n v="59"/>
    <n v="33"/>
    <n v="13"/>
    <n v="19"/>
    <n v="39"/>
    <n v="6"/>
    <n v="0"/>
    <n v="6"/>
    <n v="6"/>
    <n v="0"/>
    <n v="0"/>
    <n v="53"/>
    <n v="26"/>
    <n v="26"/>
    <n v="6"/>
    <n v="6"/>
    <n v="26"/>
    <n v="19"/>
    <n v="46"/>
    <n v="13"/>
    <n v="53"/>
    <n v="19"/>
    <n v="0"/>
    <n v="33"/>
    <n v="26"/>
    <n v="0"/>
    <n v="42"/>
    <n v="88.81"/>
    <n v="25801.52"/>
    <n v="20641.22"/>
    <n v="12040.71"/>
    <n v="18061.060000000001"/>
    <n v="9460.56"/>
    <n v="25500"/>
    <n v="11250"/>
    <n v="8956"/>
    <n v="17395"/>
    <n v="51528"/>
    <n v="40447"/>
    <n v="28127"/>
    <n v="18319"/>
    <n v="148000"/>
    <n v="16"/>
  </r>
  <r>
    <d v="2024-08-05T00:00:00"/>
    <x v="7"/>
    <n v="8"/>
    <n v="1058"/>
    <n v="680"/>
    <n v="465"/>
    <n v="509"/>
    <n v="84"/>
    <n v="251"/>
    <n v="389"/>
    <n v="40"/>
    <n v="268"/>
    <n v="137"/>
    <n v="85"/>
    <n v="52"/>
    <n v="13"/>
    <n v="156"/>
    <n v="68"/>
    <n v="40"/>
    <n v="44"/>
    <n v="195"/>
    <n v="74"/>
    <n v="20"/>
    <n v="20"/>
    <n v="20"/>
    <n v="4"/>
    <n v="34"/>
    <n v="20"/>
    <n v="6"/>
    <n v="13"/>
    <n v="0"/>
    <n v="6"/>
    <n v="20"/>
    <n v="6"/>
    <n v="20"/>
    <n v="20"/>
    <n v="68"/>
    <n v="34"/>
    <n v="34"/>
    <n v="20"/>
    <n v="0"/>
    <n v="0"/>
    <n v="13"/>
    <n v="74"/>
    <n v="13"/>
    <n v="54"/>
    <n v="20"/>
    <n v="0"/>
    <n v="34"/>
    <n v="13"/>
    <n v="20"/>
    <n v="0"/>
    <n v="91.65"/>
    <n v="23980.05"/>
    <n v="22203.75"/>
    <n v="20427.45"/>
    <n v="8881.5"/>
    <n v="13322.25"/>
    <n v="25500"/>
    <n v="11250"/>
    <n v="8956"/>
    <n v="17395"/>
    <n v="51528"/>
    <n v="40447"/>
    <n v="28127"/>
    <n v="18319"/>
    <n v="148000"/>
    <n v="8620"/>
  </r>
  <r>
    <d v="2024-08-06T00:00:00"/>
    <x v="7"/>
    <n v="8"/>
    <n v="1083"/>
    <n v="706"/>
    <n v="314"/>
    <n v="596"/>
    <n v="173"/>
    <n v="225"/>
    <n v="404"/>
    <n v="77"/>
    <n v="362"/>
    <n v="100"/>
    <n v="94"/>
    <n v="47"/>
    <n v="20"/>
    <n v="193"/>
    <n v="111"/>
    <n v="45"/>
    <n v="20"/>
    <n v="91"/>
    <n v="49"/>
    <n v="14"/>
    <n v="49"/>
    <n v="21"/>
    <n v="56"/>
    <n v="56"/>
    <n v="7"/>
    <n v="14"/>
    <n v="42"/>
    <n v="7"/>
    <n v="0"/>
    <n v="28"/>
    <n v="7"/>
    <n v="14"/>
    <n v="0"/>
    <n v="56"/>
    <n v="42"/>
    <n v="28"/>
    <n v="21"/>
    <n v="0"/>
    <n v="0"/>
    <n v="21"/>
    <n v="0"/>
    <n v="7"/>
    <n v="56"/>
    <n v="28"/>
    <n v="6"/>
    <n v="28"/>
    <n v="28"/>
    <n v="21"/>
    <n v="0"/>
    <n v="94.39"/>
    <n v="28410.94"/>
    <n v="22912.05"/>
    <n v="21995.57"/>
    <n v="16496.669999999998"/>
    <n v="1832.96"/>
    <n v="25500"/>
    <n v="11250"/>
    <n v="8956"/>
    <n v="17395"/>
    <n v="51528"/>
    <n v="40447"/>
    <n v="28127"/>
    <n v="18319"/>
    <n v="148000"/>
    <n v="1278"/>
  </r>
  <r>
    <d v="2024-08-07T00:00:00"/>
    <x v="7"/>
    <n v="8"/>
    <n v="1107"/>
    <n v="737"/>
    <n v="365"/>
    <n v="521"/>
    <n v="221"/>
    <n v="162"/>
    <n v="406"/>
    <n v="169"/>
    <n v="324"/>
    <n v="157"/>
    <n v="82"/>
    <n v="48"/>
    <n v="34"/>
    <n v="227"/>
    <n v="147"/>
    <n v="63"/>
    <n v="25"/>
    <n v="0"/>
    <n v="44"/>
    <n v="14"/>
    <n v="36"/>
    <n v="22"/>
    <n v="88"/>
    <n v="36"/>
    <n v="14"/>
    <n v="7"/>
    <n v="14"/>
    <n v="14"/>
    <n v="0"/>
    <n v="29"/>
    <n v="22"/>
    <n v="0"/>
    <n v="22"/>
    <n v="29"/>
    <n v="7"/>
    <n v="22"/>
    <n v="22"/>
    <n v="7"/>
    <n v="22"/>
    <n v="7"/>
    <n v="51"/>
    <n v="22"/>
    <n v="66"/>
    <n v="22"/>
    <n v="0"/>
    <n v="51"/>
    <n v="0"/>
    <n v="22"/>
    <n v="25"/>
    <n v="97.050000000000011"/>
    <n v="32092.61"/>
    <n v="16046.3"/>
    <n v="20765.8"/>
    <n v="17934.099999999999"/>
    <n v="7551.2"/>
    <n v="25500"/>
    <n v="11250"/>
    <n v="8956"/>
    <n v="17395"/>
    <n v="51528"/>
    <n v="40447"/>
    <n v="28127"/>
    <n v="18319"/>
    <n v="148000"/>
    <n v="2458"/>
  </r>
  <r>
    <d v="2024-08-08T00:00:00"/>
    <x v="7"/>
    <n v="8"/>
    <n v="1130"/>
    <n v="768"/>
    <n v="350"/>
    <n v="566"/>
    <n v="214"/>
    <n v="376"/>
    <n v="216"/>
    <n v="176"/>
    <n v="252"/>
    <n v="182"/>
    <n v="63"/>
    <n v="56"/>
    <n v="63"/>
    <n v="201"/>
    <n v="72"/>
    <n v="64"/>
    <n v="60"/>
    <n v="117"/>
    <n v="107"/>
    <n v="7"/>
    <n v="53"/>
    <n v="7"/>
    <n v="107"/>
    <n v="53"/>
    <n v="0"/>
    <n v="15"/>
    <n v="30"/>
    <n v="7"/>
    <n v="0"/>
    <n v="7"/>
    <n v="0"/>
    <n v="7"/>
    <n v="0"/>
    <n v="76"/>
    <n v="23"/>
    <n v="30"/>
    <n v="0"/>
    <n v="7"/>
    <n v="7"/>
    <n v="7"/>
    <n v="61"/>
    <n v="7"/>
    <n v="61"/>
    <n v="23"/>
    <n v="0"/>
    <n v="46"/>
    <n v="0"/>
    <n v="0"/>
    <n v="20"/>
    <n v="98.77"/>
    <n v="28140.89"/>
    <n v="17466.759999999998"/>
    <n v="21348.26"/>
    <n v="15526.01"/>
    <n v="14555.63"/>
    <n v="25500"/>
    <n v="11250"/>
    <n v="8956"/>
    <n v="17395"/>
    <n v="51528"/>
    <n v="40447"/>
    <n v="28127"/>
    <n v="18319"/>
    <n v="148000"/>
    <n v="5172"/>
  </r>
  <r>
    <d v="2024-08-09T00:00:00"/>
    <x v="7"/>
    <n v="8"/>
    <n v="1145"/>
    <n v="782"/>
    <n v="400"/>
    <n v="665"/>
    <n v="80"/>
    <n v="195"/>
    <n v="541"/>
    <n v="46"/>
    <n v="255"/>
    <n v="78"/>
    <n v="56"/>
    <n v="85"/>
    <n v="35"/>
    <n v="182"/>
    <n v="82"/>
    <n v="39"/>
    <n v="47"/>
    <n v="286"/>
    <n v="78"/>
    <n v="0"/>
    <n v="54"/>
    <n v="7"/>
    <n v="30"/>
    <n v="62"/>
    <n v="23"/>
    <n v="7"/>
    <n v="39"/>
    <n v="7"/>
    <n v="7"/>
    <n v="23"/>
    <n v="15"/>
    <n v="7"/>
    <n v="7"/>
    <n v="31"/>
    <n v="54"/>
    <n v="31"/>
    <n v="23"/>
    <n v="7"/>
    <n v="7"/>
    <n v="15"/>
    <n v="62"/>
    <n v="7"/>
    <n v="39"/>
    <n v="39"/>
    <n v="0"/>
    <n v="39"/>
    <n v="31"/>
    <n v="31"/>
    <n v="0"/>
    <n v="99.820000000000007"/>
    <n v="34571.769999999997"/>
    <n v="14816.47"/>
    <n v="11853.18"/>
    <n v="12840.94"/>
    <n v="24694.12"/>
    <n v="25500"/>
    <n v="11250"/>
    <n v="8956"/>
    <n v="17395"/>
    <n v="51528"/>
    <n v="40447"/>
    <n v="28127"/>
    <n v="18319"/>
    <n v="148000"/>
    <n v="7313"/>
  </r>
  <r>
    <d v="2024-08-10T00:00:00"/>
    <x v="7"/>
    <n v="8"/>
    <n v="1154"/>
    <n v="784"/>
    <n v="288"/>
    <n v="659"/>
    <n v="207"/>
    <n v="368"/>
    <n v="252"/>
    <n v="164"/>
    <n v="343"/>
    <n v="186"/>
    <n v="50"/>
    <n v="57"/>
    <n v="35"/>
    <n v="179"/>
    <n v="105"/>
    <n v="48"/>
    <n v="21"/>
    <n v="130"/>
    <n v="62"/>
    <n v="15"/>
    <n v="23"/>
    <n v="0"/>
    <n v="62"/>
    <n v="39"/>
    <n v="15"/>
    <n v="15"/>
    <n v="47"/>
    <n v="0"/>
    <n v="0"/>
    <n v="7"/>
    <n v="0"/>
    <n v="23"/>
    <n v="15"/>
    <n v="70"/>
    <n v="31"/>
    <n v="23"/>
    <n v="0"/>
    <n v="0"/>
    <n v="0"/>
    <n v="15"/>
    <n v="70"/>
    <n v="7"/>
    <n v="23"/>
    <n v="7"/>
    <n v="0"/>
    <n v="54"/>
    <n v="15"/>
    <n v="23"/>
    <n v="123"/>
    <n v="100.52"/>
    <n v="34938.629999999997"/>
    <n v="20963.18"/>
    <n v="10980.71"/>
    <n v="17968.439999999999"/>
    <n v="14973.7"/>
    <n v="25500"/>
    <n v="11250"/>
    <n v="8956"/>
    <n v="12014"/>
    <n v="51528"/>
    <n v="40447"/>
    <n v="28127"/>
    <n v="18319"/>
    <n v="148000"/>
    <n v="8949"/>
  </r>
  <r>
    <d v="2024-08-11T00:00:00"/>
    <x v="7"/>
    <n v="8"/>
    <n v="1160"/>
    <n v="774"/>
    <n v="371"/>
    <n v="581"/>
    <n v="208"/>
    <n v="363"/>
    <n v="334"/>
    <n v="77"/>
    <n v="244"/>
    <n v="136"/>
    <n v="71"/>
    <n v="86"/>
    <n v="21"/>
    <n v="185"/>
    <n v="145"/>
    <n v="39"/>
    <n v="30"/>
    <n v="203"/>
    <n v="54"/>
    <n v="0"/>
    <n v="30"/>
    <n v="0"/>
    <n v="92"/>
    <n v="38"/>
    <n v="0"/>
    <n v="23"/>
    <n v="38"/>
    <n v="23"/>
    <n v="0"/>
    <n v="30"/>
    <n v="23"/>
    <n v="23"/>
    <n v="0"/>
    <n v="54"/>
    <n v="15"/>
    <n v="15"/>
    <n v="0"/>
    <n v="0"/>
    <n v="30"/>
    <n v="15"/>
    <n v="69"/>
    <n v="23"/>
    <n v="23"/>
    <n v="15"/>
    <n v="7"/>
    <n v="54"/>
    <n v="23"/>
    <n v="23"/>
    <n v="34"/>
    <n v="100.75"/>
    <n v="26136.58"/>
    <n v="14073.54"/>
    <n v="10052.530000000001"/>
    <n v="16084.05"/>
    <n v="34178.61"/>
    <n v="25500"/>
    <n v="11250"/>
    <n v="8956"/>
    <n v="12014"/>
    <n v="51528"/>
    <n v="40447"/>
    <n v="28127"/>
    <n v="18319"/>
    <n v="148000"/>
    <n v="2847"/>
  </r>
  <r>
    <d v="2024-08-12T00:00:00"/>
    <x v="7"/>
    <n v="8"/>
    <n v="1162"/>
    <n v="748"/>
    <n v="499"/>
    <n v="419"/>
    <n v="244"/>
    <n v="321"/>
    <n v="240"/>
    <n v="187"/>
    <n v="396"/>
    <n v="72"/>
    <n v="50"/>
    <n v="72"/>
    <n v="43"/>
    <n v="194"/>
    <n v="114"/>
    <n v="48"/>
    <n v="61"/>
    <n v="112"/>
    <n v="82"/>
    <n v="0"/>
    <n v="44"/>
    <n v="22"/>
    <n v="44"/>
    <n v="44"/>
    <n v="0"/>
    <n v="22"/>
    <n v="29"/>
    <n v="0"/>
    <n v="0"/>
    <n v="37"/>
    <n v="14"/>
    <n v="22"/>
    <n v="7"/>
    <n v="67"/>
    <n v="7"/>
    <n v="7"/>
    <n v="0"/>
    <n v="7"/>
    <n v="7"/>
    <n v="29"/>
    <n v="74"/>
    <n v="14"/>
    <n v="37"/>
    <n v="37"/>
    <n v="7"/>
    <n v="7"/>
    <n v="22"/>
    <n v="29"/>
    <n v="30"/>
    <n v="100.53"/>
    <n v="33250.57"/>
    <n v="24182.23"/>
    <n v="21159.45"/>
    <n v="11083.52"/>
    <n v="11083.52"/>
    <n v="25500"/>
    <n v="11250"/>
    <n v="8956"/>
    <n v="12014"/>
    <n v="51528"/>
    <n v="40447"/>
    <n v="28127"/>
    <n v="18319"/>
    <n v="148000"/>
    <n v="3555"/>
  </r>
  <r>
    <d v="2024-08-13T00:00:00"/>
    <x v="7"/>
    <n v="8"/>
    <n v="1160"/>
    <n v="711"/>
    <n v="232"/>
    <n v="847"/>
    <n v="81"/>
    <n v="277"/>
    <n v="399"/>
    <n v="35"/>
    <n v="381"/>
    <n v="129"/>
    <n v="79"/>
    <n v="93"/>
    <n v="35"/>
    <n v="171"/>
    <n v="39"/>
    <n v="52"/>
    <n v="35"/>
    <n v="146"/>
    <n v="78"/>
    <n v="21"/>
    <n v="35"/>
    <n v="0"/>
    <n v="49"/>
    <n v="42"/>
    <n v="0"/>
    <n v="14"/>
    <n v="21"/>
    <n v="14"/>
    <n v="0"/>
    <n v="21"/>
    <n v="0"/>
    <n v="14"/>
    <n v="14"/>
    <n v="35"/>
    <n v="7"/>
    <n v="14"/>
    <n v="21"/>
    <n v="0"/>
    <n v="14"/>
    <n v="21"/>
    <n v="78"/>
    <n v="21"/>
    <n v="49"/>
    <n v="7"/>
    <n v="7"/>
    <n v="7"/>
    <n v="7"/>
    <n v="14"/>
    <n v="86"/>
    <n v="98.31"/>
    <n v="26136.55"/>
    <n v="15078.78"/>
    <n v="17089.28"/>
    <n v="9047.27"/>
    <n v="33173.31"/>
    <n v="25500"/>
    <n v="11250"/>
    <n v="7688"/>
    <n v="12014"/>
    <n v="51528"/>
    <n v="40447"/>
    <n v="28127"/>
    <n v="18319"/>
    <n v="148000"/>
    <n v="5572"/>
  </r>
  <r>
    <d v="2024-08-14T00:00:00"/>
    <x v="7"/>
    <n v="8"/>
    <n v="1141"/>
    <n v="682"/>
    <n v="273"/>
    <n v="732"/>
    <n v="136"/>
    <n v="231"/>
    <n v="404"/>
    <n v="47"/>
    <n v="269"/>
    <n v="219"/>
    <n v="56"/>
    <n v="99"/>
    <n v="49"/>
    <n v="238"/>
    <n v="147"/>
    <n v="30"/>
    <n v="34"/>
    <n v="0"/>
    <n v="75"/>
    <n v="6"/>
    <n v="27"/>
    <n v="20"/>
    <n v="54"/>
    <n v="47"/>
    <n v="6"/>
    <n v="13"/>
    <n v="13"/>
    <n v="13"/>
    <n v="0"/>
    <n v="34"/>
    <n v="0"/>
    <n v="13"/>
    <n v="20"/>
    <n v="61"/>
    <n v="34"/>
    <n v="13"/>
    <n v="6"/>
    <n v="0"/>
    <n v="6"/>
    <n v="27"/>
    <n v="54"/>
    <n v="13"/>
    <n v="61"/>
    <n v="20"/>
    <n v="0"/>
    <n v="40"/>
    <n v="0"/>
    <n v="6"/>
    <n v="0"/>
    <n v="95.399999999999991"/>
    <n v="28507.68"/>
    <n v="18677.45"/>
    <n v="14745.35"/>
    <n v="13762.33"/>
    <n v="22609.54"/>
    <n v="25500"/>
    <n v="11250"/>
    <n v="7688"/>
    <n v="12014"/>
    <n v="51528"/>
    <n v="40447"/>
    <n v="28127"/>
    <n v="18319"/>
    <n v="148000"/>
    <n v="5252"/>
  </r>
  <r>
    <d v="2024-08-15T00:00:00"/>
    <x v="7"/>
    <n v="8"/>
    <n v="1116"/>
    <n v="667"/>
    <n v="468"/>
    <n v="425"/>
    <n v="223"/>
    <n v="340"/>
    <n v="181"/>
    <n v="146"/>
    <n v="243"/>
    <n v="228"/>
    <n v="69"/>
    <n v="76"/>
    <n v="48"/>
    <n v="203"/>
    <n v="144"/>
    <n v="46"/>
    <n v="59"/>
    <n v="0"/>
    <n v="86"/>
    <n v="6"/>
    <n v="46"/>
    <n v="13"/>
    <n v="85"/>
    <n v="40"/>
    <n v="6"/>
    <n v="0"/>
    <n v="40"/>
    <n v="6"/>
    <n v="0"/>
    <n v="6"/>
    <n v="13"/>
    <n v="13"/>
    <n v="0"/>
    <n v="26"/>
    <n v="33"/>
    <n v="6"/>
    <n v="6"/>
    <n v="6"/>
    <n v="26"/>
    <n v="6"/>
    <n v="60"/>
    <n v="20"/>
    <n v="46"/>
    <n v="13"/>
    <n v="6"/>
    <n v="33"/>
    <n v="0"/>
    <n v="20"/>
    <n v="0"/>
    <n v="93.429999999999993"/>
    <n v="33388.129999999997"/>
    <n v="20986.82"/>
    <n v="17171.04"/>
    <n v="7631.57"/>
    <n v="16217.09"/>
    <n v="22000"/>
    <n v="11250"/>
    <n v="7688"/>
    <n v="12014"/>
    <n v="51528"/>
    <n v="40447"/>
    <n v="28127"/>
    <n v="18319"/>
    <n v="148000"/>
    <n v="4251"/>
  </r>
  <r>
    <d v="2024-08-16T00:00:00"/>
    <x v="7"/>
    <n v="8"/>
    <n v="1099"/>
    <n v="666"/>
    <n v="274"/>
    <n v="639"/>
    <n v="186"/>
    <n v="159"/>
    <n v="474"/>
    <n v="33"/>
    <n v="279"/>
    <n v="156"/>
    <n v="74"/>
    <n v="68"/>
    <n v="47"/>
    <n v="217"/>
    <n v="79"/>
    <n v="45"/>
    <n v="20"/>
    <n v="114"/>
    <n v="39"/>
    <n v="6"/>
    <n v="46"/>
    <n v="13"/>
    <n v="46"/>
    <n v="39"/>
    <n v="6"/>
    <n v="19"/>
    <n v="33"/>
    <n v="19"/>
    <n v="0"/>
    <n v="19"/>
    <n v="0"/>
    <n v="19"/>
    <n v="13"/>
    <n v="53"/>
    <n v="13"/>
    <n v="6"/>
    <n v="19"/>
    <n v="6"/>
    <n v="6"/>
    <n v="13"/>
    <n v="66"/>
    <n v="19"/>
    <n v="59"/>
    <n v="26"/>
    <n v="0"/>
    <n v="39"/>
    <n v="13"/>
    <n v="6"/>
    <n v="5"/>
    <n v="92.52"/>
    <n v="28964.2"/>
    <n v="17752.25"/>
    <n v="15883.59"/>
    <n v="20555.240000000002"/>
    <n v="10277.620000000001"/>
    <n v="22000"/>
    <n v="11250"/>
    <n v="7688"/>
    <n v="20765"/>
    <n v="51528"/>
    <n v="40447"/>
    <n v="28127"/>
    <n v="18319"/>
    <n v="148000"/>
    <n v="6810"/>
  </r>
  <r>
    <d v="2024-08-17T00:00:00"/>
    <x v="7"/>
    <n v="8"/>
    <n v="1091"/>
    <n v="679"/>
    <n v="490"/>
    <n v="525"/>
    <n v="76"/>
    <n v="251"/>
    <n v="381"/>
    <n v="47"/>
    <n v="284"/>
    <n v="101"/>
    <n v="94"/>
    <n v="74"/>
    <n v="40"/>
    <n v="215"/>
    <n v="66"/>
    <n v="45"/>
    <n v="41"/>
    <n v="131"/>
    <n v="74"/>
    <n v="0"/>
    <n v="20"/>
    <n v="6"/>
    <n v="95"/>
    <n v="47"/>
    <n v="6"/>
    <n v="0"/>
    <n v="13"/>
    <n v="20"/>
    <n v="6"/>
    <n v="6"/>
    <n v="13"/>
    <n v="20"/>
    <n v="6"/>
    <n v="61"/>
    <n v="20"/>
    <n v="13"/>
    <n v="6"/>
    <n v="6"/>
    <n v="27"/>
    <n v="13"/>
    <n v="74"/>
    <n v="20"/>
    <n v="20"/>
    <n v="6"/>
    <n v="6"/>
    <n v="47"/>
    <n v="0"/>
    <n v="27"/>
    <n v="1"/>
    <n v="92.969999999999985"/>
    <n v="23128.68"/>
    <n v="17577.8"/>
    <n v="12952.06"/>
    <n v="21278.39"/>
    <n v="17577.8"/>
    <n v="22000"/>
    <n v="11250"/>
    <n v="7688"/>
    <n v="20765"/>
    <n v="51528"/>
    <n v="40447"/>
    <n v="28127"/>
    <n v="18319"/>
    <n v="148000"/>
    <n v="4290"/>
  </r>
  <r>
    <d v="2024-08-18T00:00:00"/>
    <x v="7"/>
    <n v="8"/>
    <n v="1095"/>
    <n v="702"/>
    <n v="470"/>
    <n v="549"/>
    <n v="76"/>
    <n v="266"/>
    <n v="289"/>
    <n v="147"/>
    <n v="305"/>
    <n v="81"/>
    <n v="81"/>
    <n v="61"/>
    <n v="54"/>
    <n v="187"/>
    <n v="112"/>
    <n v="41"/>
    <n v="41"/>
    <n v="132"/>
    <n v="56"/>
    <n v="14"/>
    <n v="21"/>
    <n v="14"/>
    <n v="100"/>
    <n v="42"/>
    <n v="7"/>
    <n v="14"/>
    <n v="35"/>
    <n v="7"/>
    <n v="0"/>
    <n v="28"/>
    <n v="0"/>
    <n v="14"/>
    <n v="14"/>
    <n v="56"/>
    <n v="49"/>
    <n v="7"/>
    <n v="21"/>
    <n v="7"/>
    <n v="7"/>
    <n v="7"/>
    <n v="49"/>
    <n v="14"/>
    <n v="28"/>
    <n v="14"/>
    <n v="7"/>
    <n v="21"/>
    <n v="28"/>
    <n v="21"/>
    <n v="0"/>
    <n v="93.78"/>
    <n v="29751.24"/>
    <n v="13016.17"/>
    <n v="11156.72"/>
    <n v="21383.71"/>
    <n v="17664.8"/>
    <n v="22000"/>
    <n v="11250"/>
    <n v="7688"/>
    <n v="20765"/>
    <n v="51528"/>
    <n v="40447"/>
    <n v="28127"/>
    <n v="18319"/>
    <n v="148000"/>
    <n v="1211"/>
  </r>
  <r>
    <d v="2024-08-19T00:00:00"/>
    <x v="7"/>
    <n v="8"/>
    <n v="1102"/>
    <n v="734"/>
    <n v="264"/>
    <n v="739"/>
    <n v="99"/>
    <n v="381"/>
    <n v="251"/>
    <n v="102"/>
    <n v="321"/>
    <n v="47"/>
    <n v="95"/>
    <n v="75"/>
    <n v="47"/>
    <n v="167"/>
    <n v="113"/>
    <n v="37"/>
    <n v="29"/>
    <n v="171"/>
    <n v="29"/>
    <n v="7"/>
    <n v="44"/>
    <n v="0"/>
    <n v="44"/>
    <n v="36"/>
    <n v="7"/>
    <n v="0"/>
    <n v="22"/>
    <n v="0"/>
    <n v="7"/>
    <n v="7"/>
    <n v="7"/>
    <n v="0"/>
    <n v="7"/>
    <n v="44"/>
    <n v="7"/>
    <n v="7"/>
    <n v="0"/>
    <n v="7"/>
    <n v="7"/>
    <n v="14"/>
    <n v="58"/>
    <n v="7"/>
    <n v="29"/>
    <n v="36"/>
    <n v="7"/>
    <n v="51"/>
    <n v="29"/>
    <n v="22"/>
    <n v="192"/>
    <n v="94.81"/>
    <n v="25319.25"/>
    <n v="15004"/>
    <n v="16879.5"/>
    <n v="10315.25"/>
    <n v="26257"/>
    <n v="22000"/>
    <n v="11250"/>
    <n v="7688"/>
    <n v="20765"/>
    <n v="51528"/>
    <n v="40447"/>
    <n v="28127"/>
    <n v="18319"/>
    <n v="148000"/>
    <n v="8963"/>
  </r>
  <r>
    <d v="2024-08-20T00:00:00"/>
    <x v="7"/>
    <n v="8"/>
    <n v="1111"/>
    <n v="769"/>
    <n v="411"/>
    <n v="501"/>
    <n v="199"/>
    <n v="315"/>
    <n v="278"/>
    <n v="176"/>
    <n v="316"/>
    <n v="55"/>
    <n v="75"/>
    <n v="48"/>
    <n v="20"/>
    <n v="168"/>
    <n v="143"/>
    <n v="59"/>
    <n v="63"/>
    <n v="164"/>
    <n v="76"/>
    <n v="23"/>
    <n v="23"/>
    <n v="15"/>
    <n v="61"/>
    <n v="38"/>
    <n v="0"/>
    <n v="15"/>
    <n v="38"/>
    <n v="7"/>
    <n v="7"/>
    <n v="38"/>
    <n v="23"/>
    <n v="23"/>
    <n v="0"/>
    <n v="30"/>
    <n v="30"/>
    <n v="38"/>
    <n v="0"/>
    <n v="7"/>
    <n v="0"/>
    <n v="30"/>
    <n v="53"/>
    <n v="7"/>
    <n v="30"/>
    <n v="30"/>
    <n v="7"/>
    <n v="7"/>
    <n v="0"/>
    <n v="7"/>
    <n v="106"/>
    <n v="96.77"/>
    <n v="23702.23"/>
    <n v="21806.05"/>
    <n v="9480.89"/>
    <n v="21806.05"/>
    <n v="18013.689999999999"/>
    <n v="22000"/>
    <n v="11250"/>
    <n v="7688"/>
    <n v="20765"/>
    <n v="51528"/>
    <n v="40447"/>
    <n v="28127"/>
    <n v="18319"/>
    <n v="148000"/>
    <n v="3306"/>
  </r>
  <r>
    <d v="2024-08-21T00:00:00"/>
    <x v="7"/>
    <n v="8"/>
    <n v="1128"/>
    <n v="787"/>
    <n v="360"/>
    <n v="599"/>
    <n v="169"/>
    <n v="173"/>
    <n v="552"/>
    <n v="62"/>
    <n v="370"/>
    <n v="69"/>
    <n v="90"/>
    <n v="97"/>
    <n v="34"/>
    <n v="150"/>
    <n v="137"/>
    <n v="51"/>
    <n v="34"/>
    <n v="96"/>
    <n v="62"/>
    <n v="0"/>
    <n v="39"/>
    <n v="23"/>
    <n v="94"/>
    <n v="62"/>
    <n v="15"/>
    <n v="15"/>
    <n v="31"/>
    <n v="23"/>
    <n v="0"/>
    <n v="15"/>
    <n v="7"/>
    <n v="0"/>
    <n v="15"/>
    <n v="62"/>
    <n v="47"/>
    <n v="15"/>
    <n v="7"/>
    <n v="0"/>
    <n v="31"/>
    <n v="15"/>
    <n v="78"/>
    <n v="7"/>
    <n v="23"/>
    <n v="23"/>
    <n v="0"/>
    <n v="23"/>
    <n v="0"/>
    <n v="23"/>
    <n v="32"/>
    <n v="99.320000000000007"/>
    <n v="28062.54"/>
    <n v="13547.43"/>
    <n v="14515.11"/>
    <n v="15482.78"/>
    <n v="25159.52"/>
    <n v="22000"/>
    <n v="11250"/>
    <n v="7688"/>
    <n v="20765"/>
    <n v="51528"/>
    <n v="40447"/>
    <n v="28127"/>
    <n v="18319"/>
    <n v="148000"/>
    <n v="470"/>
  </r>
  <r>
    <d v="2024-08-22T00:00:00"/>
    <x v="7"/>
    <n v="8"/>
    <n v="1150"/>
    <n v="791"/>
    <n v="506"/>
    <n v="575"/>
    <n v="69"/>
    <n v="348"/>
    <n v="356"/>
    <n v="87"/>
    <n v="370"/>
    <n v="121"/>
    <n v="49"/>
    <n v="92"/>
    <n v="49"/>
    <n v="218"/>
    <n v="152"/>
    <n v="30"/>
    <n v="48"/>
    <n v="21"/>
    <n v="87"/>
    <n v="23"/>
    <n v="31"/>
    <n v="15"/>
    <n v="115"/>
    <n v="47"/>
    <n v="0"/>
    <n v="15"/>
    <n v="23"/>
    <n v="7"/>
    <n v="7"/>
    <n v="39"/>
    <n v="15"/>
    <n v="23"/>
    <n v="15"/>
    <n v="47"/>
    <n v="15"/>
    <n v="7"/>
    <n v="15"/>
    <n v="7"/>
    <n v="7"/>
    <n v="7"/>
    <n v="87"/>
    <n v="15"/>
    <n v="47"/>
    <n v="31"/>
    <n v="7"/>
    <n v="15"/>
    <n v="7"/>
    <n v="15"/>
    <n v="0"/>
    <n v="102.33999999999999"/>
    <n v="27808.27"/>
    <n v="22842.51"/>
    <n v="14897.29"/>
    <n v="14897.29"/>
    <n v="18869.900000000001"/>
    <n v="22000"/>
    <n v="11250"/>
    <n v="7688"/>
    <n v="20765"/>
    <n v="51528"/>
    <n v="40447"/>
    <n v="28127"/>
    <n v="18319"/>
    <n v="148000"/>
    <n v="7079"/>
  </r>
  <r>
    <d v="2024-08-23T00:00:00"/>
    <x v="7"/>
    <n v="8"/>
    <n v="1176"/>
    <n v="787"/>
    <n v="364"/>
    <n v="566"/>
    <n v="246"/>
    <n v="362"/>
    <n v="378"/>
    <n v="47"/>
    <n v="277"/>
    <n v="247"/>
    <n v="58"/>
    <n v="87"/>
    <n v="14"/>
    <n v="169"/>
    <n v="111"/>
    <n v="67"/>
    <n v="49"/>
    <n v="97"/>
    <n v="62"/>
    <n v="7"/>
    <n v="55"/>
    <n v="15"/>
    <n v="17"/>
    <n v="62"/>
    <n v="0"/>
    <n v="23"/>
    <n v="23"/>
    <n v="7"/>
    <n v="0"/>
    <n v="23"/>
    <n v="23"/>
    <n v="15"/>
    <n v="15"/>
    <n v="70"/>
    <n v="39"/>
    <n v="23"/>
    <n v="23"/>
    <n v="0"/>
    <n v="31"/>
    <n v="23"/>
    <n v="70"/>
    <n v="23"/>
    <n v="47"/>
    <n v="15"/>
    <n v="7"/>
    <n v="23"/>
    <n v="23"/>
    <n v="23"/>
    <n v="0"/>
    <n v="105.06"/>
    <n v="26610.1"/>
    <n v="24563.16"/>
    <n v="18422.37"/>
    <n v="17398.91"/>
    <n v="15351.98"/>
    <n v="22000"/>
    <n v="11250"/>
    <n v="7688"/>
    <n v="20765"/>
    <n v="51528"/>
    <n v="40447"/>
    <n v="28127"/>
    <n v="18319"/>
    <n v="148000"/>
    <n v="872"/>
  </r>
  <r>
    <d v="2024-08-24T00:00:00"/>
    <x v="7"/>
    <n v="8"/>
    <n v="1199"/>
    <n v="770"/>
    <n v="515"/>
    <n v="589"/>
    <n v="95"/>
    <n v="231"/>
    <n v="470"/>
    <n v="69"/>
    <n v="319"/>
    <n v="81"/>
    <n v="52"/>
    <n v="81"/>
    <n v="59"/>
    <n v="200"/>
    <n v="91"/>
    <n v="50"/>
    <n v="50"/>
    <n v="216"/>
    <n v="100"/>
    <n v="0"/>
    <n v="23"/>
    <n v="0"/>
    <n v="62"/>
    <n v="46"/>
    <n v="15"/>
    <n v="23"/>
    <n v="46"/>
    <n v="7"/>
    <n v="0"/>
    <n v="15"/>
    <n v="0"/>
    <n v="23"/>
    <n v="23"/>
    <n v="38"/>
    <n v="23"/>
    <n v="7"/>
    <n v="7"/>
    <n v="0"/>
    <n v="23"/>
    <n v="30"/>
    <n v="84"/>
    <n v="23"/>
    <n v="46"/>
    <n v="23"/>
    <n v="0"/>
    <n v="46"/>
    <n v="7"/>
    <n v="30"/>
    <n v="0"/>
    <n v="108.11000000000001"/>
    <n v="34666.1"/>
    <n v="19959.27"/>
    <n v="16807.8"/>
    <n v="12605.85"/>
    <n v="21009.759999999998"/>
    <n v="22000"/>
    <n v="11250"/>
    <n v="7688"/>
    <n v="20765"/>
    <n v="51528"/>
    <n v="40447"/>
    <n v="28127"/>
    <n v="18319"/>
    <n v="148000"/>
    <n v="953"/>
  </r>
  <r>
    <d v="2024-08-25T00:00:00"/>
    <x v="7"/>
    <n v="8"/>
    <n v="1225"/>
    <n v="742"/>
    <n v="514"/>
    <n v="479"/>
    <n v="232"/>
    <n v="363"/>
    <n v="246"/>
    <n v="133"/>
    <n v="318"/>
    <n v="250"/>
    <n v="106"/>
    <n v="68"/>
    <n v="68"/>
    <n v="200"/>
    <n v="55"/>
    <n v="51"/>
    <n v="27"/>
    <n v="82"/>
    <n v="66"/>
    <n v="22"/>
    <n v="22"/>
    <n v="22"/>
    <n v="25"/>
    <n v="37"/>
    <n v="22"/>
    <n v="0"/>
    <n v="44"/>
    <n v="14"/>
    <n v="7"/>
    <n v="14"/>
    <n v="0"/>
    <n v="14"/>
    <n v="7"/>
    <n v="51"/>
    <n v="37"/>
    <n v="37"/>
    <n v="0"/>
    <n v="0"/>
    <n v="22"/>
    <n v="22"/>
    <n v="81"/>
    <n v="22"/>
    <n v="44"/>
    <n v="37"/>
    <n v="7"/>
    <n v="44"/>
    <n v="22"/>
    <n v="0"/>
    <n v="0"/>
    <n v="110.64"/>
    <n v="37843.410000000003"/>
    <n v="25949.759999999998"/>
    <n v="12974.88"/>
    <n v="9731.16"/>
    <n v="21624.799999999999"/>
    <n v="22000"/>
    <n v="11250"/>
    <n v="7688"/>
    <n v="20765"/>
    <n v="51528"/>
    <n v="40447"/>
    <n v="28127"/>
    <n v="18319"/>
    <n v="148000"/>
    <n v="996"/>
  </r>
  <r>
    <d v="2024-08-26T00:00:00"/>
    <x v="7"/>
    <n v="8"/>
    <n v="1246"/>
    <n v="701"/>
    <n v="361"/>
    <n v="711"/>
    <n v="174"/>
    <n v="224"/>
    <n v="337"/>
    <n v="140"/>
    <n v="316"/>
    <n v="100"/>
    <n v="108"/>
    <n v="100"/>
    <n v="30"/>
    <n v="236"/>
    <n v="137"/>
    <n v="56"/>
    <n v="66"/>
    <n v="97"/>
    <n v="49"/>
    <n v="7"/>
    <n v="21"/>
    <n v="21"/>
    <n v="50"/>
    <n v="56"/>
    <n v="7"/>
    <n v="0"/>
    <n v="28"/>
    <n v="21"/>
    <n v="0"/>
    <n v="14"/>
    <n v="21"/>
    <n v="14"/>
    <n v="14"/>
    <n v="35"/>
    <n v="21"/>
    <n v="7"/>
    <n v="21"/>
    <n v="7"/>
    <n v="21"/>
    <n v="7"/>
    <n v="49"/>
    <n v="21"/>
    <n v="56"/>
    <n v="35"/>
    <n v="7"/>
    <n v="49"/>
    <n v="28"/>
    <n v="14"/>
    <n v="0"/>
    <n v="112.42999999999999"/>
    <n v="36506.69"/>
    <n v="26550.32"/>
    <n v="27656.58"/>
    <n v="13275.16"/>
    <n v="6637.58"/>
    <n v="22000"/>
    <n v="11250"/>
    <n v="7688"/>
    <n v="20765"/>
    <n v="51528"/>
    <n v="40447"/>
    <n v="28127"/>
    <n v="18319"/>
    <n v="148000"/>
    <n v="6559"/>
  </r>
  <r>
    <d v="2024-08-27T00:00:00"/>
    <x v="7"/>
    <n v="8"/>
    <n v="1261"/>
    <n v="676"/>
    <n v="403"/>
    <n v="606"/>
    <n v="252"/>
    <n v="155"/>
    <n v="420"/>
    <n v="101"/>
    <n v="297"/>
    <n v="195"/>
    <n v="70"/>
    <n v="39"/>
    <n v="15"/>
    <n v="196"/>
    <n v="162"/>
    <n v="71"/>
    <n v="47"/>
    <n v="169"/>
    <n v="54"/>
    <n v="13"/>
    <n v="40"/>
    <n v="20"/>
    <n v="51"/>
    <n v="54"/>
    <n v="20"/>
    <n v="20"/>
    <n v="20"/>
    <n v="6"/>
    <n v="6"/>
    <n v="20"/>
    <n v="0"/>
    <n v="13"/>
    <n v="0"/>
    <n v="54"/>
    <n v="40"/>
    <n v="13"/>
    <n v="6"/>
    <n v="0"/>
    <n v="13"/>
    <n v="27"/>
    <n v="54"/>
    <n v="20"/>
    <n v="54"/>
    <n v="20"/>
    <n v="6"/>
    <n v="13"/>
    <n v="6"/>
    <n v="13"/>
    <n v="0"/>
    <n v="113.51000000000002"/>
    <n v="28106.05"/>
    <n v="28106.05"/>
    <n v="20236.36"/>
    <n v="26981.81"/>
    <n v="8993.94"/>
    <n v="22000"/>
    <n v="11250"/>
    <n v="7688"/>
    <n v="20765"/>
    <n v="51528"/>
    <n v="40447"/>
    <n v="28127"/>
    <n v="18319"/>
    <n v="148000"/>
    <n v="3836"/>
  </r>
  <r>
    <d v="2024-08-28T00:00:00"/>
    <x v="7"/>
    <n v="8"/>
    <n v="1270"/>
    <n v="671"/>
    <n v="571"/>
    <n v="572"/>
    <n v="127"/>
    <n v="308"/>
    <n v="236"/>
    <n v="127"/>
    <n v="425"/>
    <n v="141"/>
    <n v="110"/>
    <n v="39"/>
    <n v="39"/>
    <n v="241"/>
    <n v="91"/>
    <n v="53"/>
    <n v="57"/>
    <n v="74"/>
    <n v="93"/>
    <n v="0"/>
    <n v="40"/>
    <n v="6"/>
    <n v="67"/>
    <n v="60"/>
    <n v="6"/>
    <n v="20"/>
    <n v="40"/>
    <n v="20"/>
    <n v="6"/>
    <n v="26"/>
    <n v="13"/>
    <n v="13"/>
    <n v="20"/>
    <n v="46"/>
    <n v="20"/>
    <n v="26"/>
    <n v="13"/>
    <n v="0"/>
    <n v="26"/>
    <n v="26"/>
    <n v="0"/>
    <n v="0"/>
    <n v="0"/>
    <n v="12"/>
    <n v="6"/>
    <n v="26"/>
    <n v="20"/>
    <n v="20"/>
    <n v="0"/>
    <n v="114"/>
    <n v="29511.94"/>
    <n v="24971.64"/>
    <n v="20431.34"/>
    <n v="17026.12"/>
    <n v="21566.42"/>
    <n v="22000"/>
    <n v="11250"/>
    <n v="7688"/>
    <n v="20765"/>
    <n v="51528"/>
    <n v="40447"/>
    <n v="28127"/>
    <n v="18319"/>
    <n v="148000"/>
    <n v="3781"/>
  </r>
  <r>
    <d v="2024-08-29T00:00:00"/>
    <x v="7"/>
    <n v="8"/>
    <n v="1274"/>
    <n v="672"/>
    <n v="267"/>
    <n v="944"/>
    <n v="63"/>
    <n v="349"/>
    <n v="276"/>
    <n v="47"/>
    <n v="363"/>
    <n v="78"/>
    <n v="110"/>
    <n v="47"/>
    <n v="23"/>
    <n v="198"/>
    <n v="33"/>
    <n v="62"/>
    <n v="53"/>
    <n v="307"/>
    <n v="47"/>
    <n v="0"/>
    <n v="47"/>
    <n v="13"/>
    <n v="73"/>
    <n v="40"/>
    <n v="6"/>
    <n v="20"/>
    <n v="40"/>
    <n v="6"/>
    <n v="0"/>
    <n v="13"/>
    <n v="13"/>
    <n v="6"/>
    <n v="20"/>
    <n v="47"/>
    <n v="20"/>
    <n v="13"/>
    <n v="6"/>
    <n v="6"/>
    <n v="26"/>
    <n v="26"/>
    <n v="47"/>
    <n v="6"/>
    <n v="40"/>
    <n v="26"/>
    <n v="0"/>
    <n v="20"/>
    <n v="13"/>
    <n v="26"/>
    <n v="6"/>
    <n v="114.11"/>
    <n v="29637.42"/>
    <n v="21658.12"/>
    <n v="15958.61"/>
    <n v="21658.12"/>
    <n v="25077.82"/>
    <n v="22000"/>
    <n v="11250"/>
    <n v="7688"/>
    <n v="12052"/>
    <n v="51528"/>
    <n v="40447"/>
    <n v="28127"/>
    <n v="18319"/>
    <n v="148000"/>
    <n v="312"/>
  </r>
  <r>
    <d v="2024-08-30T00:00:00"/>
    <x v="7"/>
    <n v="8"/>
    <n v="1275"/>
    <n v="685"/>
    <n v="459"/>
    <n v="600"/>
    <n v="216"/>
    <n v="226"/>
    <n v="364"/>
    <n v="95"/>
    <n v="337"/>
    <n v="245"/>
    <n v="118"/>
    <n v="102"/>
    <n v="39"/>
    <n v="203"/>
    <n v="130"/>
    <n v="48"/>
    <n v="53"/>
    <n v="0"/>
    <n v="47"/>
    <n v="6"/>
    <n v="41"/>
    <n v="0"/>
    <n v="36"/>
    <n v="61"/>
    <n v="6"/>
    <n v="6"/>
    <n v="27"/>
    <n v="20"/>
    <n v="0"/>
    <n v="27"/>
    <n v="20"/>
    <n v="0"/>
    <n v="13"/>
    <n v="54"/>
    <n v="20"/>
    <n v="34"/>
    <n v="6"/>
    <n v="6"/>
    <n v="20"/>
    <n v="6"/>
    <n v="75"/>
    <n v="20"/>
    <n v="47"/>
    <n v="20"/>
    <n v="0"/>
    <n v="13"/>
    <n v="27"/>
    <n v="27"/>
    <n v="0"/>
    <n v="113"/>
    <n v="34233.26"/>
    <n v="28527.72"/>
    <n v="17116.63"/>
    <n v="14834.41"/>
    <n v="19398.849999999999"/>
    <n v="22000"/>
    <n v="11250"/>
    <n v="7688"/>
    <n v="12052"/>
    <n v="51528"/>
    <n v="40447"/>
    <n v="28127"/>
    <n v="18319"/>
    <n v="148000"/>
    <n v="2451"/>
  </r>
  <r>
    <d v="2024-08-31T00:00:00"/>
    <x v="7"/>
    <n v="8"/>
    <n v="1271"/>
    <n v="706"/>
    <n v="317"/>
    <n v="815"/>
    <n v="139"/>
    <n v="367"/>
    <n v="290"/>
    <n v="49"/>
    <n v="338"/>
    <n v="55"/>
    <n v="70"/>
    <n v="86"/>
    <n v="78"/>
    <n v="193"/>
    <n v="48"/>
    <n v="72"/>
    <n v="67"/>
    <n v="264"/>
    <n v="70"/>
    <n v="21"/>
    <n v="35"/>
    <n v="14"/>
    <n v="70"/>
    <n v="56"/>
    <n v="0"/>
    <n v="7"/>
    <n v="35"/>
    <n v="0"/>
    <n v="0"/>
    <n v="35"/>
    <n v="7"/>
    <n v="14"/>
    <n v="0"/>
    <n v="56"/>
    <n v="28"/>
    <n v="21"/>
    <n v="14"/>
    <n v="7"/>
    <n v="14"/>
    <n v="14"/>
    <n v="77"/>
    <n v="7"/>
    <n v="42"/>
    <n v="21"/>
    <n v="0"/>
    <n v="14"/>
    <n v="7"/>
    <n v="7"/>
    <n v="13"/>
    <n v="113"/>
    <n v="38420"/>
    <n v="24860"/>
    <n v="13560"/>
    <n v="18080"/>
    <n v="18080"/>
    <n v="22000"/>
    <n v="11250"/>
    <n v="7688"/>
    <n v="12052"/>
    <n v="51528"/>
    <n v="40447"/>
    <n v="28127"/>
    <n v="18319"/>
    <n v="148000"/>
    <n v="7538"/>
  </r>
  <r>
    <d v="2024-09-01T00:00:00"/>
    <x v="8"/>
    <n v="9"/>
    <n v="1258"/>
    <n v="842"/>
    <n v="490"/>
    <n v="504"/>
    <n v="264"/>
    <n v="328"/>
    <n v="380"/>
    <n v="134"/>
    <n v="272"/>
    <n v="132"/>
    <n v="116"/>
    <n v="93"/>
    <n v="23"/>
    <n v="224"/>
    <n v="152"/>
    <n v="62"/>
    <n v="57"/>
    <n v="127"/>
    <n v="42"/>
    <n v="16"/>
    <n v="42"/>
    <n v="8"/>
    <n v="67"/>
    <n v="42"/>
    <n v="16"/>
    <n v="16"/>
    <n v="16"/>
    <n v="16"/>
    <n v="8"/>
    <n v="42"/>
    <n v="16"/>
    <n v="0"/>
    <n v="25"/>
    <n v="75"/>
    <n v="50"/>
    <n v="8"/>
    <n v="8"/>
    <n v="8"/>
    <n v="0"/>
    <n v="16"/>
    <n v="75"/>
    <n v="25"/>
    <n v="25"/>
    <n v="25"/>
    <n v="8"/>
    <n v="33"/>
    <n v="0"/>
    <n v="33"/>
    <n v="81"/>
    <n v="114.19"/>
    <n v="38420"/>
    <n v="24860"/>
    <n v="13560"/>
    <n v="18080"/>
    <n v="18080"/>
    <n v="22000"/>
    <n v="10000"/>
    <n v="7688"/>
    <n v="12052"/>
    <n v="60889"/>
    <n v="47668"/>
    <n v="34859"/>
    <n v="23168"/>
    <n v="187000"/>
    <n v="7011"/>
  </r>
  <r>
    <d v="2024-09-02T00:00:00"/>
    <x v="8"/>
    <n v="9"/>
    <n v="1242"/>
    <n v="879"/>
    <n v="521"/>
    <n v="423"/>
    <n v="298"/>
    <n v="246"/>
    <n v="423"/>
    <n v="210"/>
    <n v="331"/>
    <n v="238"/>
    <n v="61"/>
    <n v="92"/>
    <n v="69"/>
    <n v="231"/>
    <n v="94"/>
    <n v="56"/>
    <n v="70"/>
    <n v="0"/>
    <n v="105"/>
    <n v="17"/>
    <n v="26"/>
    <n v="17"/>
    <n v="118"/>
    <n v="61"/>
    <n v="26"/>
    <n v="8"/>
    <n v="35"/>
    <n v="8"/>
    <n v="8"/>
    <n v="26"/>
    <n v="17"/>
    <n v="17"/>
    <n v="0"/>
    <n v="43"/>
    <n v="43"/>
    <n v="26"/>
    <n v="26"/>
    <n v="0"/>
    <n v="17"/>
    <n v="35"/>
    <n v="79"/>
    <n v="26"/>
    <n v="26"/>
    <n v="17"/>
    <n v="0"/>
    <n v="26"/>
    <n v="0"/>
    <n v="26"/>
    <n v="0"/>
    <n v="115.78"/>
    <n v="28546.42"/>
    <n v="22837.14"/>
    <n v="15986"/>
    <n v="14844.14"/>
    <n v="31971.99"/>
    <n v="22000"/>
    <n v="10000"/>
    <n v="7453"/>
    <n v="12052"/>
    <n v="60889"/>
    <n v="47668"/>
    <n v="34859"/>
    <n v="23168"/>
    <n v="187000"/>
    <n v="7254"/>
  </r>
  <r>
    <d v="2024-09-03T00:00:00"/>
    <x v="8"/>
    <n v="9"/>
    <n v="1213"/>
    <n v="899"/>
    <n v="254"/>
    <n v="729"/>
    <n v="230"/>
    <n v="251"/>
    <n v="550"/>
    <n v="98"/>
    <n v="320"/>
    <n v="248"/>
    <n v="105"/>
    <n v="97"/>
    <n v="22"/>
    <n v="230"/>
    <n v="82"/>
    <n v="50"/>
    <n v="59"/>
    <n v="0"/>
    <n v="71"/>
    <n v="26"/>
    <n v="62"/>
    <n v="26"/>
    <n v="89"/>
    <n v="44"/>
    <n v="0"/>
    <n v="8"/>
    <n v="44"/>
    <n v="8"/>
    <n v="0"/>
    <n v="8"/>
    <n v="17"/>
    <n v="26"/>
    <n v="26"/>
    <n v="44"/>
    <n v="53"/>
    <n v="17"/>
    <n v="0"/>
    <n v="0"/>
    <n v="35"/>
    <n v="17"/>
    <n v="71"/>
    <n v="8"/>
    <n v="35"/>
    <n v="8"/>
    <n v="0"/>
    <n v="26"/>
    <n v="26"/>
    <n v="0"/>
    <n v="104"/>
    <n v="117.44999999999999"/>
    <n v="31262.77"/>
    <n v="15052.44"/>
    <n v="13894.56"/>
    <n v="28947.01"/>
    <n v="26631.25"/>
    <n v="22000"/>
    <n v="10000"/>
    <n v="7453"/>
    <n v="12052"/>
    <n v="60889"/>
    <n v="47668"/>
    <n v="34859"/>
    <n v="23168"/>
    <n v="187000"/>
    <n v="5595"/>
  </r>
  <r>
    <d v="2024-09-04T00:00:00"/>
    <x v="8"/>
    <n v="9"/>
    <n v="1189"/>
    <n v="906"/>
    <n v="404"/>
    <n v="595"/>
    <n v="190"/>
    <n v="416"/>
    <n v="400"/>
    <n v="90"/>
    <n v="250"/>
    <n v="213"/>
    <n v="58"/>
    <n v="73"/>
    <n v="14"/>
    <n v="198"/>
    <n v="103"/>
    <n v="31"/>
    <n v="63"/>
    <n v="186"/>
    <n v="36"/>
    <n v="18"/>
    <n v="45"/>
    <n v="9"/>
    <n v="144"/>
    <n v="45"/>
    <n v="18"/>
    <n v="27"/>
    <n v="27"/>
    <n v="18"/>
    <n v="9"/>
    <n v="36"/>
    <n v="18"/>
    <n v="27"/>
    <n v="27"/>
    <n v="45"/>
    <n v="45"/>
    <n v="27"/>
    <n v="0"/>
    <n v="0"/>
    <n v="9"/>
    <n v="9"/>
    <n v="81"/>
    <n v="9"/>
    <n v="54"/>
    <n v="18"/>
    <n v="9"/>
    <n v="18"/>
    <n v="18"/>
    <n v="0"/>
    <n v="60"/>
    <n v="118.62"/>
    <n v="39932.559999999998"/>
    <n v="19966.28"/>
    <n v="24664.23"/>
    <n v="22315.26"/>
    <n v="10570.38"/>
    <n v="22000"/>
    <n v="10000"/>
    <n v="7453"/>
    <n v="12052"/>
    <n v="60889"/>
    <n v="47668"/>
    <n v="34859"/>
    <n v="23168"/>
    <n v="187000"/>
    <n v="677"/>
  </r>
  <r>
    <d v="2024-09-05T00:00:00"/>
    <x v="8"/>
    <n v="9"/>
    <n v="1169"/>
    <n v="905"/>
    <n v="514"/>
    <n v="480"/>
    <n v="175"/>
    <n v="199"/>
    <n v="634"/>
    <n v="72"/>
    <n v="282"/>
    <n v="173"/>
    <n v="57"/>
    <n v="50"/>
    <n v="43"/>
    <n v="235"/>
    <n v="119"/>
    <n v="57"/>
    <n v="22"/>
    <n v="131"/>
    <n v="90"/>
    <n v="9"/>
    <n v="63"/>
    <n v="18"/>
    <n v="68"/>
    <n v="81"/>
    <n v="27"/>
    <n v="9"/>
    <n v="36"/>
    <n v="0"/>
    <n v="9"/>
    <n v="27"/>
    <n v="27"/>
    <n v="0"/>
    <n v="9"/>
    <n v="81"/>
    <n v="45"/>
    <n v="27"/>
    <n v="18"/>
    <n v="0"/>
    <n v="0"/>
    <n v="27"/>
    <n v="81"/>
    <n v="9"/>
    <n v="45"/>
    <n v="18"/>
    <n v="9"/>
    <n v="18"/>
    <n v="18"/>
    <n v="36"/>
    <n v="0"/>
    <n v="119.04"/>
    <n v="33213.61"/>
    <n v="15420.6"/>
    <n v="24910.2"/>
    <n v="26096.400000000001"/>
    <n v="18979.2"/>
    <n v="22000"/>
    <n v="10000"/>
    <n v="7453"/>
    <n v="12052"/>
    <n v="60889"/>
    <n v="47668"/>
    <n v="34859"/>
    <n v="23168"/>
    <n v="187000"/>
    <n v="1290"/>
  </r>
  <r>
    <d v="2024-09-06T00:00:00"/>
    <x v="8"/>
    <n v="9"/>
    <n v="1156"/>
    <n v="895"/>
    <n v="254"/>
    <n v="845"/>
    <n v="57"/>
    <n v="474"/>
    <n v="269"/>
    <n v="152"/>
    <n v="293"/>
    <n v="186"/>
    <n v="107"/>
    <n v="35"/>
    <n v="64"/>
    <n v="228"/>
    <n v="83"/>
    <n v="57"/>
    <n v="48"/>
    <n v="55"/>
    <n v="116"/>
    <n v="26"/>
    <n v="62"/>
    <n v="8"/>
    <n v="125"/>
    <n v="53"/>
    <n v="17"/>
    <n v="0"/>
    <n v="53"/>
    <n v="17"/>
    <n v="0"/>
    <n v="8"/>
    <n v="8"/>
    <n v="0"/>
    <n v="0"/>
    <n v="44"/>
    <n v="17"/>
    <n v="35"/>
    <n v="0"/>
    <n v="0"/>
    <n v="26"/>
    <n v="8"/>
    <n v="71"/>
    <n v="8"/>
    <n v="35"/>
    <n v="35"/>
    <n v="0"/>
    <n v="8"/>
    <n v="17"/>
    <n v="8"/>
    <n v="90"/>
    <n v="118.97000000000001"/>
    <n v="39284.54"/>
    <n v="16666.169999999998"/>
    <n v="22618.37"/>
    <n v="9523.52"/>
    <n v="30951.45"/>
    <n v="22000"/>
    <n v="10000"/>
    <n v="7453"/>
    <n v="12052"/>
    <n v="60889"/>
    <n v="47668"/>
    <n v="34859"/>
    <n v="23168"/>
    <n v="187000"/>
    <n v="2931"/>
  </r>
  <r>
    <d v="2024-09-07T00:00:00"/>
    <x v="8"/>
    <n v="9"/>
    <n v="1152"/>
    <n v="879"/>
    <n v="311"/>
    <n v="565"/>
    <n v="276"/>
    <n v="430"/>
    <n v="309"/>
    <n v="140"/>
    <n v="285"/>
    <n v="92"/>
    <n v="85"/>
    <n v="35"/>
    <n v="35"/>
    <n v="192"/>
    <n v="109"/>
    <n v="48"/>
    <n v="65"/>
    <n v="206"/>
    <n v="123"/>
    <n v="26"/>
    <n v="26"/>
    <n v="0"/>
    <n v="22"/>
    <n v="43"/>
    <n v="17"/>
    <n v="26"/>
    <n v="26"/>
    <n v="17"/>
    <n v="0"/>
    <n v="26"/>
    <n v="17"/>
    <n v="17"/>
    <n v="17"/>
    <n v="79"/>
    <n v="26"/>
    <n v="43"/>
    <n v="8"/>
    <n v="8"/>
    <n v="26"/>
    <n v="26"/>
    <n v="79"/>
    <n v="8"/>
    <n v="79"/>
    <n v="35"/>
    <n v="8"/>
    <n v="43"/>
    <n v="0"/>
    <n v="8"/>
    <n v="0"/>
    <n v="117.77"/>
    <n v="41640.46"/>
    <n v="22604.82"/>
    <n v="13087"/>
    <n v="27363.73"/>
    <n v="14276.73"/>
    <n v="22000"/>
    <n v="10000"/>
    <n v="7453"/>
    <n v="12052"/>
    <n v="60889"/>
    <n v="47668"/>
    <n v="34859"/>
    <n v="23168"/>
    <n v="187000"/>
    <n v="317"/>
  </r>
  <r>
    <d v="2024-09-08T00:00:00"/>
    <x v="8"/>
    <n v="9"/>
    <n v="1151"/>
    <n v="853"/>
    <n v="230"/>
    <n v="818"/>
    <n v="103"/>
    <n v="392"/>
    <n v="342"/>
    <n v="119"/>
    <n v="392"/>
    <n v="121"/>
    <n v="107"/>
    <n v="57"/>
    <n v="49"/>
    <n v="170"/>
    <n v="48"/>
    <n v="52"/>
    <n v="30"/>
    <n v="125"/>
    <n v="59"/>
    <n v="25"/>
    <n v="59"/>
    <n v="17"/>
    <n v="68"/>
    <n v="59"/>
    <n v="8"/>
    <n v="8"/>
    <n v="17"/>
    <n v="0"/>
    <n v="8"/>
    <n v="8"/>
    <n v="8"/>
    <n v="25"/>
    <n v="0"/>
    <n v="51"/>
    <n v="17"/>
    <n v="34"/>
    <n v="8"/>
    <n v="0"/>
    <n v="8"/>
    <n v="8"/>
    <n v="93"/>
    <n v="8"/>
    <n v="68"/>
    <n v="17"/>
    <n v="0"/>
    <n v="17"/>
    <n v="34"/>
    <n v="25"/>
    <n v="96"/>
    <n v="116.08999999999999"/>
    <n v="41216.769999999997"/>
    <n v="24730.06"/>
    <n v="11776.22"/>
    <n v="10598.6"/>
    <n v="29440.55"/>
    <n v="22000"/>
    <n v="10000"/>
    <n v="7453"/>
    <n v="12052"/>
    <n v="60889"/>
    <n v="47668"/>
    <n v="34859"/>
    <n v="23168"/>
    <n v="187000"/>
    <n v="7097"/>
  </r>
  <r>
    <d v="2024-09-09T00:00:00"/>
    <x v="8"/>
    <n v="9"/>
    <n v="1162"/>
    <n v="822"/>
    <n v="418"/>
    <n v="547"/>
    <n v="197"/>
    <n v="337"/>
    <n v="412"/>
    <n v="73"/>
    <n v="331"/>
    <n v="36"/>
    <n v="64"/>
    <n v="93"/>
    <n v="43"/>
    <n v="194"/>
    <n v="101"/>
    <n v="44"/>
    <n v="26"/>
    <n v="230"/>
    <n v="90"/>
    <n v="24"/>
    <n v="24"/>
    <n v="24"/>
    <n v="73"/>
    <n v="65"/>
    <n v="0"/>
    <n v="16"/>
    <n v="16"/>
    <n v="24"/>
    <n v="0"/>
    <n v="32"/>
    <n v="0"/>
    <n v="0"/>
    <n v="8"/>
    <n v="82"/>
    <n v="32"/>
    <n v="8"/>
    <n v="8"/>
    <n v="8"/>
    <n v="8"/>
    <n v="16"/>
    <n v="90"/>
    <n v="16"/>
    <n v="41"/>
    <n v="24"/>
    <n v="8"/>
    <n v="16"/>
    <n v="24"/>
    <n v="24"/>
    <n v="21"/>
    <n v="115.16"/>
    <n v="35989.96"/>
    <n v="22058.36"/>
    <n v="26702.23"/>
    <n v="13931.6"/>
    <n v="17414.5"/>
    <n v="22000"/>
    <n v="10000"/>
    <n v="7453"/>
    <n v="11745"/>
    <n v="60889"/>
    <n v="47668"/>
    <n v="34859"/>
    <n v="23168"/>
    <n v="187000"/>
    <n v="6243"/>
  </r>
  <r>
    <d v="2024-09-10T00:00:00"/>
    <x v="8"/>
    <n v="9"/>
    <n v="1189"/>
    <n v="789"/>
    <n v="273"/>
    <n v="702"/>
    <n v="214"/>
    <n v="276"/>
    <n v="379"/>
    <n v="134"/>
    <n v="250"/>
    <n v="176"/>
    <n v="73"/>
    <n v="58"/>
    <n v="58"/>
    <n v="221"/>
    <n v="103"/>
    <n v="36"/>
    <n v="36"/>
    <n v="178"/>
    <n v="47"/>
    <n v="15"/>
    <n v="39"/>
    <n v="0"/>
    <n v="102"/>
    <n v="55"/>
    <n v="7"/>
    <n v="7"/>
    <n v="23"/>
    <n v="0"/>
    <n v="7"/>
    <n v="7"/>
    <n v="15"/>
    <n v="0"/>
    <n v="23"/>
    <n v="55"/>
    <n v="15"/>
    <n v="23"/>
    <n v="0"/>
    <n v="7"/>
    <n v="15"/>
    <n v="15"/>
    <n v="63"/>
    <n v="7"/>
    <n v="39"/>
    <n v="39"/>
    <n v="7"/>
    <n v="47"/>
    <n v="7"/>
    <n v="31"/>
    <n v="72"/>
    <n v="115.16999999999999"/>
    <n v="32244.58"/>
    <n v="16122.29"/>
    <n v="19577.07"/>
    <n v="19577.07"/>
    <n v="27638.21"/>
    <n v="22000"/>
    <n v="10000"/>
    <n v="7453"/>
    <n v="11745"/>
    <n v="60889"/>
    <n v="47668"/>
    <n v="34859"/>
    <n v="23168"/>
    <n v="187000"/>
    <n v="6526"/>
  </r>
  <r>
    <d v="2024-09-11T00:00:00"/>
    <x v="8"/>
    <n v="9"/>
    <n v="1210"/>
    <n v="753"/>
    <n v="447"/>
    <n v="521"/>
    <n v="242"/>
    <n v="173"/>
    <n v="407"/>
    <n v="173"/>
    <n v="307"/>
    <n v="262"/>
    <n v="67"/>
    <n v="112"/>
    <n v="67"/>
    <n v="156"/>
    <n v="110"/>
    <n v="41"/>
    <n v="36"/>
    <n v="52"/>
    <n v="60"/>
    <n v="0"/>
    <n v="45"/>
    <n v="22"/>
    <n v="56"/>
    <n v="45"/>
    <n v="7"/>
    <n v="0"/>
    <n v="37"/>
    <n v="7"/>
    <n v="7"/>
    <n v="15"/>
    <n v="0"/>
    <n v="7"/>
    <n v="22"/>
    <n v="60"/>
    <n v="37"/>
    <n v="37"/>
    <n v="7"/>
    <n v="0"/>
    <n v="30"/>
    <n v="15"/>
    <n v="82"/>
    <n v="7"/>
    <n v="52"/>
    <n v="30"/>
    <n v="7"/>
    <n v="7"/>
    <n v="30"/>
    <n v="22"/>
    <n v="0"/>
    <n v="115.48000000000002"/>
    <n v="33396.18"/>
    <n v="19577.07"/>
    <n v="12667.52"/>
    <n v="11515.92"/>
    <n v="38002.550000000003"/>
    <n v="22000"/>
    <n v="10000"/>
    <n v="7453"/>
    <n v="11745"/>
    <n v="60889"/>
    <n v="47668"/>
    <n v="34859"/>
    <n v="23168"/>
    <n v="187000"/>
    <n v="281"/>
  </r>
  <r>
    <d v="2024-09-12T00:00:00"/>
    <x v="8"/>
    <n v="9"/>
    <n v="1216"/>
    <n v="731"/>
    <n v="279"/>
    <n v="694"/>
    <n v="243"/>
    <n v="285"/>
    <n v="322"/>
    <n v="124"/>
    <n v="354"/>
    <n v="135"/>
    <n v="98"/>
    <n v="82"/>
    <n v="52"/>
    <n v="244"/>
    <n v="32"/>
    <n v="64"/>
    <n v="69"/>
    <n v="86"/>
    <n v="65"/>
    <n v="21"/>
    <n v="43"/>
    <n v="0"/>
    <n v="56"/>
    <n v="43"/>
    <n v="7"/>
    <n v="0"/>
    <n v="43"/>
    <n v="7"/>
    <n v="0"/>
    <n v="36"/>
    <n v="7"/>
    <n v="14"/>
    <n v="14"/>
    <n v="73"/>
    <n v="21"/>
    <n v="29"/>
    <n v="0"/>
    <n v="0"/>
    <n v="29"/>
    <n v="29"/>
    <n v="73"/>
    <n v="21"/>
    <n v="51"/>
    <n v="21"/>
    <n v="0"/>
    <n v="14"/>
    <n v="0"/>
    <n v="14"/>
    <n v="0"/>
    <n v="116.47"/>
    <n v="39265.660000000003"/>
    <n v="21942.58"/>
    <n v="15013.34"/>
    <n v="24252.32"/>
    <n v="15013.34"/>
    <n v="22000"/>
    <n v="10000"/>
    <n v="7453"/>
    <n v="11745"/>
    <n v="60889"/>
    <n v="47668"/>
    <n v="34859"/>
    <n v="23168"/>
    <n v="187000"/>
    <n v="2930"/>
  </r>
  <r>
    <d v="2024-09-13T00:00:00"/>
    <x v="8"/>
    <n v="9"/>
    <n v="1212"/>
    <n v="718"/>
    <n v="303"/>
    <n v="837"/>
    <n v="72"/>
    <n v="150"/>
    <n v="389"/>
    <n v="179"/>
    <n v="383"/>
    <n v="210"/>
    <n v="67"/>
    <n v="60"/>
    <n v="67"/>
    <n v="225"/>
    <n v="41"/>
    <n v="69"/>
    <n v="64"/>
    <n v="26"/>
    <n v="93"/>
    <n v="0"/>
    <n v="43"/>
    <n v="0"/>
    <n v="74"/>
    <n v="43"/>
    <n v="14"/>
    <n v="7"/>
    <n v="21"/>
    <n v="14"/>
    <n v="7"/>
    <n v="21"/>
    <n v="0"/>
    <n v="7"/>
    <n v="21"/>
    <n v="71"/>
    <n v="35"/>
    <n v="28"/>
    <n v="7"/>
    <n v="0"/>
    <n v="14"/>
    <n v="21"/>
    <n v="57"/>
    <n v="7"/>
    <n v="57"/>
    <n v="7"/>
    <n v="7"/>
    <n v="14"/>
    <n v="14"/>
    <n v="14"/>
    <n v="0"/>
    <n v="118.16999999999999"/>
    <n v="33778.75"/>
    <n v="19801.34"/>
    <n v="15142.2"/>
    <n v="19801.34"/>
    <n v="27954.83"/>
    <n v="22000"/>
    <n v="10000"/>
    <n v="7453"/>
    <n v="11745"/>
    <n v="60889"/>
    <n v="47668"/>
    <n v="34859"/>
    <n v="23168"/>
    <n v="187000"/>
    <n v="2085"/>
  </r>
  <r>
    <d v="2024-09-14T00:00:00"/>
    <x v="8"/>
    <n v="9"/>
    <n v="1197"/>
    <n v="714"/>
    <n v="335"/>
    <n v="683"/>
    <n v="179"/>
    <n v="171"/>
    <n v="501"/>
    <n v="42"/>
    <n v="371"/>
    <n v="215"/>
    <n v="81"/>
    <n v="51"/>
    <n v="37"/>
    <n v="209"/>
    <n v="109"/>
    <n v="63"/>
    <n v="50"/>
    <n v="11"/>
    <n v="64"/>
    <n v="0"/>
    <n v="21"/>
    <n v="21"/>
    <n v="114"/>
    <n v="57"/>
    <n v="14"/>
    <n v="21"/>
    <n v="42"/>
    <n v="7"/>
    <n v="0"/>
    <n v="21"/>
    <n v="14"/>
    <n v="0"/>
    <n v="7"/>
    <n v="42"/>
    <n v="14"/>
    <n v="14"/>
    <n v="7"/>
    <n v="0"/>
    <n v="7"/>
    <n v="28"/>
    <n v="57"/>
    <n v="14"/>
    <n v="49"/>
    <n v="21"/>
    <n v="7"/>
    <n v="7"/>
    <n v="21"/>
    <n v="0"/>
    <n v="23"/>
    <n v="120.21"/>
    <n v="34268.400000000001"/>
    <n v="28360.06"/>
    <n v="29541.73"/>
    <n v="24815.05"/>
    <n v="1181.67"/>
    <n v="22000"/>
    <n v="10000"/>
    <n v="7453"/>
    <n v="11745"/>
    <n v="60889"/>
    <n v="47668"/>
    <n v="34859"/>
    <n v="23168"/>
    <n v="187000"/>
    <n v="5282"/>
  </r>
  <r>
    <d v="2024-09-15T00:00:00"/>
    <x v="8"/>
    <n v="9"/>
    <n v="1171"/>
    <n v="717"/>
    <n v="597"/>
    <n v="329"/>
    <n v="245"/>
    <n v="308"/>
    <n v="230"/>
    <n v="179"/>
    <n v="268"/>
    <n v="196"/>
    <n v="58"/>
    <n v="58"/>
    <n v="14"/>
    <n v="222"/>
    <n v="57"/>
    <n v="48"/>
    <n v="66"/>
    <n v="184"/>
    <n v="35"/>
    <n v="21"/>
    <n v="21"/>
    <n v="7"/>
    <n v="78"/>
    <n v="64"/>
    <n v="14"/>
    <n v="7"/>
    <n v="28"/>
    <n v="14"/>
    <n v="0"/>
    <n v="7"/>
    <n v="14"/>
    <n v="7"/>
    <n v="0"/>
    <n v="64"/>
    <n v="7"/>
    <n v="28"/>
    <n v="21"/>
    <n v="0"/>
    <n v="28"/>
    <n v="28"/>
    <n v="71"/>
    <n v="7"/>
    <n v="21"/>
    <n v="35"/>
    <n v="7"/>
    <n v="7"/>
    <n v="21"/>
    <n v="0"/>
    <n v="55"/>
    <n v="121.30000000000001"/>
    <n v="37261.769999999997"/>
    <n v="15625.9"/>
    <n v="16827.900000000001"/>
    <n v="10817.93"/>
    <n v="39665.75"/>
    <n v="18500"/>
    <n v="10000"/>
    <n v="7453"/>
    <n v="11745"/>
    <n v="60889"/>
    <n v="47668"/>
    <n v="34859"/>
    <n v="23168"/>
    <n v="187000"/>
    <n v="2945"/>
  </r>
  <r>
    <d v="2024-09-16T00:00:00"/>
    <x v="8"/>
    <n v="9"/>
    <n v="1153"/>
    <n v="725"/>
    <n v="495"/>
    <n v="416"/>
    <n v="242"/>
    <n v="340"/>
    <n v="313"/>
    <n v="72"/>
    <n v="378"/>
    <n v="185"/>
    <n v="78"/>
    <n v="107"/>
    <n v="21"/>
    <n v="205"/>
    <n v="39"/>
    <n v="35"/>
    <n v="35"/>
    <n v="70"/>
    <n v="43"/>
    <n v="21"/>
    <n v="36"/>
    <n v="21"/>
    <n v="87"/>
    <n v="36"/>
    <n v="14"/>
    <n v="7"/>
    <n v="14"/>
    <n v="7"/>
    <n v="7"/>
    <n v="7"/>
    <n v="0"/>
    <n v="21"/>
    <n v="14"/>
    <n v="50"/>
    <n v="7"/>
    <n v="7"/>
    <n v="21"/>
    <n v="0"/>
    <n v="29"/>
    <n v="29"/>
    <n v="58"/>
    <n v="7"/>
    <n v="21"/>
    <n v="14"/>
    <n v="7"/>
    <n v="50"/>
    <n v="0"/>
    <n v="29"/>
    <n v="61"/>
    <n v="122.03999999999999"/>
    <n v="36389.279999999999"/>
    <n v="15768.69"/>
    <n v="13342.74"/>
    <n v="20620.59"/>
    <n v="35176.31"/>
    <n v="18500"/>
    <n v="10000"/>
    <n v="7453"/>
    <n v="11745"/>
    <n v="60889"/>
    <n v="47668"/>
    <n v="34859"/>
    <n v="23168"/>
    <n v="187000"/>
    <n v="3018"/>
  </r>
  <r>
    <d v="2024-09-17T00:00:00"/>
    <x v="8"/>
    <n v="9"/>
    <n v="1150"/>
    <n v="738"/>
    <n v="356"/>
    <n v="622"/>
    <n v="172"/>
    <n v="177"/>
    <n v="480"/>
    <n v="81"/>
    <n v="392"/>
    <n v="163"/>
    <n v="49"/>
    <n v="35"/>
    <n v="21"/>
    <n v="192"/>
    <n v="61"/>
    <n v="56"/>
    <n v="48"/>
    <n v="133"/>
    <n v="73"/>
    <n v="0"/>
    <n v="29"/>
    <n v="14"/>
    <n v="81"/>
    <n v="59"/>
    <n v="22"/>
    <n v="22"/>
    <n v="44"/>
    <n v="7"/>
    <n v="7"/>
    <n v="29"/>
    <n v="7"/>
    <n v="7"/>
    <n v="7"/>
    <n v="29"/>
    <n v="14"/>
    <n v="7"/>
    <n v="22"/>
    <n v="7"/>
    <n v="7"/>
    <n v="29"/>
    <n v="59"/>
    <n v="14"/>
    <n v="66"/>
    <n v="14"/>
    <n v="0"/>
    <n v="29"/>
    <n v="0"/>
    <n v="0"/>
    <n v="33"/>
    <n v="122.35"/>
    <n v="37834.589999999997"/>
    <n v="30511.77"/>
    <n v="28070.83"/>
    <n v="24409.41"/>
    <n v="1220.47"/>
    <n v="18500"/>
    <n v="10000"/>
    <n v="7453"/>
    <n v="11745"/>
    <n v="60889"/>
    <n v="47668"/>
    <n v="34859"/>
    <n v="23168"/>
    <n v="187000"/>
    <n v="2277"/>
  </r>
  <r>
    <d v="2024-09-18T00:00:00"/>
    <x v="8"/>
    <n v="9"/>
    <n v="1157"/>
    <n v="760"/>
    <n v="578"/>
    <n v="418"/>
    <n v="161"/>
    <n v="182"/>
    <n v="426"/>
    <n v="152"/>
    <n v="380"/>
    <n v="193"/>
    <n v="86"/>
    <n v="50"/>
    <n v="35"/>
    <n v="167"/>
    <n v="30"/>
    <n v="39"/>
    <n v="30"/>
    <n v="147"/>
    <n v="30"/>
    <n v="15"/>
    <n v="30"/>
    <n v="0"/>
    <n v="114"/>
    <n v="60"/>
    <n v="7"/>
    <n v="0"/>
    <n v="30"/>
    <n v="0"/>
    <n v="0"/>
    <n v="30"/>
    <n v="0"/>
    <n v="15"/>
    <n v="7"/>
    <n v="60"/>
    <n v="30"/>
    <n v="38"/>
    <n v="7"/>
    <n v="0"/>
    <n v="22"/>
    <n v="15"/>
    <n v="83"/>
    <n v="22"/>
    <n v="38"/>
    <n v="22"/>
    <n v="0"/>
    <n v="15"/>
    <n v="15"/>
    <n v="22"/>
    <n v="33"/>
    <n v="121.44"/>
    <n v="42823.06"/>
    <n v="19576.259999999998"/>
    <n v="29364.38"/>
    <n v="17129.22"/>
    <n v="13458.68"/>
    <n v="18500"/>
    <n v="10000"/>
    <n v="7453"/>
    <n v="11745"/>
    <n v="60889"/>
    <n v="47668"/>
    <n v="34859"/>
    <n v="23168"/>
    <n v="187000"/>
    <n v="8344"/>
  </r>
  <r>
    <d v="2024-09-19T00:00:00"/>
    <x v="8"/>
    <n v="9"/>
    <n v="1182"/>
    <n v="782"/>
    <n v="425"/>
    <n v="616"/>
    <n v="141"/>
    <n v="172"/>
    <n v="540"/>
    <n v="70"/>
    <n v="381"/>
    <n v="161"/>
    <n v="102"/>
    <n v="43"/>
    <n v="36"/>
    <n v="170"/>
    <n v="76"/>
    <n v="58"/>
    <n v="44"/>
    <n v="111"/>
    <n v="78"/>
    <n v="15"/>
    <n v="31"/>
    <n v="15"/>
    <n v="62"/>
    <n v="54"/>
    <n v="7"/>
    <n v="15"/>
    <n v="46"/>
    <n v="15"/>
    <n v="0"/>
    <n v="31"/>
    <n v="7"/>
    <n v="15"/>
    <n v="7"/>
    <n v="70"/>
    <n v="39"/>
    <n v="31"/>
    <n v="15"/>
    <n v="7"/>
    <n v="31"/>
    <n v="31"/>
    <n v="0"/>
    <n v="7"/>
    <n v="47"/>
    <n v="7"/>
    <n v="7"/>
    <n v="54"/>
    <n v="31"/>
    <n v="7"/>
    <n v="0"/>
    <n v="119.62"/>
    <n v="30358.05"/>
    <n v="24286.44"/>
    <n v="19429.150000000001"/>
    <n v="13357.54"/>
    <n v="34001.019999999997"/>
    <n v="18500"/>
    <n v="10000"/>
    <n v="7453"/>
    <n v="11745"/>
    <n v="60889"/>
    <n v="47668"/>
    <n v="34859"/>
    <n v="23168"/>
    <n v="187000"/>
    <n v="5115"/>
  </r>
  <r>
    <d v="2024-09-20T00:00:00"/>
    <x v="8"/>
    <n v="9"/>
    <n v="1193"/>
    <n v="816"/>
    <n v="274"/>
    <n v="836"/>
    <n v="83"/>
    <n v="228"/>
    <n v="458"/>
    <n v="130"/>
    <n v="370"/>
    <n v="229"/>
    <n v="51"/>
    <n v="88"/>
    <n v="44"/>
    <n v="217"/>
    <n v="77"/>
    <n v="54"/>
    <n v="63"/>
    <n v="0"/>
    <n v="89"/>
    <n v="0"/>
    <n v="40"/>
    <n v="0"/>
    <n v="52"/>
    <n v="40"/>
    <n v="0"/>
    <n v="24"/>
    <n v="40"/>
    <n v="16"/>
    <n v="0"/>
    <n v="24"/>
    <n v="16"/>
    <n v="24"/>
    <n v="24"/>
    <n v="57"/>
    <n v="40"/>
    <n v="40"/>
    <n v="24"/>
    <n v="0"/>
    <n v="8"/>
    <n v="24"/>
    <n v="57"/>
    <n v="16"/>
    <n v="65"/>
    <n v="16"/>
    <n v="0"/>
    <n v="48"/>
    <n v="16"/>
    <n v="16"/>
    <n v="0"/>
    <n v="118.47"/>
    <n v="34692.14"/>
    <n v="19140.490000000002"/>
    <n v="21533.05"/>
    <n v="26318.17"/>
    <n v="17944.21"/>
    <n v="18500"/>
    <n v="10000"/>
    <n v="7453"/>
    <n v="11745"/>
    <n v="60889"/>
    <n v="47668"/>
    <n v="34859"/>
    <n v="23168"/>
    <n v="187000"/>
    <n v="3085"/>
  </r>
  <r>
    <d v="2024-09-21T00:00:00"/>
    <x v="8"/>
    <n v="9"/>
    <n v="1192"/>
    <n v="851"/>
    <n v="596"/>
    <n v="346"/>
    <n v="250"/>
    <n v="348"/>
    <n v="299"/>
    <n v="204"/>
    <n v="295"/>
    <n v="184"/>
    <n v="96"/>
    <n v="73"/>
    <n v="36"/>
    <n v="226"/>
    <n v="144"/>
    <n v="54"/>
    <n v="31"/>
    <n v="53"/>
    <n v="34"/>
    <n v="8"/>
    <n v="25"/>
    <n v="25"/>
    <n v="67"/>
    <n v="76"/>
    <n v="17"/>
    <n v="0"/>
    <n v="51"/>
    <n v="17"/>
    <n v="0"/>
    <n v="34"/>
    <n v="0"/>
    <n v="8"/>
    <n v="17"/>
    <n v="76"/>
    <n v="34"/>
    <n v="42"/>
    <n v="17"/>
    <n v="0"/>
    <n v="0"/>
    <n v="8"/>
    <n v="85"/>
    <n v="8"/>
    <n v="51"/>
    <n v="42"/>
    <n v="8"/>
    <n v="51"/>
    <n v="25"/>
    <n v="25"/>
    <n v="0"/>
    <n v="118.33"/>
    <n v="37910.29"/>
    <n v="18955.14"/>
    <n v="23693.93"/>
    <n v="29617.41"/>
    <n v="8292.8799999999992"/>
    <n v="18500"/>
    <n v="10000"/>
    <n v="7453"/>
    <n v="11745"/>
    <n v="60889"/>
    <n v="47668"/>
    <n v="34859"/>
    <n v="23168"/>
    <n v="187000"/>
    <n v="7640"/>
  </r>
  <r>
    <d v="2024-09-22T00:00:00"/>
    <x v="8"/>
    <n v="9"/>
    <n v="1175"/>
    <n v="885"/>
    <n v="470"/>
    <n v="541"/>
    <n v="164"/>
    <n v="389"/>
    <n v="337"/>
    <n v="159"/>
    <n v="342"/>
    <n v="101"/>
    <n v="50"/>
    <n v="94"/>
    <n v="21"/>
    <n v="169"/>
    <n v="75"/>
    <n v="44"/>
    <n v="53"/>
    <n v="226"/>
    <n v="70"/>
    <n v="17"/>
    <n v="26"/>
    <n v="17"/>
    <n v="88"/>
    <n v="70"/>
    <n v="26"/>
    <n v="26"/>
    <n v="17"/>
    <n v="0"/>
    <n v="8"/>
    <n v="26"/>
    <n v="17"/>
    <n v="0"/>
    <n v="0"/>
    <n v="53"/>
    <n v="17"/>
    <n v="8"/>
    <n v="17"/>
    <n v="8"/>
    <n v="0"/>
    <n v="35"/>
    <n v="97"/>
    <n v="17"/>
    <n v="79"/>
    <n v="8"/>
    <n v="0"/>
    <n v="61"/>
    <n v="17"/>
    <n v="35"/>
    <n v="25"/>
    <n v="118.88"/>
    <n v="35498.51"/>
    <n v="29582.09"/>
    <n v="13016.12"/>
    <n v="14199.4"/>
    <n v="26032.240000000002"/>
    <n v="18500"/>
    <n v="10000"/>
    <n v="7453"/>
    <n v="11745"/>
    <n v="60889"/>
    <n v="47668"/>
    <n v="34859"/>
    <n v="23168"/>
    <n v="187000"/>
    <n v="917"/>
  </r>
  <r>
    <d v="2024-09-23T00:00:00"/>
    <x v="8"/>
    <n v="9"/>
    <n v="1149"/>
    <n v="913"/>
    <n v="310"/>
    <n v="782"/>
    <n v="57"/>
    <n v="319"/>
    <n v="439"/>
    <n v="155"/>
    <n v="263"/>
    <n v="85"/>
    <n v="71"/>
    <n v="85"/>
    <n v="42"/>
    <n v="218"/>
    <n v="148"/>
    <n v="39"/>
    <n v="52"/>
    <n v="146"/>
    <n v="82"/>
    <n v="27"/>
    <n v="54"/>
    <n v="9"/>
    <n v="127"/>
    <n v="54"/>
    <n v="9"/>
    <n v="9"/>
    <n v="54"/>
    <n v="0"/>
    <n v="9"/>
    <n v="18"/>
    <n v="0"/>
    <n v="18"/>
    <n v="27"/>
    <n v="36"/>
    <n v="9"/>
    <n v="18"/>
    <n v="18"/>
    <n v="9"/>
    <n v="27"/>
    <n v="18"/>
    <n v="73"/>
    <n v="9"/>
    <n v="63"/>
    <n v="18"/>
    <n v="0"/>
    <n v="27"/>
    <n v="9"/>
    <n v="36"/>
    <n v="46"/>
    <n v="120.10000000000001"/>
    <n v="30911.87"/>
    <n v="17833.77"/>
    <n v="28534.04"/>
    <n v="16644.86"/>
    <n v="24967.279999999999"/>
    <n v="18500"/>
    <n v="10000"/>
    <n v="7453"/>
    <n v="11745"/>
    <n v="60889"/>
    <n v="47668"/>
    <n v="34859"/>
    <n v="23168"/>
    <n v="187000"/>
    <n v="2265"/>
  </r>
  <r>
    <d v="2024-09-24T00:00:00"/>
    <x v="8"/>
    <n v="9"/>
    <n v="1127"/>
    <n v="942"/>
    <n v="518"/>
    <n v="519"/>
    <n v="90"/>
    <n v="254"/>
    <n v="585"/>
    <n v="103"/>
    <n v="370"/>
    <n v="41"/>
    <n v="97"/>
    <n v="55"/>
    <n v="27"/>
    <n v="192"/>
    <n v="128"/>
    <n v="34"/>
    <n v="42"/>
    <n v="141"/>
    <n v="47"/>
    <n v="18"/>
    <n v="47"/>
    <n v="18"/>
    <n v="103"/>
    <n v="65"/>
    <n v="9"/>
    <n v="18"/>
    <n v="56"/>
    <n v="28"/>
    <n v="0"/>
    <n v="47"/>
    <n v="18"/>
    <n v="0"/>
    <n v="0"/>
    <n v="47"/>
    <n v="47"/>
    <n v="9"/>
    <n v="0"/>
    <n v="0"/>
    <n v="0"/>
    <n v="9"/>
    <n v="84"/>
    <n v="9"/>
    <n v="65"/>
    <n v="37"/>
    <n v="0"/>
    <n v="47"/>
    <n v="9"/>
    <n v="18"/>
    <n v="87"/>
    <n v="121.86"/>
    <n v="33629.06"/>
    <n v="30025.94"/>
    <n v="26422.83"/>
    <n v="14412.45"/>
    <n v="15613.49"/>
    <n v="18500"/>
    <n v="10000"/>
    <n v="7453"/>
    <n v="17915"/>
    <n v="60889"/>
    <n v="47668"/>
    <n v="34859"/>
    <n v="23168"/>
    <n v="187000"/>
    <n v="4422"/>
  </r>
  <r>
    <d v="2024-09-25T00:00:00"/>
    <x v="8"/>
    <n v="9"/>
    <n v="1123"/>
    <n v="955"/>
    <n v="303"/>
    <n v="641"/>
    <n v="179"/>
    <n v="382"/>
    <n v="440"/>
    <n v="133"/>
    <n v="327"/>
    <n v="48"/>
    <n v="55"/>
    <n v="104"/>
    <n v="27"/>
    <n v="230"/>
    <n v="76"/>
    <n v="46"/>
    <n v="34"/>
    <n v="176"/>
    <n v="76"/>
    <n v="0"/>
    <n v="28"/>
    <n v="9"/>
    <n v="143"/>
    <n v="47"/>
    <n v="28"/>
    <n v="9"/>
    <n v="38"/>
    <n v="19"/>
    <n v="9"/>
    <n v="38"/>
    <n v="0"/>
    <n v="0"/>
    <n v="19"/>
    <n v="57"/>
    <n v="47"/>
    <n v="9"/>
    <n v="9"/>
    <n v="9"/>
    <n v="19"/>
    <n v="19"/>
    <n v="85"/>
    <n v="9"/>
    <n v="38"/>
    <n v="19"/>
    <n v="0"/>
    <n v="66"/>
    <n v="28"/>
    <n v="28"/>
    <n v="50"/>
    <n v="123.75999999999999"/>
    <n v="40213.72"/>
    <n v="15841.77"/>
    <n v="29246.34"/>
    <n v="10967.38"/>
    <n v="25590.55"/>
    <n v="18500"/>
    <n v="10000"/>
    <n v="7453"/>
    <n v="17915"/>
    <n v="60889"/>
    <n v="47668"/>
    <n v="34859"/>
    <n v="23168"/>
    <n v="187000"/>
    <n v="5411"/>
  </r>
  <r>
    <d v="2024-09-26T00:00:00"/>
    <x v="8"/>
    <n v="9"/>
    <n v="1125"/>
    <n v="967"/>
    <n v="303"/>
    <n v="665"/>
    <n v="157"/>
    <n v="203"/>
    <n v="697"/>
    <n v="67"/>
    <n v="237"/>
    <n v="48"/>
    <n v="90"/>
    <n v="90"/>
    <n v="62"/>
    <n v="153"/>
    <n v="64"/>
    <n v="47"/>
    <n v="59"/>
    <n v="275"/>
    <n v="87"/>
    <n v="19"/>
    <n v="58"/>
    <n v="29"/>
    <n v="37"/>
    <n v="77"/>
    <n v="29"/>
    <n v="0"/>
    <n v="29"/>
    <n v="29"/>
    <n v="0"/>
    <n v="38"/>
    <n v="9"/>
    <n v="9"/>
    <n v="9"/>
    <n v="38"/>
    <n v="38"/>
    <n v="38"/>
    <n v="19"/>
    <n v="0"/>
    <n v="29"/>
    <n v="38"/>
    <n v="106"/>
    <n v="29"/>
    <n v="87"/>
    <n v="29"/>
    <n v="9"/>
    <n v="19"/>
    <n v="29"/>
    <n v="0"/>
    <n v="0"/>
    <n v="125.33"/>
    <n v="35889.919999999998"/>
    <n v="16088.58"/>
    <n v="28464.42"/>
    <n v="30939.58"/>
    <n v="12375.83"/>
    <n v="18500"/>
    <n v="10000"/>
    <n v="8119"/>
    <n v="17915"/>
    <n v="60889"/>
    <n v="47668"/>
    <n v="34859"/>
    <n v="23168"/>
    <n v="187000"/>
    <n v="439"/>
  </r>
  <r>
    <d v="2024-09-27T00:00:00"/>
    <x v="8"/>
    <n v="9"/>
    <n v="1145"/>
    <n v="972"/>
    <n v="480"/>
    <n v="528"/>
    <n v="137"/>
    <n v="379"/>
    <n v="516"/>
    <n v="77"/>
    <n v="347"/>
    <n v="205"/>
    <n v="56"/>
    <n v="63"/>
    <n v="42"/>
    <n v="226"/>
    <n v="82"/>
    <n v="47"/>
    <n v="52"/>
    <n v="25"/>
    <n v="126"/>
    <n v="29"/>
    <n v="29"/>
    <n v="9"/>
    <n v="97"/>
    <n v="48"/>
    <n v="19"/>
    <n v="19"/>
    <n v="19"/>
    <n v="0"/>
    <n v="9"/>
    <n v="38"/>
    <n v="9"/>
    <n v="9"/>
    <n v="9"/>
    <n v="97"/>
    <n v="38"/>
    <n v="48"/>
    <n v="0"/>
    <n v="9"/>
    <n v="9"/>
    <n v="19"/>
    <n v="106"/>
    <n v="29"/>
    <n v="38"/>
    <n v="38"/>
    <n v="0"/>
    <n v="29"/>
    <n v="29"/>
    <n v="9"/>
    <n v="5"/>
    <n v="125.91000000000001"/>
    <n v="41361.78"/>
    <n v="16294.04"/>
    <n v="18800.810000000001"/>
    <n v="25067.75"/>
    <n v="23814.36"/>
    <n v="18500"/>
    <n v="10000"/>
    <n v="8119"/>
    <n v="17915"/>
    <n v="60889"/>
    <n v="47668"/>
    <n v="34859"/>
    <n v="23168"/>
    <n v="187000"/>
    <n v="2410"/>
  </r>
  <r>
    <d v="2024-09-28T00:00:00"/>
    <x v="8"/>
    <n v="9"/>
    <n v="1170"/>
    <n v="972"/>
    <n v="269"/>
    <n v="609"/>
    <n v="292"/>
    <n v="417"/>
    <n v="497"/>
    <n v="58"/>
    <n v="326"/>
    <n v="43"/>
    <n v="108"/>
    <n v="58"/>
    <n v="50"/>
    <n v="200"/>
    <n v="71"/>
    <n v="62"/>
    <n v="26"/>
    <n v="226"/>
    <n v="58"/>
    <n v="19"/>
    <n v="48"/>
    <n v="9"/>
    <n v="87"/>
    <n v="87"/>
    <n v="0"/>
    <n v="9"/>
    <n v="48"/>
    <n v="0"/>
    <n v="0"/>
    <n v="38"/>
    <n v="9"/>
    <n v="29"/>
    <n v="19"/>
    <n v="48"/>
    <n v="58"/>
    <n v="48"/>
    <n v="0"/>
    <n v="0"/>
    <n v="19"/>
    <n v="38"/>
    <n v="87"/>
    <n v="19"/>
    <n v="68"/>
    <n v="19"/>
    <n v="9"/>
    <n v="58"/>
    <n v="0"/>
    <n v="9"/>
    <n v="32"/>
    <n v="125.91999999999999"/>
    <n v="32736.639999999999"/>
    <n v="26441.14"/>
    <n v="15109.22"/>
    <n v="16368.32"/>
    <n v="35254.85"/>
    <n v="18500"/>
    <n v="10000"/>
    <n v="8119"/>
    <n v="17915"/>
    <n v="60889"/>
    <n v="47668"/>
    <n v="34859"/>
    <n v="23168"/>
    <n v="187000"/>
    <n v="2293"/>
  </r>
  <r>
    <d v="2024-09-29T00:00:00"/>
    <x v="8"/>
    <n v="9"/>
    <n v="1184"/>
    <n v="966"/>
    <n v="438"/>
    <n v="450"/>
    <n v="296"/>
    <n v="415"/>
    <n v="387"/>
    <n v="164"/>
    <n v="396"/>
    <n v="198"/>
    <n v="95"/>
    <n v="73"/>
    <n v="29"/>
    <n v="175"/>
    <n v="49"/>
    <n v="49"/>
    <n v="31"/>
    <n v="89"/>
    <n v="115"/>
    <n v="9"/>
    <n v="67"/>
    <n v="28"/>
    <n v="106"/>
    <n v="57"/>
    <n v="19"/>
    <n v="19"/>
    <n v="38"/>
    <n v="9"/>
    <n v="0"/>
    <n v="38"/>
    <n v="19"/>
    <n v="9"/>
    <n v="19"/>
    <n v="86"/>
    <n v="48"/>
    <n v="28"/>
    <n v="0"/>
    <n v="9"/>
    <n v="19"/>
    <n v="19"/>
    <n v="0"/>
    <n v="9"/>
    <n v="49"/>
    <n v="19"/>
    <n v="0"/>
    <n v="67"/>
    <n v="38"/>
    <n v="19"/>
    <n v="4"/>
    <n v="125"/>
    <n v="44068.56"/>
    <n v="31477.54"/>
    <n v="17627.419999999998"/>
    <n v="26441.14"/>
    <n v="6295.51"/>
    <n v="18500"/>
    <n v="10000"/>
    <n v="8119"/>
    <n v="17915"/>
    <n v="60889"/>
    <n v="47668"/>
    <n v="34859"/>
    <n v="23168"/>
    <n v="187000"/>
    <n v="8423"/>
  </r>
  <r>
    <d v="2024-09-30T00:00:00"/>
    <x v="8"/>
    <n v="9"/>
    <n v="1184"/>
    <n v="961"/>
    <n v="414"/>
    <n v="474"/>
    <n v="296"/>
    <n v="211"/>
    <n v="635"/>
    <n v="115"/>
    <n v="308"/>
    <n v="58"/>
    <n v="95"/>
    <n v="58"/>
    <n v="36"/>
    <n v="184"/>
    <n v="31"/>
    <n v="67"/>
    <n v="62"/>
    <n v="285"/>
    <n v="67"/>
    <n v="19"/>
    <n v="57"/>
    <n v="0"/>
    <n v="78"/>
    <n v="76"/>
    <n v="19"/>
    <n v="19"/>
    <n v="19"/>
    <n v="0"/>
    <n v="0"/>
    <n v="48"/>
    <n v="9"/>
    <n v="28"/>
    <n v="28"/>
    <n v="96"/>
    <n v="38"/>
    <n v="38"/>
    <n v="28"/>
    <n v="9"/>
    <n v="28"/>
    <n v="19"/>
    <n v="67"/>
    <n v="19"/>
    <n v="48"/>
    <n v="9"/>
    <n v="0"/>
    <n v="19"/>
    <n v="38"/>
    <n v="38"/>
    <n v="0"/>
    <n v="124.84000000000002"/>
    <n v="37500"/>
    <n v="18750"/>
    <n v="30000"/>
    <n v="12500"/>
    <n v="26250"/>
    <n v="18500"/>
    <n v="10000"/>
    <n v="8119"/>
    <n v="17915"/>
    <n v="60889"/>
    <n v="47668"/>
    <n v="34859"/>
    <n v="23168"/>
    <n v="187000"/>
    <n v="6146"/>
  </r>
  <r>
    <d v="2024-10-01T00:00:00"/>
    <x v="9"/>
    <n v="10"/>
    <n v="1177"/>
    <n v="846"/>
    <n v="541"/>
    <n v="448"/>
    <n v="188"/>
    <n v="194"/>
    <n v="543"/>
    <n v="109"/>
    <n v="321"/>
    <n v="211"/>
    <n v="87"/>
    <n v="72"/>
    <n v="29"/>
    <n v="174"/>
    <n v="111"/>
    <n v="53"/>
    <n v="49"/>
    <n v="70"/>
    <n v="101"/>
    <n v="0"/>
    <n v="59"/>
    <n v="16"/>
    <n v="89"/>
    <n v="50"/>
    <n v="25"/>
    <n v="25"/>
    <n v="33"/>
    <n v="8"/>
    <n v="0"/>
    <n v="33"/>
    <n v="0"/>
    <n v="16"/>
    <n v="8"/>
    <n v="59"/>
    <n v="25"/>
    <n v="8"/>
    <n v="0"/>
    <n v="8"/>
    <n v="16"/>
    <n v="33"/>
    <n v="59"/>
    <n v="25"/>
    <n v="25"/>
    <n v="25"/>
    <n v="0"/>
    <n v="59"/>
    <n v="33"/>
    <n v="8"/>
    <n v="0"/>
    <n v="100"/>
    <n v="32458.29"/>
    <n v="17477.54"/>
    <n v="12483.96"/>
    <n v="28713.11"/>
    <n v="33706.69"/>
    <n v="18500"/>
    <n v="8750"/>
    <n v="8119"/>
    <n v="17915"/>
    <n v="64151"/>
    <n v="49709"/>
    <n v="39758"/>
    <n v="24250"/>
    <n v="195000"/>
    <n v="4480"/>
  </r>
  <r>
    <d v="2024-10-02T00:00:00"/>
    <x v="9"/>
    <n v="10"/>
    <n v="1158"/>
    <n v="821"/>
    <n v="590"/>
    <n v="430"/>
    <n v="138"/>
    <n v="213"/>
    <n v="436"/>
    <n v="172"/>
    <n v="351"/>
    <n v="143"/>
    <n v="78"/>
    <n v="78"/>
    <n v="57"/>
    <n v="167"/>
    <n v="96"/>
    <n v="30"/>
    <n v="61"/>
    <n v="97"/>
    <n v="82"/>
    <n v="16"/>
    <n v="24"/>
    <n v="8"/>
    <n v="131"/>
    <n v="41"/>
    <n v="8"/>
    <n v="8"/>
    <n v="16"/>
    <n v="8"/>
    <n v="0"/>
    <n v="16"/>
    <n v="8"/>
    <n v="0"/>
    <n v="24"/>
    <n v="82"/>
    <n v="57"/>
    <n v="41"/>
    <n v="8"/>
    <n v="0"/>
    <n v="0"/>
    <n v="16"/>
    <n v="90"/>
    <n v="16"/>
    <n v="65"/>
    <n v="16"/>
    <n v="0"/>
    <n v="16"/>
    <n v="8"/>
    <n v="16"/>
    <n v="0"/>
    <n v="97.456000000000003"/>
    <n v="37500"/>
    <n v="18750"/>
    <n v="30000"/>
    <n v="12500"/>
    <n v="26250"/>
    <n v="18500"/>
    <n v="8750"/>
    <n v="8119"/>
    <n v="17915"/>
    <n v="64151"/>
    <n v="49709"/>
    <n v="39758"/>
    <n v="24250"/>
    <n v="195000"/>
    <n v="413"/>
  </r>
  <r>
    <d v="2024-10-03T00:00:00"/>
    <x v="9"/>
    <n v="10"/>
    <n v="1133"/>
    <n v="799"/>
    <n v="475"/>
    <n v="534"/>
    <n v="124"/>
    <n v="335"/>
    <n v="425"/>
    <n v="39"/>
    <n v="358"/>
    <n v="112"/>
    <n v="56"/>
    <n v="84"/>
    <n v="14"/>
    <n v="198"/>
    <n v="90"/>
    <n v="64"/>
    <n v="43"/>
    <n v="114"/>
    <n v="71"/>
    <n v="7"/>
    <n v="39"/>
    <n v="23"/>
    <n v="103"/>
    <n v="63"/>
    <n v="15"/>
    <n v="15"/>
    <n v="31"/>
    <n v="23"/>
    <n v="0"/>
    <n v="7"/>
    <n v="15"/>
    <n v="23"/>
    <n v="23"/>
    <n v="47"/>
    <n v="23"/>
    <n v="31"/>
    <n v="15"/>
    <n v="0"/>
    <n v="7"/>
    <n v="15"/>
    <n v="71"/>
    <n v="15"/>
    <n v="23"/>
    <n v="31"/>
    <n v="7"/>
    <n v="7"/>
    <n v="0"/>
    <n v="31"/>
    <n v="18"/>
    <n v="92.904000000000025"/>
    <n v="40200.720000000001"/>
    <n v="28018.68"/>
    <n v="18273.05"/>
    <n v="14618.44"/>
    <n v="20709.46"/>
    <n v="18500"/>
    <n v="8750"/>
    <n v="8119"/>
    <n v="17915"/>
    <n v="64151"/>
    <n v="49709"/>
    <n v="39758"/>
    <n v="24250"/>
    <n v="195000"/>
    <n v="5940"/>
  </r>
  <r>
    <d v="2024-10-04T00:00:00"/>
    <x v="9"/>
    <n v="10"/>
    <n v="1108"/>
    <n v="771"/>
    <n v="343"/>
    <n v="544"/>
    <n v="221"/>
    <n v="185"/>
    <n v="432"/>
    <n v="154"/>
    <n v="267"/>
    <n v="171"/>
    <n v="103"/>
    <n v="54"/>
    <n v="68"/>
    <n v="231"/>
    <n v="67"/>
    <n v="37"/>
    <n v="37"/>
    <n v="73"/>
    <n v="30"/>
    <n v="7"/>
    <n v="30"/>
    <n v="15"/>
    <n v="77"/>
    <n v="53"/>
    <n v="7"/>
    <n v="0"/>
    <n v="38"/>
    <n v="23"/>
    <n v="0"/>
    <n v="38"/>
    <n v="7"/>
    <n v="7"/>
    <n v="7"/>
    <n v="30"/>
    <n v="46"/>
    <n v="15"/>
    <n v="23"/>
    <n v="7"/>
    <n v="7"/>
    <n v="7"/>
    <n v="84"/>
    <n v="7"/>
    <n v="53"/>
    <n v="23"/>
    <n v="0"/>
    <n v="46"/>
    <n v="7"/>
    <n v="30"/>
    <n v="47"/>
    <n v="89.231999999999999"/>
    <n v="34839.440000000002"/>
    <n v="29032.87"/>
    <n v="12774.46"/>
    <n v="23226.3"/>
    <n v="16258.41"/>
    <n v="18500"/>
    <n v="8750"/>
    <n v="8119"/>
    <n v="17915"/>
    <n v="64151"/>
    <n v="49709"/>
    <n v="39758"/>
    <n v="24250"/>
    <n v="195000"/>
    <n v="7884"/>
  </r>
  <r>
    <d v="2024-10-05T00:00:00"/>
    <x v="9"/>
    <n v="10"/>
    <n v="1091"/>
    <n v="733"/>
    <n v="305"/>
    <n v="645"/>
    <n v="141"/>
    <n v="205"/>
    <n v="433"/>
    <n v="95"/>
    <n v="372"/>
    <n v="40"/>
    <n v="81"/>
    <n v="74"/>
    <n v="40"/>
    <n v="178"/>
    <n v="41"/>
    <n v="41"/>
    <n v="33"/>
    <n v="191"/>
    <n v="87"/>
    <n v="21"/>
    <n v="43"/>
    <n v="21"/>
    <n v="11"/>
    <n v="36"/>
    <n v="21"/>
    <n v="14"/>
    <n v="29"/>
    <n v="7"/>
    <n v="7"/>
    <n v="21"/>
    <n v="21"/>
    <n v="21"/>
    <n v="21"/>
    <n v="58"/>
    <n v="7"/>
    <n v="14"/>
    <n v="0"/>
    <n v="7"/>
    <n v="7"/>
    <n v="21"/>
    <n v="73"/>
    <n v="21"/>
    <n v="58"/>
    <n v="29"/>
    <n v="0"/>
    <n v="14"/>
    <n v="14"/>
    <n v="29"/>
    <n v="0"/>
    <n v="86.232000000000014"/>
    <n v="31230.080000000002"/>
    <n v="20076.48"/>
    <n v="27884"/>
    <n v="26768.639999999999"/>
    <n v="5576.8"/>
    <n v="18500"/>
    <n v="8750"/>
    <n v="8119"/>
    <n v="17915"/>
    <n v="64151"/>
    <n v="49709"/>
    <n v="39758"/>
    <n v="24250"/>
    <n v="195000"/>
    <n v="8619"/>
  </r>
  <r>
    <d v="2024-10-06T00:00:00"/>
    <x v="9"/>
    <n v="10"/>
    <n v="1085"/>
    <n v="699"/>
    <n v="444"/>
    <n v="381"/>
    <n v="260"/>
    <n v="167"/>
    <n v="449"/>
    <n v="83"/>
    <n v="309"/>
    <n v="161"/>
    <n v="73"/>
    <n v="100"/>
    <n v="60"/>
    <n v="189"/>
    <n v="82"/>
    <n v="41"/>
    <n v="53"/>
    <n v="17"/>
    <n v="69"/>
    <n v="6"/>
    <n v="41"/>
    <n v="20"/>
    <n v="41"/>
    <n v="41"/>
    <n v="20"/>
    <n v="0"/>
    <n v="20"/>
    <n v="6"/>
    <n v="6"/>
    <n v="13"/>
    <n v="20"/>
    <n v="13"/>
    <n v="6"/>
    <n v="48"/>
    <n v="27"/>
    <n v="20"/>
    <n v="13"/>
    <n v="6"/>
    <n v="27"/>
    <n v="20"/>
    <n v="69"/>
    <n v="6"/>
    <n v="34"/>
    <n v="13"/>
    <n v="0"/>
    <n v="13"/>
    <n v="27"/>
    <n v="6"/>
    <n v="48"/>
    <n v="84.304000000000016"/>
    <n v="34490.800000000003"/>
    <n v="18323.240000000002"/>
    <n v="21556.75"/>
    <n v="26945.93"/>
    <n v="6467.02"/>
    <n v="18500"/>
    <n v="8750"/>
    <n v="8119"/>
    <n v="17923"/>
    <n v="64151"/>
    <n v="49709"/>
    <n v="39758"/>
    <n v="24250"/>
    <n v="195000"/>
    <n v="1404"/>
  </r>
  <r>
    <d v="2024-10-07T00:00:00"/>
    <x v="9"/>
    <n v="10"/>
    <n v="1086"/>
    <n v="662"/>
    <n v="217"/>
    <n v="631"/>
    <n v="238"/>
    <n v="145"/>
    <n v="359"/>
    <n v="158"/>
    <n v="350"/>
    <n v="235"/>
    <n v="94"/>
    <n v="47"/>
    <n v="26"/>
    <n v="189"/>
    <n v="24"/>
    <n v="37"/>
    <n v="37"/>
    <n v="47"/>
    <n v="59"/>
    <n v="19"/>
    <n v="33"/>
    <n v="19"/>
    <n v="16"/>
    <n v="52"/>
    <n v="0"/>
    <n v="13"/>
    <n v="26"/>
    <n v="6"/>
    <n v="6"/>
    <n v="33"/>
    <n v="19"/>
    <n v="19"/>
    <n v="13"/>
    <n v="52"/>
    <n v="26"/>
    <n v="6"/>
    <n v="19"/>
    <n v="0"/>
    <n v="0"/>
    <n v="19"/>
    <n v="52"/>
    <n v="19"/>
    <n v="52"/>
    <n v="33"/>
    <n v="6"/>
    <n v="26"/>
    <n v="6"/>
    <n v="13"/>
    <n v="0"/>
    <n v="83.728000000000009"/>
    <n v="30562.080000000002"/>
    <n v="22131.16"/>
    <n v="20023.43"/>
    <n v="16861.84"/>
    <n v="15807.97"/>
    <n v="18500"/>
    <n v="8750"/>
    <n v="8119"/>
    <n v="17923"/>
    <n v="64151"/>
    <n v="49709"/>
    <n v="39758"/>
    <n v="24250"/>
    <n v="195000"/>
    <n v="1962"/>
  </r>
  <r>
    <d v="2024-10-08T00:00:00"/>
    <x v="9"/>
    <n v="10"/>
    <n v="1103"/>
    <n v="633"/>
    <n v="529"/>
    <n v="464"/>
    <n v="110"/>
    <n v="145"/>
    <n v="419"/>
    <n v="69"/>
    <n v="348"/>
    <n v="95"/>
    <n v="82"/>
    <n v="54"/>
    <n v="34"/>
    <n v="213"/>
    <n v="138"/>
    <n v="50"/>
    <n v="50"/>
    <n v="39"/>
    <n v="82"/>
    <n v="12"/>
    <n v="25"/>
    <n v="18"/>
    <n v="33"/>
    <n v="37"/>
    <n v="12"/>
    <n v="0"/>
    <n v="31"/>
    <n v="12"/>
    <n v="6"/>
    <n v="12"/>
    <n v="12"/>
    <n v="0"/>
    <n v="12"/>
    <n v="31"/>
    <n v="44"/>
    <n v="12"/>
    <n v="12"/>
    <n v="6"/>
    <n v="0"/>
    <n v="25"/>
    <n v="69"/>
    <n v="18"/>
    <n v="31"/>
    <n v="25"/>
    <n v="6"/>
    <n v="25"/>
    <n v="25"/>
    <n v="0"/>
    <n v="0"/>
    <n v="83.584000000000003"/>
    <n v="29304.01"/>
    <n v="26164.29"/>
    <n v="10465.719999999999"/>
    <n v="21978.01"/>
    <n v="16745.150000000001"/>
    <n v="18500"/>
    <n v="8750"/>
    <n v="8119"/>
    <n v="17923"/>
    <n v="64151"/>
    <n v="49709"/>
    <n v="39758"/>
    <n v="24250"/>
    <n v="195000"/>
    <n v="2274"/>
  </r>
  <r>
    <d v="2024-10-09T00:00:00"/>
    <x v="9"/>
    <n v="10"/>
    <n v="1127"/>
    <n v="614"/>
    <n v="552"/>
    <n v="294"/>
    <n v="281"/>
    <n v="184"/>
    <n v="302"/>
    <n v="128"/>
    <n v="300"/>
    <n v="76"/>
    <n v="62"/>
    <n v="69"/>
    <n v="27"/>
    <n v="209"/>
    <n v="145"/>
    <n v="47"/>
    <n v="21"/>
    <n v="171"/>
    <n v="85"/>
    <n v="0"/>
    <n v="42"/>
    <n v="0"/>
    <n v="28"/>
    <n v="49"/>
    <n v="6"/>
    <n v="18"/>
    <n v="30"/>
    <n v="0"/>
    <n v="0"/>
    <n v="6"/>
    <n v="6"/>
    <n v="6"/>
    <n v="0"/>
    <n v="55"/>
    <n v="24"/>
    <n v="18"/>
    <n v="18"/>
    <n v="6"/>
    <n v="6"/>
    <n v="18"/>
    <n v="61"/>
    <n v="12"/>
    <n v="36"/>
    <n v="12"/>
    <n v="0"/>
    <n v="36"/>
    <n v="12"/>
    <n v="24"/>
    <n v="0"/>
    <n v="85.176000000000002"/>
    <n v="30297.89"/>
    <n v="16716.080000000002"/>
    <n v="16716.080000000002"/>
    <n v="22984.61"/>
    <n v="17760.830000000002"/>
    <n v="18500"/>
    <n v="8750"/>
    <n v="8119"/>
    <n v="17923"/>
    <n v="64151"/>
    <n v="49709"/>
    <n v="39758"/>
    <n v="24250"/>
    <n v="195000"/>
    <n v="668"/>
  </r>
  <r>
    <d v="2024-10-10T00:00:00"/>
    <x v="9"/>
    <n v="10"/>
    <n v="1141"/>
    <n v="599"/>
    <n v="456"/>
    <n v="571"/>
    <n v="114"/>
    <n v="215"/>
    <n v="295"/>
    <n v="89"/>
    <n v="367"/>
    <n v="63"/>
    <n v="49"/>
    <n v="49"/>
    <n v="42"/>
    <n v="216"/>
    <n v="39"/>
    <n v="65"/>
    <n v="39"/>
    <n v="212"/>
    <n v="23"/>
    <n v="17"/>
    <n v="29"/>
    <n v="11"/>
    <n v="77"/>
    <n v="53"/>
    <n v="0"/>
    <n v="0"/>
    <n v="11"/>
    <n v="5"/>
    <n v="5"/>
    <n v="29"/>
    <n v="0"/>
    <n v="17"/>
    <n v="0"/>
    <n v="47"/>
    <n v="41"/>
    <n v="5"/>
    <n v="5"/>
    <n v="0"/>
    <n v="23"/>
    <n v="17"/>
    <n v="53"/>
    <n v="11"/>
    <n v="35"/>
    <n v="5"/>
    <n v="5"/>
    <n v="5"/>
    <n v="11"/>
    <n v="0"/>
    <n v="59"/>
    <n v="89.143999999999991"/>
    <n v="31941.72"/>
    <n v="18100.310000000001"/>
    <n v="10647.24"/>
    <n v="21294.48"/>
    <n v="24488.65"/>
    <n v="18500"/>
    <n v="8750"/>
    <n v="8119"/>
    <n v="17923"/>
    <n v="64151"/>
    <n v="49709"/>
    <n v="39758"/>
    <n v="24250"/>
    <n v="195000"/>
    <n v="7570"/>
  </r>
  <r>
    <d v="2024-10-11T00:00:00"/>
    <x v="9"/>
    <n v="10"/>
    <n v="1141"/>
    <n v="591"/>
    <n v="319"/>
    <n v="571"/>
    <n v="251"/>
    <n v="248"/>
    <n v="196"/>
    <n v="147"/>
    <n v="304"/>
    <n v="176"/>
    <n v="49"/>
    <n v="42"/>
    <n v="42"/>
    <n v="190"/>
    <n v="47"/>
    <n v="47"/>
    <n v="56"/>
    <n v="188"/>
    <n v="82"/>
    <n v="17"/>
    <n v="17"/>
    <n v="0"/>
    <n v="11"/>
    <n v="47"/>
    <n v="17"/>
    <n v="11"/>
    <n v="35"/>
    <n v="17"/>
    <n v="5"/>
    <n v="17"/>
    <n v="17"/>
    <n v="5"/>
    <n v="0"/>
    <n v="53"/>
    <n v="35"/>
    <n v="29"/>
    <n v="11"/>
    <n v="0"/>
    <n v="23"/>
    <n v="17"/>
    <n v="41"/>
    <n v="5"/>
    <n v="17"/>
    <n v="5"/>
    <n v="5"/>
    <n v="35"/>
    <n v="17"/>
    <n v="0"/>
    <n v="0"/>
    <n v="92.288000000000011"/>
    <n v="38997.120000000003"/>
    <n v="27855.09"/>
    <n v="17827.259999999998"/>
    <n v="15598.85"/>
    <n v="11142.03"/>
    <n v="18500"/>
    <n v="8750"/>
    <n v="8119"/>
    <n v="17923"/>
    <n v="64151"/>
    <n v="49709"/>
    <n v="39758"/>
    <n v="24250"/>
    <n v="195000"/>
    <n v="5265"/>
  </r>
  <r>
    <d v="2024-10-12T00:00:00"/>
    <x v="9"/>
    <n v="10"/>
    <n v="1136"/>
    <n v="587"/>
    <n v="499"/>
    <n v="535"/>
    <n v="102"/>
    <n v="228"/>
    <n v="271"/>
    <n v="88"/>
    <n v="260"/>
    <n v="147"/>
    <n v="91"/>
    <n v="70"/>
    <n v="49"/>
    <n v="220"/>
    <n v="116"/>
    <n v="43"/>
    <n v="51"/>
    <n v="89"/>
    <n v="58"/>
    <n v="5"/>
    <n v="17"/>
    <n v="17"/>
    <n v="46"/>
    <n v="29"/>
    <n v="0"/>
    <n v="17"/>
    <n v="17"/>
    <n v="17"/>
    <n v="5"/>
    <n v="5"/>
    <n v="5"/>
    <n v="11"/>
    <n v="11"/>
    <n v="23"/>
    <n v="41"/>
    <n v="29"/>
    <n v="17"/>
    <n v="5"/>
    <n v="5"/>
    <n v="5"/>
    <n v="41"/>
    <n v="5"/>
    <n v="46"/>
    <n v="5"/>
    <n v="5"/>
    <n v="29"/>
    <n v="17"/>
    <n v="23"/>
    <n v="31"/>
    <n v="93.216000000000008"/>
    <n v="31146.16"/>
    <n v="19610.54"/>
    <n v="26531.91"/>
    <n v="10382.049999999999"/>
    <n v="27685.47"/>
    <n v="18500"/>
    <n v="8750"/>
    <n v="8119"/>
    <n v="17923"/>
    <n v="64151"/>
    <n v="49709"/>
    <n v="39758"/>
    <n v="24250"/>
    <n v="195000"/>
    <n v="7245"/>
  </r>
  <r>
    <d v="2024-10-13T00:00:00"/>
    <x v="9"/>
    <n v="10"/>
    <n v="1121"/>
    <n v="588"/>
    <n v="358"/>
    <n v="629"/>
    <n v="134"/>
    <n v="235"/>
    <n v="254"/>
    <n v="99"/>
    <n v="347"/>
    <n v="236"/>
    <n v="48"/>
    <n v="97"/>
    <n v="34"/>
    <n v="178"/>
    <n v="76"/>
    <n v="63"/>
    <n v="42"/>
    <n v="0"/>
    <n v="82"/>
    <n v="5"/>
    <n v="17"/>
    <n v="17"/>
    <n v="78"/>
    <n v="47"/>
    <n v="5"/>
    <n v="0"/>
    <n v="17"/>
    <n v="5"/>
    <n v="5"/>
    <n v="23"/>
    <n v="0"/>
    <n v="0"/>
    <n v="0"/>
    <n v="35"/>
    <n v="29"/>
    <n v="29"/>
    <n v="0"/>
    <n v="5"/>
    <n v="17"/>
    <n v="17"/>
    <n v="47"/>
    <n v="11"/>
    <n v="17"/>
    <n v="5"/>
    <n v="0"/>
    <n v="41"/>
    <n v="23"/>
    <n v="11"/>
    <n v="0"/>
    <n v="92.592000000000013"/>
    <n v="40775.06"/>
    <n v="22135.03"/>
    <n v="12815.02"/>
    <n v="15145.02"/>
    <n v="25630.04"/>
    <n v="18500"/>
    <n v="8750"/>
    <n v="8119"/>
    <n v="17923"/>
    <n v="64151"/>
    <n v="49709"/>
    <n v="39758"/>
    <n v="24250"/>
    <n v="195000"/>
    <n v="1492"/>
  </r>
  <r>
    <d v="2024-10-14T00:00:00"/>
    <x v="9"/>
    <n v="10"/>
    <n v="1096"/>
    <n v="601"/>
    <n v="394"/>
    <n v="516"/>
    <n v="186"/>
    <n v="132"/>
    <n v="391"/>
    <n v="78"/>
    <n v="251"/>
    <n v="54"/>
    <n v="47"/>
    <n v="95"/>
    <n v="40"/>
    <n v="174"/>
    <n v="137"/>
    <n v="37"/>
    <n v="24"/>
    <n v="237"/>
    <n v="84"/>
    <n v="6"/>
    <n v="36"/>
    <n v="18"/>
    <n v="42"/>
    <n v="48"/>
    <n v="18"/>
    <n v="18"/>
    <n v="30"/>
    <n v="18"/>
    <n v="0"/>
    <n v="24"/>
    <n v="12"/>
    <n v="0"/>
    <n v="12"/>
    <n v="24"/>
    <n v="12"/>
    <n v="12"/>
    <n v="0"/>
    <n v="6"/>
    <n v="24"/>
    <n v="24"/>
    <n v="0"/>
    <n v="12"/>
    <n v="37"/>
    <n v="30"/>
    <n v="6"/>
    <n v="24"/>
    <n v="18"/>
    <n v="6"/>
    <n v="0"/>
    <n v="90.296000000000006"/>
    <n v="30090.77"/>
    <n v="15045.38"/>
    <n v="28933.43"/>
    <n v="13888.05"/>
    <n v="27776.09"/>
    <n v="18500"/>
    <n v="8750"/>
    <n v="8119"/>
    <n v="17923"/>
    <n v="64151"/>
    <n v="49709"/>
    <n v="39758"/>
    <n v="24250"/>
    <n v="195000"/>
    <n v="7318"/>
  </r>
  <r>
    <d v="2024-10-15T00:00:00"/>
    <x v="9"/>
    <n v="10"/>
    <n v="1067"/>
    <n v="628"/>
    <n v="256"/>
    <n v="726"/>
    <n v="85"/>
    <n v="263"/>
    <n v="221"/>
    <n v="144"/>
    <n v="291"/>
    <n v="165"/>
    <n v="92"/>
    <n v="72"/>
    <n v="52"/>
    <n v="141"/>
    <n v="125"/>
    <n v="44"/>
    <n v="60"/>
    <n v="25"/>
    <n v="37"/>
    <n v="12"/>
    <n v="31"/>
    <n v="6"/>
    <n v="3"/>
    <n v="50"/>
    <n v="12"/>
    <n v="6"/>
    <n v="25"/>
    <n v="18"/>
    <n v="6"/>
    <n v="18"/>
    <n v="18"/>
    <n v="18"/>
    <n v="0"/>
    <n v="37"/>
    <n v="43"/>
    <n v="25"/>
    <n v="6"/>
    <n v="6"/>
    <n v="6"/>
    <n v="18"/>
    <n v="56"/>
    <n v="12"/>
    <n v="56"/>
    <n v="18"/>
    <n v="6"/>
    <n v="43"/>
    <n v="18"/>
    <n v="18"/>
    <n v="0"/>
    <n v="86.376000000000005"/>
    <n v="28217.26"/>
    <n v="24831.19"/>
    <n v="24831.19"/>
    <n v="20316.419999999998"/>
    <n v="14672.97"/>
    <n v="15000"/>
    <n v="8750"/>
    <n v="8119"/>
    <n v="12923"/>
    <n v="64151"/>
    <n v="49709"/>
    <n v="39758"/>
    <n v="24250"/>
    <n v="195000"/>
    <n v="3099"/>
  </r>
  <r>
    <d v="2024-10-16T00:00:00"/>
    <x v="9"/>
    <n v="10"/>
    <n v="1052"/>
    <n v="659"/>
    <n v="336"/>
    <n v="622"/>
    <n v="94"/>
    <n v="336"/>
    <n v="284"/>
    <n v="39"/>
    <n v="332"/>
    <n v="189"/>
    <n v="71"/>
    <n v="32"/>
    <n v="19"/>
    <n v="171"/>
    <n v="47"/>
    <n v="31"/>
    <n v="23"/>
    <n v="137"/>
    <n v="32"/>
    <n v="6"/>
    <n v="19"/>
    <n v="0"/>
    <n v="33"/>
    <n v="46"/>
    <n v="19"/>
    <n v="0"/>
    <n v="13"/>
    <n v="6"/>
    <n v="6"/>
    <n v="32"/>
    <n v="0"/>
    <n v="19"/>
    <n v="19"/>
    <n v="59"/>
    <n v="39"/>
    <n v="13"/>
    <n v="13"/>
    <n v="0"/>
    <n v="26"/>
    <n v="26"/>
    <n v="65"/>
    <n v="6"/>
    <n v="59"/>
    <n v="26"/>
    <n v="6"/>
    <n v="39"/>
    <n v="19"/>
    <n v="13"/>
    <n v="0"/>
    <n v="83.72"/>
    <n v="32389.73"/>
    <n v="15115.21"/>
    <n v="24832.13"/>
    <n v="15115.21"/>
    <n v="20513.5"/>
    <n v="15000"/>
    <n v="8750"/>
    <n v="8119"/>
    <n v="12923"/>
    <n v="64151"/>
    <n v="49709"/>
    <n v="39758"/>
    <n v="24250"/>
    <n v="195000"/>
    <n v="5613"/>
  </r>
  <r>
    <d v="2024-10-17T00:00:00"/>
    <x v="9"/>
    <n v="10"/>
    <n v="1042"/>
    <n v="692"/>
    <n v="510"/>
    <n v="303"/>
    <n v="229"/>
    <n v="242"/>
    <n v="409"/>
    <n v="41"/>
    <n v="277"/>
    <n v="83"/>
    <n v="58"/>
    <n v="77"/>
    <n v="51"/>
    <n v="182"/>
    <n v="102"/>
    <n v="51"/>
    <n v="51"/>
    <n v="110"/>
    <n v="76"/>
    <n v="0"/>
    <n v="41"/>
    <n v="0"/>
    <n v="41"/>
    <n v="62"/>
    <n v="13"/>
    <n v="20"/>
    <n v="27"/>
    <n v="6"/>
    <n v="6"/>
    <n v="20"/>
    <n v="6"/>
    <n v="0"/>
    <n v="20"/>
    <n v="34"/>
    <n v="20"/>
    <n v="6"/>
    <n v="13"/>
    <n v="0"/>
    <n v="20"/>
    <n v="20"/>
    <n v="76"/>
    <n v="6"/>
    <n v="62"/>
    <n v="6"/>
    <n v="0"/>
    <n v="13"/>
    <n v="20"/>
    <n v="20"/>
    <n v="38"/>
    <n v="83.28"/>
    <n v="35579.839999999997"/>
    <n v="17789.919999999998"/>
    <n v="16743.45"/>
    <n v="18836.39"/>
    <n v="15696.99"/>
    <n v="15000"/>
    <n v="8750"/>
    <n v="6132"/>
    <n v="12923"/>
    <n v="64151"/>
    <n v="49709"/>
    <n v="39758"/>
    <n v="24250"/>
    <n v="195000"/>
    <n v="2959"/>
  </r>
  <r>
    <d v="2024-10-18T00:00:00"/>
    <x v="9"/>
    <n v="10"/>
    <n v="1038"/>
    <n v="712"/>
    <n v="487"/>
    <n v="479"/>
    <n v="72"/>
    <n v="377"/>
    <n v="179"/>
    <n v="156"/>
    <n v="283"/>
    <n v="109"/>
    <n v="64"/>
    <n v="77"/>
    <n v="51"/>
    <n v="149"/>
    <n v="35"/>
    <n v="51"/>
    <n v="27"/>
    <n v="192"/>
    <n v="99"/>
    <n v="0"/>
    <n v="21"/>
    <n v="21"/>
    <n v="8"/>
    <n v="42"/>
    <n v="7"/>
    <n v="7"/>
    <n v="28"/>
    <n v="14"/>
    <n v="0"/>
    <n v="7"/>
    <n v="21"/>
    <n v="14"/>
    <n v="7"/>
    <n v="71"/>
    <n v="35"/>
    <n v="35"/>
    <n v="7"/>
    <n v="7"/>
    <n v="28"/>
    <n v="7"/>
    <n v="64"/>
    <n v="7"/>
    <n v="64"/>
    <n v="35"/>
    <n v="0"/>
    <n v="35"/>
    <n v="14"/>
    <n v="7"/>
    <n v="0"/>
    <n v="84.304000000000002"/>
    <n v="32271.63"/>
    <n v="17697.34"/>
    <n v="24984.49"/>
    <n v="11451.22"/>
    <n v="17697.34"/>
    <n v="15000"/>
    <n v="8750"/>
    <n v="6132"/>
    <n v="12923"/>
    <n v="64151"/>
    <n v="49709"/>
    <n v="39758"/>
    <n v="24250"/>
    <n v="195000"/>
    <n v="7812"/>
  </r>
  <r>
    <d v="2024-10-19T00:00:00"/>
    <x v="9"/>
    <n v="10"/>
    <n v="1050"/>
    <n v="722"/>
    <n v="462"/>
    <n v="462"/>
    <n v="126"/>
    <n v="216"/>
    <n v="377"/>
    <n v="129"/>
    <n v="266"/>
    <n v="195"/>
    <n v="97"/>
    <n v="91"/>
    <n v="45"/>
    <n v="135"/>
    <n v="107"/>
    <n v="27"/>
    <n v="31"/>
    <n v="56"/>
    <n v="28"/>
    <n v="0"/>
    <n v="36"/>
    <n v="21"/>
    <n v="101"/>
    <n v="36"/>
    <n v="14"/>
    <n v="14"/>
    <n v="14"/>
    <n v="14"/>
    <n v="0"/>
    <n v="14"/>
    <n v="7"/>
    <n v="21"/>
    <n v="21"/>
    <n v="43"/>
    <n v="14"/>
    <n v="7"/>
    <n v="0"/>
    <n v="7"/>
    <n v="28"/>
    <n v="7"/>
    <n v="79"/>
    <n v="21"/>
    <n v="50"/>
    <n v="28"/>
    <n v="0"/>
    <n v="14"/>
    <n v="7"/>
    <n v="21"/>
    <n v="55"/>
    <n v="87.936000000000007"/>
    <n v="28449.73"/>
    <n v="15805.4"/>
    <n v="25288.65"/>
    <n v="15805.4"/>
    <n v="20020.18"/>
    <n v="15000"/>
    <n v="8750"/>
    <n v="6132"/>
    <n v="12923"/>
    <n v="64151"/>
    <n v="49709"/>
    <n v="39758"/>
    <n v="24250"/>
    <n v="195000"/>
    <n v="6170"/>
  </r>
  <r>
    <d v="2024-10-20T00:00:00"/>
    <x v="9"/>
    <n v="10"/>
    <n v="1074"/>
    <n v="721"/>
    <n v="386"/>
    <n v="538"/>
    <n v="150"/>
    <n v="273"/>
    <n v="275"/>
    <n v="173"/>
    <n v="246"/>
    <n v="39"/>
    <n v="93"/>
    <n v="46"/>
    <n v="46"/>
    <n v="163"/>
    <n v="114"/>
    <n v="48"/>
    <n v="53"/>
    <n v="226"/>
    <n v="64"/>
    <n v="7"/>
    <n v="43"/>
    <n v="21"/>
    <n v="86"/>
    <n v="57"/>
    <n v="0"/>
    <n v="7"/>
    <n v="36"/>
    <n v="21"/>
    <n v="7"/>
    <n v="21"/>
    <n v="7"/>
    <n v="0"/>
    <n v="7"/>
    <n v="50"/>
    <n v="50"/>
    <n v="21"/>
    <n v="21"/>
    <n v="7"/>
    <n v="0"/>
    <n v="7"/>
    <n v="72"/>
    <n v="7"/>
    <n v="21"/>
    <n v="21"/>
    <n v="7"/>
    <n v="21"/>
    <n v="0"/>
    <n v="7"/>
    <n v="25"/>
    <n v="89.575999999999993"/>
    <n v="34076.1"/>
    <n v="27480.73"/>
    <n v="10992.29"/>
    <n v="8793.83"/>
    <n v="28579.96"/>
    <n v="15000"/>
    <n v="8750"/>
    <n v="6132"/>
    <n v="12923"/>
    <n v="64151"/>
    <n v="49709"/>
    <n v="39758"/>
    <n v="24250"/>
    <n v="195000"/>
    <n v="2896"/>
  </r>
  <r>
    <d v="2024-10-21T00:00:00"/>
    <x v="9"/>
    <n v="10"/>
    <n v="1090"/>
    <n v="710"/>
    <n v="468"/>
    <n v="481"/>
    <n v="141"/>
    <n v="177"/>
    <n v="391"/>
    <n v="142"/>
    <n v="270"/>
    <n v="74"/>
    <n v="87"/>
    <n v="54"/>
    <n v="27"/>
    <n v="140"/>
    <n v="144"/>
    <n v="33"/>
    <n v="49"/>
    <n v="212"/>
    <n v="56"/>
    <n v="21"/>
    <n v="42"/>
    <n v="14"/>
    <n v="71"/>
    <n v="63"/>
    <n v="7"/>
    <n v="0"/>
    <n v="21"/>
    <n v="14"/>
    <n v="0"/>
    <n v="21"/>
    <n v="21"/>
    <n v="7"/>
    <n v="0"/>
    <n v="42"/>
    <n v="28"/>
    <n v="28"/>
    <n v="14"/>
    <n v="7"/>
    <n v="21"/>
    <n v="21"/>
    <n v="49"/>
    <n v="7"/>
    <n v="42"/>
    <n v="28"/>
    <n v="0"/>
    <n v="14"/>
    <n v="14"/>
    <n v="21"/>
    <n v="16"/>
    <n v="89.415999999999997"/>
    <n v="39189.1"/>
    <n v="14555.95"/>
    <n v="27992.21"/>
    <n v="26872.53"/>
    <n v="3359.07"/>
    <n v="15000"/>
    <n v="8750"/>
    <n v="6132"/>
    <n v="12923"/>
    <n v="64151"/>
    <n v="49709"/>
    <n v="39758"/>
    <n v="24250"/>
    <n v="195000"/>
    <n v="4126"/>
  </r>
  <r>
    <d v="2024-10-22T00:00:00"/>
    <x v="9"/>
    <n v="10"/>
    <n v="1092"/>
    <n v="682"/>
    <n v="480"/>
    <n v="350"/>
    <n v="262"/>
    <n v="306"/>
    <n v="233"/>
    <n v="143"/>
    <n v="291"/>
    <n v="176"/>
    <n v="88"/>
    <n v="81"/>
    <n v="47"/>
    <n v="203"/>
    <n v="41"/>
    <n v="49"/>
    <n v="62"/>
    <n v="54"/>
    <n v="95"/>
    <n v="20"/>
    <n v="47"/>
    <n v="0"/>
    <n v="68"/>
    <n v="54"/>
    <n v="0"/>
    <n v="20"/>
    <n v="27"/>
    <n v="0"/>
    <n v="0"/>
    <n v="34"/>
    <n v="13"/>
    <n v="6"/>
    <n v="0"/>
    <n v="47"/>
    <n v="27"/>
    <n v="6"/>
    <n v="13"/>
    <n v="6"/>
    <n v="27"/>
    <n v="13"/>
    <n v="0"/>
    <n v="20"/>
    <n v="51"/>
    <n v="27"/>
    <n v="0"/>
    <n v="40"/>
    <n v="13"/>
    <n v="6"/>
    <n v="2"/>
    <n v="86.88"/>
    <n v="33534.339999999997"/>
    <n v="22356.23"/>
    <n v="13413.74"/>
    <n v="24591.85"/>
    <n v="17884.98"/>
    <n v="15000"/>
    <n v="8750"/>
    <n v="6132"/>
    <n v="10728"/>
    <n v="64151"/>
    <n v="49709"/>
    <n v="39758"/>
    <n v="24250"/>
    <n v="195000"/>
    <n v="7771"/>
  </r>
  <r>
    <d v="2024-10-23T00:00:00"/>
    <x v="9"/>
    <n v="10"/>
    <n v="1084"/>
    <n v="650"/>
    <n v="346"/>
    <n v="522"/>
    <n v="216"/>
    <n v="234"/>
    <n v="299"/>
    <n v="117"/>
    <n v="289"/>
    <n v="228"/>
    <n v="73"/>
    <n v="53"/>
    <n v="47"/>
    <n v="210"/>
    <n v="115"/>
    <n v="41"/>
    <n v="28"/>
    <n v="0"/>
    <n v="39"/>
    <n v="13"/>
    <n v="19"/>
    <n v="6"/>
    <n v="78"/>
    <n v="52"/>
    <n v="6"/>
    <n v="19"/>
    <n v="13"/>
    <n v="13"/>
    <n v="6"/>
    <n v="26"/>
    <n v="19"/>
    <n v="13"/>
    <n v="13"/>
    <n v="26"/>
    <n v="19"/>
    <n v="32"/>
    <n v="13"/>
    <n v="0"/>
    <n v="26"/>
    <n v="26"/>
    <n v="65"/>
    <n v="6"/>
    <n v="26"/>
    <n v="19"/>
    <n v="6"/>
    <n v="6"/>
    <n v="19"/>
    <n v="26"/>
    <n v="0"/>
    <n v="83.031999999999996"/>
    <n v="32577.83"/>
    <n v="21718.55"/>
    <n v="22804.48"/>
    <n v="19546.7"/>
    <n v="11945.2"/>
    <n v="15000"/>
    <n v="8750"/>
    <n v="6132"/>
    <n v="10728"/>
    <n v="64151"/>
    <n v="49709"/>
    <n v="39758"/>
    <n v="24250"/>
    <n v="195000"/>
    <n v="2973"/>
  </r>
  <r>
    <d v="2024-10-24T00:00:00"/>
    <x v="9"/>
    <n v="10"/>
    <n v="1067"/>
    <n v="615"/>
    <n v="213"/>
    <n v="790"/>
    <n v="64"/>
    <n v="184"/>
    <n v="315"/>
    <n v="116"/>
    <n v="277"/>
    <n v="66"/>
    <n v="72"/>
    <n v="59"/>
    <n v="19"/>
    <n v="141"/>
    <n v="141"/>
    <n v="60"/>
    <n v="56"/>
    <n v="176"/>
    <n v="86"/>
    <n v="0"/>
    <n v="18"/>
    <n v="18"/>
    <n v="49"/>
    <n v="36"/>
    <n v="0"/>
    <n v="6"/>
    <n v="30"/>
    <n v="12"/>
    <n v="6"/>
    <n v="18"/>
    <n v="0"/>
    <n v="6"/>
    <n v="0"/>
    <n v="36"/>
    <n v="36"/>
    <n v="12"/>
    <n v="12"/>
    <n v="6"/>
    <n v="18"/>
    <n v="24"/>
    <n v="43"/>
    <n v="6"/>
    <n v="24"/>
    <n v="6"/>
    <n v="0"/>
    <n v="36"/>
    <n v="12"/>
    <n v="18"/>
    <n v="41"/>
    <n v="79.848000000000013"/>
    <n v="29060.35"/>
    <n v="18681.650000000001"/>
    <n v="19719.52"/>
    <n v="24908.87"/>
    <n v="11416.56"/>
    <n v="15000"/>
    <n v="8750"/>
    <n v="6132"/>
    <n v="10728"/>
    <n v="64151"/>
    <n v="49709"/>
    <n v="39758"/>
    <n v="24250"/>
    <n v="195000"/>
    <n v="8385"/>
  </r>
  <r>
    <d v="2024-10-25T00:00:00"/>
    <x v="9"/>
    <n v="10"/>
    <n v="1043"/>
    <n v="588"/>
    <n v="479"/>
    <n v="491"/>
    <n v="73"/>
    <n v="123"/>
    <n v="430"/>
    <n v="35"/>
    <n v="202"/>
    <n v="226"/>
    <n v="96"/>
    <n v="71"/>
    <n v="38"/>
    <n v="186"/>
    <n v="110"/>
    <n v="55"/>
    <n v="59"/>
    <n v="0"/>
    <n v="70"/>
    <n v="5"/>
    <n v="23"/>
    <n v="0"/>
    <n v="64"/>
    <n v="47"/>
    <n v="0"/>
    <n v="0"/>
    <n v="29"/>
    <n v="5"/>
    <n v="0"/>
    <n v="11"/>
    <n v="11"/>
    <n v="17"/>
    <n v="5"/>
    <n v="52"/>
    <n v="17"/>
    <n v="29"/>
    <n v="17"/>
    <n v="0"/>
    <n v="23"/>
    <n v="23"/>
    <n v="0"/>
    <n v="17"/>
    <n v="26"/>
    <n v="23"/>
    <n v="5"/>
    <n v="35"/>
    <n v="11"/>
    <n v="23"/>
    <n v="0"/>
    <n v="79.28"/>
    <n v="29943.75"/>
    <n v="15970"/>
    <n v="24953.13"/>
    <n v="11977.5"/>
    <n v="16968.13"/>
    <n v="15000"/>
    <n v="8750"/>
    <n v="6132"/>
    <n v="10728"/>
    <n v="64151"/>
    <n v="49709"/>
    <n v="39758"/>
    <n v="24250"/>
    <n v="195000"/>
    <n v="7997"/>
  </r>
  <r>
    <d v="2024-10-26T00:00:00"/>
    <x v="9"/>
    <n v="10"/>
    <n v="1018"/>
    <n v="580"/>
    <n v="295"/>
    <n v="591"/>
    <n v="132"/>
    <n v="127"/>
    <n v="407"/>
    <n v="46"/>
    <n v="220"/>
    <n v="176"/>
    <n v="50"/>
    <n v="37"/>
    <n v="44"/>
    <n v="170"/>
    <n v="27"/>
    <n v="46"/>
    <n v="54"/>
    <n v="194"/>
    <n v="75"/>
    <n v="17"/>
    <n v="34"/>
    <n v="5"/>
    <n v="24"/>
    <n v="34"/>
    <n v="11"/>
    <n v="5"/>
    <n v="17"/>
    <n v="11"/>
    <n v="0"/>
    <n v="17"/>
    <n v="11"/>
    <n v="11"/>
    <n v="17"/>
    <n v="29"/>
    <n v="34"/>
    <n v="11"/>
    <n v="5"/>
    <n v="0"/>
    <n v="17"/>
    <n v="23"/>
    <n v="46"/>
    <n v="11"/>
    <n v="29"/>
    <n v="17"/>
    <n v="0"/>
    <n v="29"/>
    <n v="23"/>
    <n v="17"/>
    <n v="0"/>
    <n v="79.575999999999993"/>
    <n v="29731.200000000001"/>
    <n v="20811.84"/>
    <n v="12883.52"/>
    <n v="17838.72"/>
    <n v="17838.72"/>
    <n v="15000"/>
    <n v="8750"/>
    <n v="6132"/>
    <n v="10728"/>
    <n v="64151"/>
    <n v="49709"/>
    <n v="39758"/>
    <n v="24250"/>
    <n v="195000"/>
    <n v="147"/>
  </r>
  <r>
    <d v="2024-10-27T00:00:00"/>
    <x v="9"/>
    <n v="10"/>
    <n v="998"/>
    <n v="576"/>
    <n v="209"/>
    <n v="550"/>
    <n v="239"/>
    <n v="207"/>
    <n v="260"/>
    <n v="109"/>
    <n v="216"/>
    <n v="204"/>
    <n v="80"/>
    <n v="74"/>
    <n v="24"/>
    <n v="128"/>
    <n v="132"/>
    <n v="41"/>
    <n v="45"/>
    <n v="54"/>
    <n v="28"/>
    <n v="17"/>
    <n v="40"/>
    <n v="17"/>
    <n v="45"/>
    <n v="40"/>
    <n v="0"/>
    <n v="0"/>
    <n v="11"/>
    <n v="11"/>
    <n v="5"/>
    <n v="23"/>
    <n v="0"/>
    <n v="11"/>
    <n v="0"/>
    <n v="57"/>
    <n v="5"/>
    <n v="11"/>
    <n v="11"/>
    <n v="5"/>
    <n v="23"/>
    <n v="23"/>
    <n v="63"/>
    <n v="11"/>
    <n v="40"/>
    <n v="11"/>
    <n v="0"/>
    <n v="40"/>
    <n v="11"/>
    <n v="17"/>
    <n v="0"/>
    <n v="82.4"/>
    <n v="33815.379999999997"/>
    <n v="12929.41"/>
    <n v="12929.41"/>
    <n v="20885.97"/>
    <n v="18896.830000000002"/>
    <n v="15000"/>
    <n v="8750"/>
    <n v="6132"/>
    <n v="10728"/>
    <n v="64151"/>
    <n v="49709"/>
    <n v="39758"/>
    <n v="24250"/>
    <n v="195000"/>
    <n v="2983"/>
  </r>
  <r>
    <d v="2024-10-28T00:00:00"/>
    <x v="9"/>
    <n v="10"/>
    <n v="991"/>
    <n v="579"/>
    <n v="465"/>
    <n v="398"/>
    <n v="128"/>
    <n v="173"/>
    <n v="331"/>
    <n v="75"/>
    <n v="307"/>
    <n v="86"/>
    <n v="86"/>
    <n v="49"/>
    <n v="61"/>
    <n v="195"/>
    <n v="33"/>
    <n v="26"/>
    <n v="18"/>
    <n v="130"/>
    <n v="75"/>
    <n v="0"/>
    <n v="23"/>
    <n v="0"/>
    <n v="31"/>
    <n v="40"/>
    <n v="17"/>
    <n v="11"/>
    <n v="28"/>
    <n v="11"/>
    <n v="5"/>
    <n v="17"/>
    <n v="11"/>
    <n v="11"/>
    <n v="17"/>
    <n v="57"/>
    <n v="34"/>
    <n v="17"/>
    <n v="11"/>
    <n v="0"/>
    <n v="0"/>
    <n v="5"/>
    <n v="52"/>
    <n v="11"/>
    <n v="34"/>
    <n v="11"/>
    <n v="0"/>
    <n v="34"/>
    <n v="11"/>
    <n v="5"/>
    <n v="0"/>
    <n v="85.99199999999999"/>
    <n v="35017.699999999997"/>
    <n v="21628.58"/>
    <n v="11329.26"/>
    <n v="19568.72"/>
    <n v="15448.99"/>
    <n v="15000"/>
    <n v="8750"/>
    <n v="6132"/>
    <n v="10728"/>
    <n v="64151"/>
    <n v="49709"/>
    <n v="39758"/>
    <n v="24250"/>
    <n v="195000"/>
    <n v="865"/>
  </r>
  <r>
    <d v="2024-10-29T00:00:00"/>
    <x v="9"/>
    <n v="10"/>
    <n v="991"/>
    <n v="586"/>
    <n v="277"/>
    <n v="526"/>
    <n v="188"/>
    <n v="169"/>
    <n v="306"/>
    <n v="111"/>
    <n v="313"/>
    <n v="122"/>
    <n v="61"/>
    <n v="61"/>
    <n v="49"/>
    <n v="158"/>
    <n v="124"/>
    <n v="52"/>
    <n v="33"/>
    <n v="18"/>
    <n v="76"/>
    <n v="5"/>
    <n v="17"/>
    <n v="0"/>
    <n v="58"/>
    <n v="41"/>
    <n v="11"/>
    <n v="5"/>
    <n v="23"/>
    <n v="5"/>
    <n v="0"/>
    <n v="23"/>
    <n v="11"/>
    <n v="5"/>
    <n v="17"/>
    <n v="58"/>
    <n v="17"/>
    <n v="5"/>
    <n v="5"/>
    <n v="0"/>
    <n v="17"/>
    <n v="17"/>
    <n v="46"/>
    <n v="17"/>
    <n v="17"/>
    <n v="23"/>
    <n v="5"/>
    <n v="5"/>
    <n v="0"/>
    <n v="17"/>
    <n v="40"/>
    <n v="88.056000000000012"/>
    <n v="30097.41"/>
    <n v="24722.880000000001"/>
    <n v="12898.89"/>
    <n v="21498.15"/>
    <n v="18273.43"/>
    <n v="15000"/>
    <n v="8750"/>
    <n v="6132"/>
    <n v="10728"/>
    <n v="64151"/>
    <n v="49709"/>
    <n v="39758"/>
    <n v="24250"/>
    <n v="195000"/>
    <n v="8348"/>
  </r>
  <r>
    <d v="2024-10-30T00:00:00"/>
    <x v="9"/>
    <n v="10"/>
    <n v="993"/>
    <n v="597"/>
    <n v="327"/>
    <n v="478"/>
    <n v="188"/>
    <n v="286"/>
    <n v="186"/>
    <n v="125"/>
    <n v="295"/>
    <n v="197"/>
    <n v="73"/>
    <n v="80"/>
    <n v="12"/>
    <n v="154"/>
    <n v="67"/>
    <n v="56"/>
    <n v="30"/>
    <n v="29"/>
    <n v="23"/>
    <n v="17"/>
    <n v="29"/>
    <n v="11"/>
    <n v="35"/>
    <n v="53"/>
    <n v="0"/>
    <n v="17"/>
    <n v="29"/>
    <n v="5"/>
    <n v="5"/>
    <n v="11"/>
    <n v="0"/>
    <n v="0"/>
    <n v="5"/>
    <n v="59"/>
    <n v="35"/>
    <n v="23"/>
    <n v="17"/>
    <n v="5"/>
    <n v="5"/>
    <n v="23"/>
    <n v="65"/>
    <n v="17"/>
    <n v="29"/>
    <n v="5"/>
    <n v="0"/>
    <n v="29"/>
    <n v="0"/>
    <n v="17"/>
    <n v="28"/>
    <n v="88"/>
    <n v="27515.8"/>
    <n v="16509.48"/>
    <n v="15408.85"/>
    <n v="27515.8"/>
    <n v="23113.27"/>
    <n v="15000"/>
    <n v="8750"/>
    <n v="6132"/>
    <n v="10728"/>
    <n v="64151"/>
    <n v="49709"/>
    <n v="39758"/>
    <n v="24250"/>
    <n v="195000"/>
    <n v="2622"/>
  </r>
  <r>
    <d v="2024-10-31T00:00:00"/>
    <x v="9"/>
    <n v="10"/>
    <n v="1004"/>
    <n v="614"/>
    <n v="502"/>
    <n v="292"/>
    <n v="210"/>
    <n v="239"/>
    <n v="296"/>
    <n v="79"/>
    <n v="248"/>
    <n v="37"/>
    <n v="68"/>
    <n v="31"/>
    <n v="24"/>
    <n v="186"/>
    <n v="125"/>
    <n v="34"/>
    <n v="49"/>
    <n v="202"/>
    <n v="67"/>
    <n v="0"/>
    <n v="30"/>
    <n v="18"/>
    <n v="41"/>
    <n v="42"/>
    <n v="0"/>
    <n v="12"/>
    <n v="24"/>
    <n v="18"/>
    <n v="6"/>
    <n v="30"/>
    <n v="0"/>
    <n v="12"/>
    <n v="18"/>
    <n v="42"/>
    <n v="42"/>
    <n v="24"/>
    <n v="18"/>
    <n v="0"/>
    <n v="0"/>
    <n v="6"/>
    <n v="61"/>
    <n v="18"/>
    <n v="49"/>
    <n v="6"/>
    <n v="0"/>
    <n v="24"/>
    <n v="0"/>
    <n v="6"/>
    <n v="0"/>
    <n v="88"/>
    <n v="29700"/>
    <n v="16500"/>
    <n v="16500"/>
    <n v="16500"/>
    <n v="30800"/>
    <n v="15000"/>
    <n v="8750"/>
    <n v="6132"/>
    <n v="10728"/>
    <n v="64151"/>
    <n v="49709"/>
    <n v="39758"/>
    <n v="24250"/>
    <n v="195000"/>
    <n v="2525"/>
  </r>
  <r>
    <d v="2024-11-01T00:00:00"/>
    <x v="10"/>
    <n v="11"/>
    <n v="1026"/>
    <n v="733"/>
    <n v="328"/>
    <n v="555"/>
    <n v="143"/>
    <n v="381"/>
    <n v="169"/>
    <n v="183"/>
    <n v="229"/>
    <n v="82"/>
    <n v="57"/>
    <n v="44"/>
    <n v="38"/>
    <n v="155"/>
    <n v="35"/>
    <n v="38"/>
    <n v="42"/>
    <n v="306"/>
    <n v="51"/>
    <n v="0"/>
    <n v="43"/>
    <n v="21"/>
    <n v="80"/>
    <n v="65"/>
    <n v="0"/>
    <n v="7"/>
    <n v="43"/>
    <n v="0"/>
    <n v="0"/>
    <n v="14"/>
    <n v="21"/>
    <n v="14"/>
    <n v="0"/>
    <n v="36"/>
    <n v="51"/>
    <n v="21"/>
    <n v="7"/>
    <n v="7"/>
    <n v="7"/>
    <n v="21"/>
    <n v="80"/>
    <n v="21"/>
    <n v="29"/>
    <n v="7"/>
    <n v="7"/>
    <n v="21"/>
    <n v="7"/>
    <n v="21"/>
    <n v="31"/>
    <n v="112.94"/>
    <n v="29700"/>
    <n v="16500"/>
    <n v="16500"/>
    <n v="16500"/>
    <n v="30800"/>
    <n v="15000"/>
    <n v="7500"/>
    <n v="6132"/>
    <n v="10728"/>
    <n v="70082"/>
    <n v="53709"/>
    <n v="45010"/>
    <n v="28681"/>
    <n v="204000"/>
    <n v="8735"/>
  </r>
  <r>
    <d v="2024-11-02T00:00:00"/>
    <x v="10"/>
    <n v="11"/>
    <n v="1051"/>
    <n v="759"/>
    <n v="420"/>
    <n v="421"/>
    <n v="210"/>
    <n v="394"/>
    <n v="267"/>
    <n v="98"/>
    <n v="293"/>
    <n v="52"/>
    <n v="91"/>
    <n v="65"/>
    <n v="13"/>
    <n v="167"/>
    <n v="103"/>
    <n v="47"/>
    <n v="27"/>
    <n v="193"/>
    <n v="30"/>
    <n v="22"/>
    <n v="22"/>
    <n v="7"/>
    <n v="60"/>
    <n v="60"/>
    <n v="0"/>
    <n v="7"/>
    <n v="22"/>
    <n v="15"/>
    <n v="7"/>
    <n v="22"/>
    <n v="22"/>
    <n v="7"/>
    <n v="0"/>
    <n v="60"/>
    <n v="53"/>
    <n v="15"/>
    <n v="0"/>
    <n v="0"/>
    <n v="22"/>
    <n v="30"/>
    <n v="83"/>
    <n v="22"/>
    <n v="22"/>
    <n v="7"/>
    <n v="0"/>
    <n v="37"/>
    <n v="22"/>
    <n v="30"/>
    <n v="53"/>
    <n v="116.94999999999999"/>
    <n v="39525.47"/>
    <n v="20327.38"/>
    <n v="18068.79"/>
    <n v="21456.68"/>
    <n v="13551.59"/>
    <n v="15000"/>
    <n v="7500"/>
    <n v="6132"/>
    <n v="10728"/>
    <n v="70082"/>
    <n v="53709"/>
    <n v="45010"/>
    <n v="28681"/>
    <n v="204000"/>
    <n v="6837"/>
  </r>
  <r>
    <d v="2024-11-03T00:00:00"/>
    <x v="10"/>
    <n v="11"/>
    <n v="1077"/>
    <n v="786"/>
    <n v="269"/>
    <n v="733"/>
    <n v="75"/>
    <n v="275"/>
    <n v="441"/>
    <n v="70"/>
    <n v="247"/>
    <n v="193"/>
    <n v="60"/>
    <n v="66"/>
    <n v="26"/>
    <n v="188"/>
    <n v="57"/>
    <n v="49"/>
    <n v="28"/>
    <n v="163"/>
    <n v="31"/>
    <n v="23"/>
    <n v="47"/>
    <n v="0"/>
    <n v="78"/>
    <n v="55"/>
    <n v="15"/>
    <n v="7"/>
    <n v="23"/>
    <n v="23"/>
    <n v="0"/>
    <n v="31"/>
    <n v="0"/>
    <n v="0"/>
    <n v="15"/>
    <n v="78"/>
    <n v="15"/>
    <n v="7"/>
    <n v="23"/>
    <n v="7"/>
    <n v="23"/>
    <n v="23"/>
    <n v="78"/>
    <n v="23"/>
    <n v="31"/>
    <n v="15"/>
    <n v="7"/>
    <n v="47"/>
    <n v="23"/>
    <n v="7"/>
    <n v="31"/>
    <n v="121.21"/>
    <n v="39763.910000000003"/>
    <n v="15203.85"/>
    <n v="21051.48"/>
    <n v="10525.74"/>
    <n v="30407.69"/>
    <n v="15000"/>
    <n v="7500"/>
    <n v="7121"/>
    <n v="11073"/>
    <n v="70082"/>
    <n v="53709"/>
    <n v="45010"/>
    <n v="28681"/>
    <n v="204000"/>
    <n v="106"/>
  </r>
  <r>
    <d v="2024-11-04T00:00:00"/>
    <x v="10"/>
    <n v="11"/>
    <n v="1097"/>
    <n v="821"/>
    <n v="416"/>
    <n v="550"/>
    <n v="131"/>
    <n v="311"/>
    <n v="330"/>
    <n v="180"/>
    <n v="340"/>
    <n v="40"/>
    <n v="102"/>
    <n v="68"/>
    <n v="27"/>
    <n v="204"/>
    <n v="20"/>
    <n v="33"/>
    <n v="41"/>
    <n v="222"/>
    <n v="106"/>
    <n v="24"/>
    <n v="41"/>
    <n v="16"/>
    <n v="90"/>
    <n v="57"/>
    <n v="8"/>
    <n v="16"/>
    <n v="32"/>
    <n v="8"/>
    <n v="0"/>
    <n v="41"/>
    <n v="8"/>
    <n v="0"/>
    <n v="24"/>
    <n v="41"/>
    <n v="49"/>
    <n v="41"/>
    <n v="0"/>
    <n v="8"/>
    <n v="16"/>
    <n v="24"/>
    <n v="0"/>
    <n v="16"/>
    <n v="3"/>
    <n v="31"/>
    <n v="0"/>
    <n v="57"/>
    <n v="32"/>
    <n v="32"/>
    <n v="0"/>
    <n v="124.28999999999999"/>
    <n v="31514.77"/>
    <n v="21817.919999999998"/>
    <n v="14545.28"/>
    <n v="13333.17"/>
    <n v="39999.519999999997"/>
    <n v="15000"/>
    <n v="7500"/>
    <n v="7121"/>
    <n v="11073"/>
    <n v="70082"/>
    <n v="53709"/>
    <n v="45010"/>
    <n v="28681"/>
    <n v="204000"/>
    <n v="364"/>
  </r>
  <r>
    <d v="2024-11-05T00:00:00"/>
    <x v="10"/>
    <n v="11"/>
    <n v="1109"/>
    <n v="856"/>
    <n v="465"/>
    <n v="456"/>
    <n v="188"/>
    <n v="188"/>
    <n v="540"/>
    <n v="128"/>
    <n v="254"/>
    <n v="103"/>
    <n v="103"/>
    <n v="48"/>
    <n v="13"/>
    <n v="189"/>
    <n v="75"/>
    <n v="50"/>
    <n v="33"/>
    <n v="241"/>
    <n v="85"/>
    <n v="0"/>
    <n v="51"/>
    <n v="8"/>
    <n v="59"/>
    <n v="42"/>
    <n v="8"/>
    <n v="8"/>
    <n v="17"/>
    <n v="25"/>
    <n v="0"/>
    <n v="25"/>
    <n v="0"/>
    <n v="25"/>
    <n v="8"/>
    <n v="59"/>
    <n v="8"/>
    <n v="42"/>
    <n v="0"/>
    <n v="8"/>
    <n v="25"/>
    <n v="34"/>
    <n v="68"/>
    <n v="25"/>
    <n v="77"/>
    <n v="25"/>
    <n v="8"/>
    <n v="51"/>
    <n v="0"/>
    <n v="0"/>
    <n v="65"/>
    <n v="125.40999999999998"/>
    <n v="38526.550000000003"/>
    <n v="24855.84"/>
    <n v="26098.63"/>
    <n v="9942.34"/>
    <n v="24855.84"/>
    <n v="15000"/>
    <n v="7500"/>
    <n v="7121"/>
    <n v="11073"/>
    <n v="70082"/>
    <n v="53709"/>
    <n v="45010"/>
    <n v="28681"/>
    <n v="204000"/>
    <n v="1424"/>
  </r>
  <r>
    <d v="2024-11-06T00:00:00"/>
    <x v="10"/>
    <n v="11"/>
    <n v="1112"/>
    <n v="893"/>
    <n v="422"/>
    <n v="468"/>
    <n v="222"/>
    <n v="446"/>
    <n v="376"/>
    <n v="71"/>
    <n v="358"/>
    <n v="34"/>
    <n v="48"/>
    <n v="89"/>
    <n v="68"/>
    <n v="160"/>
    <n v="29"/>
    <n v="42"/>
    <n v="42"/>
    <n v="242"/>
    <n v="125"/>
    <n v="0"/>
    <n v="35"/>
    <n v="0"/>
    <n v="71"/>
    <n v="71"/>
    <n v="0"/>
    <n v="26"/>
    <n v="44"/>
    <n v="8"/>
    <n v="8"/>
    <n v="26"/>
    <n v="0"/>
    <n v="8"/>
    <n v="17"/>
    <n v="71"/>
    <n v="44"/>
    <n v="8"/>
    <n v="8"/>
    <n v="8"/>
    <n v="8"/>
    <n v="8"/>
    <n v="62"/>
    <n v="26"/>
    <n v="26"/>
    <n v="17"/>
    <n v="0"/>
    <n v="62"/>
    <n v="26"/>
    <n v="17"/>
    <n v="63"/>
    <n v="125.21"/>
    <n v="31351.74"/>
    <n v="17556.97"/>
    <n v="15048.83"/>
    <n v="20065.11"/>
    <n v="41384.29"/>
    <n v="15000"/>
    <n v="7500"/>
    <n v="7121"/>
    <n v="11073"/>
    <n v="70082"/>
    <n v="53709"/>
    <n v="45010"/>
    <n v="28681"/>
    <n v="204000"/>
    <n v="5251"/>
  </r>
  <r>
    <d v="2024-11-07T00:00:00"/>
    <x v="10"/>
    <n v="11"/>
    <n v="1114"/>
    <n v="928"/>
    <n v="467"/>
    <n v="592"/>
    <n v="55"/>
    <n v="259"/>
    <n v="577"/>
    <n v="92"/>
    <n v="255"/>
    <n v="110"/>
    <n v="96"/>
    <n v="41"/>
    <n v="20"/>
    <n v="173"/>
    <n v="110"/>
    <n v="38"/>
    <n v="21"/>
    <n v="250"/>
    <n v="83"/>
    <n v="9"/>
    <n v="37"/>
    <n v="18"/>
    <n v="129"/>
    <n v="83"/>
    <n v="18"/>
    <n v="9"/>
    <n v="46"/>
    <n v="0"/>
    <n v="9"/>
    <n v="18"/>
    <n v="18"/>
    <n v="9"/>
    <n v="18"/>
    <n v="37"/>
    <n v="37"/>
    <n v="27"/>
    <n v="27"/>
    <n v="9"/>
    <n v="0"/>
    <n v="37"/>
    <n v="102"/>
    <n v="9"/>
    <n v="37"/>
    <n v="27"/>
    <n v="0"/>
    <n v="9"/>
    <n v="37"/>
    <n v="18"/>
    <n v="11"/>
    <n v="121.99"/>
    <n v="41321.360000000001"/>
    <n v="18782.439999999999"/>
    <n v="27547.57"/>
    <n v="20034.599999999999"/>
    <n v="17530.27"/>
    <n v="15000"/>
    <n v="7500"/>
    <n v="7121"/>
    <n v="11073"/>
    <n v="70082"/>
    <n v="53709"/>
    <n v="45010"/>
    <n v="28681"/>
    <n v="204000"/>
    <n v="7622"/>
  </r>
  <r>
    <d v="2024-11-08T00:00:00"/>
    <x v="10"/>
    <n v="11"/>
    <n v="1102"/>
    <n v="958"/>
    <n v="551"/>
    <n v="342"/>
    <n v="209"/>
    <n v="344"/>
    <n v="500"/>
    <n v="114"/>
    <n v="307"/>
    <n v="95"/>
    <n v="102"/>
    <n v="40"/>
    <n v="47"/>
    <n v="201"/>
    <n v="113"/>
    <n v="62"/>
    <n v="25"/>
    <n v="110"/>
    <n v="76"/>
    <n v="19"/>
    <n v="28"/>
    <n v="28"/>
    <n v="95"/>
    <n v="76"/>
    <n v="0"/>
    <n v="0"/>
    <n v="19"/>
    <n v="0"/>
    <n v="0"/>
    <n v="9"/>
    <n v="19"/>
    <n v="28"/>
    <n v="28"/>
    <n v="67"/>
    <n v="28"/>
    <n v="28"/>
    <n v="0"/>
    <n v="0"/>
    <n v="9"/>
    <n v="19"/>
    <n v="76"/>
    <n v="28"/>
    <n v="76"/>
    <n v="28"/>
    <n v="0"/>
    <n v="19"/>
    <n v="28"/>
    <n v="19"/>
    <n v="108"/>
    <n v="117.60000000000001"/>
    <n v="40254.080000000002"/>
    <n v="20736.95"/>
    <n v="26836.05"/>
    <n v="30495.52"/>
    <n v="3659.46"/>
    <n v="15000"/>
    <n v="7500"/>
    <n v="7121"/>
    <n v="11073"/>
    <n v="70082"/>
    <n v="53709"/>
    <n v="45010"/>
    <n v="28681"/>
    <n v="204000"/>
    <n v="2631"/>
  </r>
  <r>
    <d v="2024-11-09T00:00:00"/>
    <x v="10"/>
    <n v="11"/>
    <n v="1073"/>
    <n v="982"/>
    <n v="354"/>
    <n v="526"/>
    <n v="193"/>
    <n v="382"/>
    <n v="375"/>
    <n v="225"/>
    <n v="272"/>
    <n v="232"/>
    <n v="66"/>
    <n v="33"/>
    <n v="59"/>
    <n v="183"/>
    <n v="138"/>
    <n v="28"/>
    <n v="48"/>
    <n v="14"/>
    <n v="88"/>
    <n v="29"/>
    <n v="39"/>
    <n v="19"/>
    <n v="88"/>
    <n v="49"/>
    <n v="9"/>
    <n v="19"/>
    <n v="49"/>
    <n v="0"/>
    <n v="9"/>
    <n v="9"/>
    <n v="9"/>
    <n v="29"/>
    <n v="0"/>
    <n v="39"/>
    <n v="39"/>
    <n v="49"/>
    <n v="29"/>
    <n v="0"/>
    <n v="29"/>
    <n v="29"/>
    <n v="98"/>
    <n v="9"/>
    <n v="29"/>
    <n v="39"/>
    <n v="9"/>
    <n v="49"/>
    <n v="0"/>
    <n v="29"/>
    <n v="61"/>
    <n v="115.19"/>
    <n v="38808.870000000003"/>
    <n v="25872.58"/>
    <n v="11760.27"/>
    <n v="18816.419999999998"/>
    <n v="22344.5"/>
    <n v="15000"/>
    <n v="7500"/>
    <n v="7121"/>
    <n v="11073"/>
    <n v="70082"/>
    <n v="53709"/>
    <n v="45010"/>
    <n v="28681"/>
    <n v="204000"/>
    <n v="4315"/>
  </r>
  <r>
    <d v="2024-11-10T00:00:00"/>
    <x v="10"/>
    <n v="11"/>
    <n v="1054"/>
    <n v="1002"/>
    <n v="484"/>
    <n v="349"/>
    <n v="221"/>
    <n v="440"/>
    <n v="442"/>
    <n v="120"/>
    <n v="359"/>
    <n v="117"/>
    <n v="98"/>
    <n v="71"/>
    <n v="26"/>
    <n v="216"/>
    <n v="76"/>
    <n v="52"/>
    <n v="28"/>
    <n v="11"/>
    <n v="120"/>
    <n v="0"/>
    <n v="70"/>
    <n v="10"/>
    <n v="22"/>
    <n v="90"/>
    <n v="30"/>
    <n v="20"/>
    <n v="20"/>
    <n v="0"/>
    <n v="0"/>
    <n v="40"/>
    <n v="0"/>
    <n v="30"/>
    <n v="20"/>
    <n v="70"/>
    <n v="60"/>
    <n v="20"/>
    <n v="0"/>
    <n v="10"/>
    <n v="30"/>
    <n v="40"/>
    <n v="80"/>
    <n v="30"/>
    <n v="50"/>
    <n v="20"/>
    <n v="10"/>
    <n v="60"/>
    <n v="30"/>
    <n v="20"/>
    <n v="0"/>
    <n v="115.2"/>
    <n v="28798.04"/>
    <n v="21886.51"/>
    <n v="25342.28"/>
    <n v="13823.06"/>
    <n v="25342.28"/>
    <n v="15000"/>
    <n v="7500"/>
    <n v="7121"/>
    <n v="11073"/>
    <n v="70082"/>
    <n v="53709"/>
    <n v="45010"/>
    <n v="28681"/>
    <n v="204000"/>
    <n v="4873"/>
  </r>
  <r>
    <d v="2024-11-11T00:00:00"/>
    <x v="10"/>
    <n v="11"/>
    <n v="1044"/>
    <n v="1016"/>
    <n v="522"/>
    <n v="397"/>
    <n v="125"/>
    <n v="203"/>
    <n v="763"/>
    <n v="50"/>
    <n v="233"/>
    <n v="38"/>
    <n v="90"/>
    <n v="45"/>
    <n v="64"/>
    <n v="190"/>
    <n v="43"/>
    <n v="59"/>
    <n v="27"/>
    <n v="255"/>
    <n v="50"/>
    <n v="10"/>
    <n v="40"/>
    <n v="10"/>
    <n v="152"/>
    <n v="71"/>
    <n v="10"/>
    <n v="0"/>
    <n v="40"/>
    <n v="0"/>
    <n v="0"/>
    <n v="40"/>
    <n v="20"/>
    <n v="0"/>
    <n v="20"/>
    <n v="50"/>
    <n v="71"/>
    <n v="30"/>
    <n v="10"/>
    <n v="0"/>
    <n v="30"/>
    <n v="40"/>
    <n v="101"/>
    <n v="10"/>
    <n v="50"/>
    <n v="20"/>
    <n v="0"/>
    <n v="60"/>
    <n v="40"/>
    <n v="40"/>
    <n v="1"/>
    <n v="116.03"/>
    <n v="39165.339999999997"/>
    <n v="18430.75"/>
    <n v="17278.82"/>
    <n v="17278.82"/>
    <n v="23038.43"/>
    <n v="15000"/>
    <n v="7500"/>
    <n v="7121"/>
    <n v="11073"/>
    <n v="70082"/>
    <n v="53709"/>
    <n v="45010"/>
    <n v="28681"/>
    <n v="204000"/>
    <n v="2487"/>
  </r>
  <r>
    <d v="2024-11-12T00:00:00"/>
    <x v="10"/>
    <n v="11"/>
    <n v="1044"/>
    <n v="1022"/>
    <n v="354"/>
    <n v="555"/>
    <n v="135"/>
    <n v="521"/>
    <n v="389"/>
    <n v="112"/>
    <n v="226"/>
    <n v="213"/>
    <n v="45"/>
    <n v="32"/>
    <n v="25"/>
    <n v="214"/>
    <n v="87"/>
    <n v="31"/>
    <n v="39"/>
    <n v="132"/>
    <n v="71"/>
    <n v="20"/>
    <n v="40"/>
    <n v="20"/>
    <n v="91"/>
    <n v="91"/>
    <n v="10"/>
    <n v="20"/>
    <n v="20"/>
    <n v="0"/>
    <n v="0"/>
    <n v="10"/>
    <n v="20"/>
    <n v="30"/>
    <n v="0"/>
    <n v="51"/>
    <n v="20"/>
    <n v="30"/>
    <n v="20"/>
    <n v="0"/>
    <n v="10"/>
    <n v="30"/>
    <n v="102"/>
    <n v="10"/>
    <n v="81"/>
    <n v="30"/>
    <n v="0"/>
    <n v="10"/>
    <n v="30"/>
    <n v="10"/>
    <n v="145"/>
    <n v="118.55"/>
    <n v="38288.269999999997"/>
    <n v="24365.26"/>
    <n v="19724.259999999998"/>
    <n v="24365.26"/>
    <n v="9282"/>
    <n v="15000"/>
    <n v="7500"/>
    <n v="7121"/>
    <n v="11073"/>
    <n v="70082"/>
    <n v="53709"/>
    <n v="45010"/>
    <n v="28681"/>
    <n v="204000"/>
    <n v="8373"/>
  </r>
  <r>
    <d v="2024-11-13T00:00:00"/>
    <x v="10"/>
    <n v="11"/>
    <n v="1049"/>
    <n v="1027"/>
    <n v="419"/>
    <n v="473"/>
    <n v="157"/>
    <n v="431"/>
    <n v="350"/>
    <n v="246"/>
    <n v="345"/>
    <n v="201"/>
    <n v="78"/>
    <n v="52"/>
    <n v="65"/>
    <n v="203"/>
    <n v="35"/>
    <n v="31"/>
    <n v="39"/>
    <n v="0"/>
    <n v="112"/>
    <n v="20"/>
    <n v="71"/>
    <n v="10"/>
    <n v="102"/>
    <n v="51"/>
    <n v="0"/>
    <n v="0"/>
    <n v="30"/>
    <n v="20"/>
    <n v="10"/>
    <n v="51"/>
    <n v="30"/>
    <n v="0"/>
    <n v="0"/>
    <n v="82"/>
    <n v="30"/>
    <n v="41"/>
    <n v="10"/>
    <n v="0"/>
    <n v="10"/>
    <n v="41"/>
    <n v="92"/>
    <n v="10"/>
    <n v="51"/>
    <n v="41"/>
    <n v="0"/>
    <n v="41"/>
    <n v="30"/>
    <n v="41"/>
    <n v="0"/>
    <n v="122.91"/>
    <n v="32009.279999999999"/>
    <n v="17782.93"/>
    <n v="26081.64"/>
    <n v="26081.64"/>
    <n v="16597.41"/>
    <n v="15000"/>
    <n v="7500"/>
    <n v="7121"/>
    <n v="11073"/>
    <n v="70082"/>
    <n v="53709"/>
    <n v="45010"/>
    <n v="28681"/>
    <n v="204000"/>
    <n v="2987"/>
  </r>
  <r>
    <d v="2024-11-14T00:00:00"/>
    <x v="10"/>
    <n v="11"/>
    <n v="1059"/>
    <n v="1032"/>
    <n v="254"/>
    <n v="710"/>
    <n v="95"/>
    <n v="474"/>
    <n v="455"/>
    <n v="103"/>
    <n v="249"/>
    <n v="78"/>
    <n v="98"/>
    <n v="78"/>
    <n v="26"/>
    <n v="169"/>
    <n v="84"/>
    <n v="28"/>
    <n v="48"/>
    <n v="201"/>
    <n v="134"/>
    <n v="0"/>
    <n v="30"/>
    <n v="10"/>
    <n v="113"/>
    <n v="82"/>
    <n v="30"/>
    <n v="0"/>
    <n v="30"/>
    <n v="10"/>
    <n v="10"/>
    <n v="51"/>
    <n v="10"/>
    <n v="20"/>
    <n v="0"/>
    <n v="51"/>
    <n v="51"/>
    <n v="20"/>
    <n v="30"/>
    <n v="10"/>
    <n v="0"/>
    <n v="30"/>
    <n v="103"/>
    <n v="20"/>
    <n v="51"/>
    <n v="20"/>
    <n v="0"/>
    <n v="10"/>
    <n v="10"/>
    <n v="20"/>
    <n v="76"/>
    <n v="128.28"/>
    <n v="40562.06"/>
    <n v="30728.84"/>
    <n v="23353.919999999998"/>
    <n v="13270.53"/>
    <n v="15000"/>
    <n v="15000"/>
    <n v="7500"/>
    <n v="7121"/>
    <n v="11073"/>
    <n v="70082"/>
    <n v="53709"/>
    <n v="45010"/>
    <n v="28681"/>
    <n v="204000"/>
    <n v="6331"/>
  </r>
  <r>
    <d v="2024-11-15T00:00:00"/>
    <x v="10"/>
    <n v="11"/>
    <n v="1074"/>
    <n v="1031"/>
    <n v="472"/>
    <n v="388"/>
    <n v="214"/>
    <n v="402"/>
    <n v="495"/>
    <n v="134"/>
    <n v="352"/>
    <n v="73"/>
    <n v="59"/>
    <n v="46"/>
    <n v="33"/>
    <n v="163"/>
    <n v="53"/>
    <n v="53"/>
    <n v="24"/>
    <n v="218"/>
    <n v="123"/>
    <n v="10"/>
    <n v="30"/>
    <n v="30"/>
    <n v="92"/>
    <n v="51"/>
    <n v="30"/>
    <n v="0"/>
    <n v="61"/>
    <n v="20"/>
    <n v="0"/>
    <n v="41"/>
    <n v="10"/>
    <n v="20"/>
    <n v="10"/>
    <n v="51"/>
    <n v="20"/>
    <n v="30"/>
    <n v="30"/>
    <n v="0"/>
    <n v="0"/>
    <n v="41"/>
    <n v="72"/>
    <n v="10"/>
    <n v="51"/>
    <n v="10"/>
    <n v="0"/>
    <n v="30"/>
    <n v="30"/>
    <n v="41"/>
    <n v="87"/>
    <n v="131.26"/>
    <n v="38484.5"/>
    <n v="17959.43"/>
    <n v="12828.17"/>
    <n v="16676.62"/>
    <n v="42332.95"/>
    <n v="11500"/>
    <n v="7500"/>
    <n v="7121"/>
    <n v="11073"/>
    <n v="70082"/>
    <n v="53709"/>
    <n v="45010"/>
    <n v="28681"/>
    <n v="204000"/>
    <n v="1851"/>
  </r>
  <r>
    <d v="2024-11-16T00:00:00"/>
    <x v="10"/>
    <n v="11"/>
    <n v="1094"/>
    <n v="1025"/>
    <n v="339"/>
    <n v="591"/>
    <n v="164"/>
    <n v="246"/>
    <n v="687"/>
    <n v="92"/>
    <n v="257"/>
    <n v="40"/>
    <n v="94"/>
    <n v="40"/>
    <n v="13"/>
    <n v="153"/>
    <n v="58"/>
    <n v="29"/>
    <n v="37"/>
    <n v="373"/>
    <n v="102"/>
    <n v="10"/>
    <n v="51"/>
    <n v="0"/>
    <n v="92"/>
    <n v="61"/>
    <n v="30"/>
    <n v="20"/>
    <n v="20"/>
    <n v="0"/>
    <n v="0"/>
    <n v="20"/>
    <n v="10"/>
    <n v="20"/>
    <n v="20"/>
    <n v="61"/>
    <n v="30"/>
    <n v="20"/>
    <n v="30"/>
    <n v="0"/>
    <n v="10"/>
    <n v="20"/>
    <n v="112"/>
    <n v="30"/>
    <n v="92"/>
    <n v="20"/>
    <n v="0"/>
    <n v="30"/>
    <n v="0"/>
    <n v="30"/>
    <n v="84"/>
    <n v="133.32"/>
    <n v="40689.760000000002"/>
    <n v="32814.32"/>
    <n v="19688.59"/>
    <n v="28876.6"/>
    <n v="9188.01"/>
    <n v="11500"/>
    <n v="7500"/>
    <n v="7121"/>
    <n v="11073"/>
    <n v="70082"/>
    <n v="53709"/>
    <n v="45010"/>
    <n v="28681"/>
    <n v="204000"/>
    <n v="8271"/>
  </r>
  <r>
    <d v="2024-11-17T00:00:00"/>
    <x v="10"/>
    <n v="11"/>
    <n v="1121"/>
    <n v="1016"/>
    <n v="325"/>
    <n v="584"/>
    <n v="212"/>
    <n v="274"/>
    <n v="661"/>
    <n v="81"/>
    <n v="305"/>
    <n v="180"/>
    <n v="83"/>
    <n v="69"/>
    <n v="62"/>
    <n v="178"/>
    <n v="59"/>
    <n v="34"/>
    <n v="63"/>
    <n v="88"/>
    <n v="40"/>
    <n v="30"/>
    <n v="71"/>
    <n v="20"/>
    <n v="83"/>
    <n v="60"/>
    <n v="10"/>
    <n v="10"/>
    <n v="20"/>
    <n v="20"/>
    <n v="10"/>
    <n v="40"/>
    <n v="30"/>
    <n v="20"/>
    <n v="30"/>
    <n v="81"/>
    <n v="30"/>
    <n v="30"/>
    <n v="30"/>
    <n v="0"/>
    <n v="10"/>
    <n v="40"/>
    <n v="101"/>
    <n v="30"/>
    <n v="50"/>
    <n v="30"/>
    <n v="0"/>
    <n v="60"/>
    <n v="10"/>
    <n v="20"/>
    <n v="0"/>
    <n v="134.16"/>
    <n v="35995.31"/>
    <n v="33328.99"/>
    <n v="17331.080000000002"/>
    <n v="19997.400000000001"/>
    <n v="26663.19"/>
    <n v="11500"/>
    <n v="7500"/>
    <n v="7121"/>
    <n v="11073"/>
    <n v="70082"/>
    <n v="53709"/>
    <n v="45010"/>
    <n v="28681"/>
    <n v="204000"/>
    <n v="1440"/>
  </r>
  <r>
    <d v="2024-11-18T00:00:00"/>
    <x v="10"/>
    <n v="11"/>
    <n v="1148"/>
    <n v="1004"/>
    <n v="562"/>
    <n v="403"/>
    <n v="183"/>
    <n v="481"/>
    <n v="453"/>
    <n v="70"/>
    <n v="313"/>
    <n v="106"/>
    <n v="85"/>
    <n v="56"/>
    <n v="49"/>
    <n v="152"/>
    <n v="95"/>
    <n v="34"/>
    <n v="61"/>
    <n v="197"/>
    <n v="120"/>
    <n v="20"/>
    <n v="50"/>
    <n v="30"/>
    <n v="110"/>
    <n v="50"/>
    <n v="0"/>
    <n v="30"/>
    <n v="60"/>
    <n v="0"/>
    <n v="0"/>
    <n v="10"/>
    <n v="10"/>
    <n v="20"/>
    <n v="30"/>
    <n v="50"/>
    <n v="70"/>
    <n v="10"/>
    <n v="0"/>
    <n v="0"/>
    <n v="20"/>
    <n v="10"/>
    <n v="80"/>
    <n v="10"/>
    <n v="40"/>
    <n v="10"/>
    <n v="10"/>
    <n v="70"/>
    <n v="40"/>
    <n v="20"/>
    <n v="24"/>
    <n v="131.61000000000001"/>
    <n v="45614.53"/>
    <n v="17440.849999999999"/>
    <n v="26832.080000000002"/>
    <n v="14757.64"/>
    <n v="29515.29"/>
    <n v="11500"/>
    <n v="7500"/>
    <n v="7121"/>
    <n v="11073"/>
    <n v="70082"/>
    <n v="53709"/>
    <n v="45010"/>
    <n v="28681"/>
    <n v="204000"/>
    <n v="4720"/>
  </r>
  <r>
    <d v="2024-11-19T00:00:00"/>
    <x v="10"/>
    <n v="11"/>
    <n v="1175"/>
    <n v="985"/>
    <n v="587"/>
    <n v="506"/>
    <n v="82"/>
    <n v="226"/>
    <n v="543"/>
    <n v="216"/>
    <n v="247"/>
    <n v="247"/>
    <n v="58"/>
    <n v="80"/>
    <n v="21"/>
    <n v="191"/>
    <n v="133"/>
    <n v="53"/>
    <n v="62"/>
    <n v="83"/>
    <n v="108"/>
    <n v="9"/>
    <n v="68"/>
    <n v="9"/>
    <n v="57"/>
    <n v="68"/>
    <n v="19"/>
    <n v="19"/>
    <n v="39"/>
    <n v="0"/>
    <n v="0"/>
    <n v="49"/>
    <n v="9"/>
    <n v="9"/>
    <n v="29"/>
    <n v="78"/>
    <n v="39"/>
    <n v="49"/>
    <n v="19"/>
    <n v="9"/>
    <n v="0"/>
    <n v="9"/>
    <n v="88"/>
    <n v="29"/>
    <n v="68"/>
    <n v="19"/>
    <n v="9"/>
    <n v="49"/>
    <n v="9"/>
    <n v="19"/>
    <n v="0"/>
    <n v="126.63999999999999"/>
    <n v="36848.35"/>
    <n v="31584.3"/>
    <n v="14476.14"/>
    <n v="27636.27"/>
    <n v="21056.2"/>
    <n v="11500"/>
    <n v="7500"/>
    <n v="7121"/>
    <n v="11073"/>
    <n v="70082"/>
    <n v="53709"/>
    <n v="45010"/>
    <n v="28681"/>
    <n v="204000"/>
    <n v="1203"/>
  </r>
  <r>
    <d v="2024-11-20T00:00:00"/>
    <x v="10"/>
    <n v="11"/>
    <n v="1193"/>
    <n v="963"/>
    <n v="584"/>
    <n v="454"/>
    <n v="155"/>
    <n v="404"/>
    <n v="328"/>
    <n v="231"/>
    <n v="377"/>
    <n v="199"/>
    <n v="66"/>
    <n v="44"/>
    <n v="44"/>
    <n v="163"/>
    <n v="104"/>
    <n v="45"/>
    <n v="36"/>
    <n v="115"/>
    <n v="86"/>
    <n v="19"/>
    <n v="67"/>
    <n v="19"/>
    <n v="86"/>
    <n v="67"/>
    <n v="9"/>
    <n v="28"/>
    <n v="19"/>
    <n v="9"/>
    <n v="9"/>
    <n v="38"/>
    <n v="9"/>
    <n v="19"/>
    <n v="9"/>
    <n v="38"/>
    <n v="57"/>
    <n v="28"/>
    <n v="0"/>
    <n v="9"/>
    <n v="28"/>
    <n v="38"/>
    <n v="77"/>
    <n v="19"/>
    <n v="38"/>
    <n v="28"/>
    <n v="0"/>
    <n v="19"/>
    <n v="19"/>
    <n v="9"/>
    <n v="63"/>
    <n v="123.53"/>
    <n v="43056.93"/>
    <n v="27860.36"/>
    <n v="16462.939999999999"/>
    <n v="10131.040000000001"/>
    <n v="29126.74"/>
    <n v="11500"/>
    <n v="7500"/>
    <n v="7121"/>
    <n v="11073"/>
    <n v="70082"/>
    <n v="53709"/>
    <n v="45010"/>
    <n v="28681"/>
    <n v="204000"/>
    <n v="2608"/>
  </r>
  <r>
    <d v="2024-11-21T00:00:00"/>
    <x v="10"/>
    <n v="11"/>
    <n v="1204"/>
    <n v="936"/>
    <n v="325"/>
    <n v="771"/>
    <n v="108"/>
    <n v="196"/>
    <n v="563"/>
    <n v="177"/>
    <n v="306"/>
    <n v="82"/>
    <n v="111"/>
    <n v="97"/>
    <n v="22"/>
    <n v="233"/>
    <n v="123"/>
    <n v="50"/>
    <n v="36"/>
    <n v="144"/>
    <n v="131"/>
    <n v="0"/>
    <n v="65"/>
    <n v="9"/>
    <n v="102"/>
    <n v="46"/>
    <n v="0"/>
    <n v="28"/>
    <n v="56"/>
    <n v="28"/>
    <n v="9"/>
    <n v="9"/>
    <n v="0"/>
    <n v="0"/>
    <n v="28"/>
    <n v="37"/>
    <n v="46"/>
    <n v="9"/>
    <n v="0"/>
    <n v="9"/>
    <n v="9"/>
    <n v="18"/>
    <n v="65"/>
    <n v="18"/>
    <n v="28"/>
    <n v="28"/>
    <n v="9"/>
    <n v="9"/>
    <n v="0"/>
    <n v="37"/>
    <n v="103"/>
    <n v="123.14999999999999"/>
    <n v="38292.79"/>
    <n v="25940.28"/>
    <n v="28410.78"/>
    <n v="29646.03"/>
    <n v="1235.25"/>
    <n v="11500"/>
    <n v="7500"/>
    <n v="7121"/>
    <n v="11073"/>
    <n v="70082"/>
    <n v="53709"/>
    <n v="45010"/>
    <n v="28681"/>
    <n v="204000"/>
    <n v="3126"/>
  </r>
  <r>
    <d v="2024-11-22T00:00:00"/>
    <x v="10"/>
    <n v="11"/>
    <n v="1213"/>
    <n v="903"/>
    <n v="509"/>
    <n v="607"/>
    <n v="97"/>
    <n v="316"/>
    <n v="380"/>
    <n v="207"/>
    <n v="376"/>
    <n v="195"/>
    <n v="112"/>
    <n v="75"/>
    <n v="37"/>
    <n v="198"/>
    <n v="78"/>
    <n v="64"/>
    <n v="23"/>
    <n v="55"/>
    <n v="45"/>
    <n v="9"/>
    <n v="54"/>
    <n v="0"/>
    <n v="135"/>
    <n v="72"/>
    <n v="9"/>
    <n v="9"/>
    <n v="18"/>
    <n v="18"/>
    <n v="0"/>
    <n v="36"/>
    <n v="9"/>
    <n v="9"/>
    <n v="18"/>
    <n v="36"/>
    <n v="9"/>
    <n v="27"/>
    <n v="0"/>
    <n v="0"/>
    <n v="36"/>
    <n v="27"/>
    <n v="63"/>
    <n v="9"/>
    <n v="54"/>
    <n v="45"/>
    <n v="0"/>
    <n v="18"/>
    <n v="18"/>
    <n v="9"/>
    <n v="111"/>
    <n v="124.63"/>
    <n v="40639.879999999997"/>
    <n v="19704.18"/>
    <n v="20935.7"/>
    <n v="17241.16"/>
    <n v="24630.23"/>
    <n v="11500"/>
    <n v="7500"/>
    <n v="7121"/>
    <n v="8058"/>
    <n v="70082"/>
    <n v="53709"/>
    <n v="45010"/>
    <n v="28681"/>
    <n v="204000"/>
    <n v="2995"/>
  </r>
  <r>
    <d v="2024-11-23T00:00:00"/>
    <x v="10"/>
    <n v="11"/>
    <n v="1215"/>
    <n v="870"/>
    <n v="473"/>
    <n v="670"/>
    <n v="72"/>
    <n v="182"/>
    <n v="471"/>
    <n v="217"/>
    <n v="308"/>
    <n v="60"/>
    <n v="112"/>
    <n v="52"/>
    <n v="22"/>
    <n v="221"/>
    <n v="106"/>
    <n v="64"/>
    <n v="64"/>
    <n v="206"/>
    <n v="104"/>
    <n v="26"/>
    <n v="26"/>
    <n v="26"/>
    <n v="69"/>
    <n v="78"/>
    <n v="8"/>
    <n v="8"/>
    <n v="34"/>
    <n v="17"/>
    <n v="0"/>
    <n v="17"/>
    <n v="8"/>
    <n v="26"/>
    <n v="8"/>
    <n v="43"/>
    <n v="17"/>
    <n v="26"/>
    <n v="17"/>
    <n v="0"/>
    <n v="8"/>
    <n v="8"/>
    <n v="69"/>
    <n v="26"/>
    <n v="26"/>
    <n v="34"/>
    <n v="0"/>
    <n v="26"/>
    <n v="34"/>
    <n v="8"/>
    <n v="73"/>
    <n v="127.86999999999999"/>
    <n v="43623.93"/>
    <n v="17449.57"/>
    <n v="19942.37"/>
    <n v="31159.95"/>
    <n v="12463.98"/>
    <n v="11500"/>
    <n v="7500"/>
    <n v="7121"/>
    <n v="8058"/>
    <n v="70082"/>
    <n v="53709"/>
    <n v="45010"/>
    <n v="28681"/>
    <n v="204000"/>
    <n v="5064"/>
  </r>
  <r>
    <d v="2024-11-24T00:00:00"/>
    <x v="10"/>
    <n v="11"/>
    <n v="1216"/>
    <n v="834"/>
    <n v="425"/>
    <n v="609"/>
    <n v="182"/>
    <n v="425"/>
    <n v="268"/>
    <n v="141"/>
    <n v="271"/>
    <n v="113"/>
    <n v="82"/>
    <n v="105"/>
    <n v="37"/>
    <n v="240"/>
    <n v="73"/>
    <n v="55"/>
    <n v="55"/>
    <n v="185"/>
    <n v="75"/>
    <n v="16"/>
    <n v="50"/>
    <n v="16"/>
    <n v="1"/>
    <n v="75"/>
    <n v="16"/>
    <n v="8"/>
    <n v="41"/>
    <n v="16"/>
    <n v="8"/>
    <n v="8"/>
    <n v="0"/>
    <n v="16"/>
    <n v="25"/>
    <n v="50"/>
    <n v="58"/>
    <n v="16"/>
    <n v="25"/>
    <n v="8"/>
    <n v="25"/>
    <n v="16"/>
    <n v="58"/>
    <n v="16"/>
    <n v="75"/>
    <n v="33"/>
    <n v="0"/>
    <n v="50"/>
    <n v="0"/>
    <n v="33"/>
    <n v="0"/>
    <n v="132.62"/>
    <n v="39638.160000000003"/>
    <n v="25573"/>
    <n v="21737.05"/>
    <n v="12786.5"/>
    <n v="28130.3"/>
    <n v="11500"/>
    <n v="7500"/>
    <n v="6497"/>
    <n v="8058"/>
    <n v="70082"/>
    <n v="53709"/>
    <n v="45010"/>
    <n v="28681"/>
    <n v="204000"/>
    <n v="253"/>
  </r>
  <r>
    <d v="2024-11-25T00:00:00"/>
    <x v="10"/>
    <n v="11"/>
    <n v="1210"/>
    <n v="797"/>
    <n v="544"/>
    <n v="545"/>
    <n v="121"/>
    <n v="382"/>
    <n v="312"/>
    <n v="103"/>
    <n v="330"/>
    <n v="262"/>
    <n v="90"/>
    <n v="37"/>
    <n v="15"/>
    <n v="252"/>
    <n v="156"/>
    <n v="36"/>
    <n v="32"/>
    <n v="0"/>
    <n v="79"/>
    <n v="7"/>
    <n v="47"/>
    <n v="7"/>
    <n v="79"/>
    <n v="63"/>
    <n v="23"/>
    <n v="15"/>
    <n v="47"/>
    <n v="0"/>
    <n v="0"/>
    <n v="31"/>
    <n v="0"/>
    <n v="15"/>
    <n v="7"/>
    <n v="79"/>
    <n v="15"/>
    <n v="23"/>
    <n v="23"/>
    <n v="7"/>
    <n v="15"/>
    <n v="7"/>
    <n v="0"/>
    <n v="23"/>
    <n v="55"/>
    <n v="31"/>
    <n v="7"/>
    <n v="46"/>
    <n v="23"/>
    <n v="23"/>
    <n v="0"/>
    <n v="137.85"/>
    <n v="45087.58"/>
    <n v="17239.37"/>
    <n v="25196"/>
    <n v="23869.89"/>
    <n v="21217.68"/>
    <n v="11500"/>
    <n v="7500"/>
    <n v="6497"/>
    <n v="8058"/>
    <n v="70082"/>
    <n v="53709"/>
    <n v="45010"/>
    <n v="28681"/>
    <n v="204000"/>
    <n v="5356"/>
  </r>
  <r>
    <d v="2024-11-26T00:00:00"/>
    <x v="10"/>
    <n v="11"/>
    <n v="1193"/>
    <n v="761"/>
    <n v="381"/>
    <n v="717"/>
    <n v="95"/>
    <n v="403"/>
    <n v="244"/>
    <n v="114"/>
    <n v="406"/>
    <n v="207"/>
    <n v="103"/>
    <n v="36"/>
    <n v="44"/>
    <n v="222"/>
    <n v="54"/>
    <n v="36"/>
    <n v="54"/>
    <n v="31"/>
    <n v="76"/>
    <n v="22"/>
    <n v="45"/>
    <n v="22"/>
    <n v="91"/>
    <n v="45"/>
    <n v="22"/>
    <n v="0"/>
    <n v="15"/>
    <n v="7"/>
    <n v="7"/>
    <n v="15"/>
    <n v="7"/>
    <n v="0"/>
    <n v="7"/>
    <n v="30"/>
    <n v="38"/>
    <n v="7"/>
    <n v="22"/>
    <n v="7"/>
    <n v="15"/>
    <n v="30"/>
    <n v="53"/>
    <n v="15"/>
    <n v="30"/>
    <n v="38"/>
    <n v="0"/>
    <n v="38"/>
    <n v="22"/>
    <n v="0"/>
    <n v="35"/>
    <n v="142.32999999999998"/>
    <n v="44113.66"/>
    <n v="34463.800000000003"/>
    <n v="19299.73"/>
    <n v="20678.28"/>
    <n v="19299.73"/>
    <n v="11500"/>
    <n v="7500"/>
    <n v="6497"/>
    <n v="8058"/>
    <n v="70082"/>
    <n v="53709"/>
    <n v="45010"/>
    <n v="28681"/>
    <n v="204000"/>
    <n v="7722"/>
  </r>
  <r>
    <d v="2024-11-27T00:00:00"/>
    <x v="10"/>
    <n v="11"/>
    <n v="1172"/>
    <n v="739"/>
    <n v="550"/>
    <n v="494"/>
    <n v="128"/>
    <n v="147"/>
    <n v="445"/>
    <n v="147"/>
    <n v="356"/>
    <n v="43"/>
    <n v="72"/>
    <n v="101"/>
    <n v="43"/>
    <n v="195"/>
    <n v="146"/>
    <n v="53"/>
    <n v="53"/>
    <n v="110"/>
    <n v="73"/>
    <n v="7"/>
    <n v="22"/>
    <n v="0"/>
    <n v="103"/>
    <n v="66"/>
    <n v="22"/>
    <n v="14"/>
    <n v="14"/>
    <n v="7"/>
    <n v="7"/>
    <n v="7"/>
    <n v="14"/>
    <n v="0"/>
    <n v="22"/>
    <n v="44"/>
    <n v="36"/>
    <n v="7"/>
    <n v="0"/>
    <n v="0"/>
    <n v="14"/>
    <n v="7"/>
    <n v="59"/>
    <n v="22"/>
    <n v="22"/>
    <n v="22"/>
    <n v="0"/>
    <n v="22"/>
    <n v="29"/>
    <n v="7"/>
    <n v="70"/>
    <n v="143.97"/>
    <n v="46966.91"/>
    <n v="19925.36"/>
    <n v="18502.12"/>
    <n v="22771.84"/>
    <n v="34157.75"/>
    <n v="11500"/>
    <n v="7500"/>
    <n v="6497"/>
    <n v="8058"/>
    <n v="70082"/>
    <n v="53709"/>
    <n v="45010"/>
    <n v="28681"/>
    <n v="204000"/>
    <n v="2936"/>
  </r>
  <r>
    <d v="2024-11-28T00:00:00"/>
    <x v="10"/>
    <n v="11"/>
    <n v="1146"/>
    <n v="712"/>
    <n v="263"/>
    <n v="826"/>
    <n v="57"/>
    <n v="213"/>
    <n v="321"/>
    <n v="178"/>
    <n v="241"/>
    <n v="206"/>
    <n v="63"/>
    <n v="85"/>
    <n v="56"/>
    <n v="195"/>
    <n v="65"/>
    <n v="60"/>
    <n v="30"/>
    <n v="145"/>
    <n v="28"/>
    <n v="7"/>
    <n v="35"/>
    <n v="7"/>
    <n v="59"/>
    <n v="64"/>
    <n v="0"/>
    <n v="21"/>
    <n v="28"/>
    <n v="14"/>
    <n v="0"/>
    <n v="35"/>
    <n v="21"/>
    <n v="21"/>
    <n v="14"/>
    <n v="35"/>
    <n v="49"/>
    <n v="28"/>
    <n v="14"/>
    <n v="7"/>
    <n v="14"/>
    <n v="14"/>
    <n v="78"/>
    <n v="7"/>
    <n v="21"/>
    <n v="21"/>
    <n v="7"/>
    <n v="21"/>
    <n v="28"/>
    <n v="14"/>
    <n v="0"/>
    <n v="143.97"/>
    <n v="38872.199999999997"/>
    <n v="21595.67"/>
    <n v="21595.67"/>
    <n v="31673.64"/>
    <n v="30233.93"/>
    <n v="11500"/>
    <n v="7500"/>
    <n v="6497"/>
    <n v="8058"/>
    <n v="70082"/>
    <n v="53709"/>
    <n v="45010"/>
    <n v="28681"/>
    <n v="204000"/>
    <n v="7635"/>
  </r>
  <r>
    <d v="2024-11-29T00:00:00"/>
    <x v="10"/>
    <n v="11"/>
    <n v="1123"/>
    <n v="697"/>
    <n v="404"/>
    <n v="596"/>
    <n v="123"/>
    <n v="285"/>
    <n v="350"/>
    <n v="62"/>
    <n v="316"/>
    <n v="222"/>
    <n v="62"/>
    <n v="90"/>
    <n v="69"/>
    <n v="221"/>
    <n v="46"/>
    <n v="46"/>
    <n v="51"/>
    <n v="0"/>
    <n v="76"/>
    <n v="0"/>
    <n v="48"/>
    <n v="13"/>
    <n v="76"/>
    <n v="55"/>
    <n v="6"/>
    <n v="0"/>
    <n v="34"/>
    <n v="20"/>
    <n v="0"/>
    <n v="13"/>
    <n v="6"/>
    <n v="13"/>
    <n v="6"/>
    <n v="27"/>
    <n v="20"/>
    <n v="27"/>
    <n v="6"/>
    <n v="6"/>
    <n v="27"/>
    <n v="20"/>
    <n v="69"/>
    <n v="13"/>
    <n v="27"/>
    <n v="20"/>
    <n v="6"/>
    <n v="13"/>
    <n v="13"/>
    <n v="6"/>
    <n v="31"/>
    <n v="140"/>
    <n v="43191.33"/>
    <n v="28794.22"/>
    <n v="24475.09"/>
    <n v="34553.07"/>
    <n v="12957.4"/>
    <n v="11500"/>
    <n v="7500"/>
    <n v="5935"/>
    <n v="8058"/>
    <n v="70082"/>
    <n v="53709"/>
    <n v="45010"/>
    <n v="28681"/>
    <n v="204000"/>
    <n v="6185"/>
  </r>
  <r>
    <d v="2024-11-30T00:00:00"/>
    <x v="10"/>
    <n v="11"/>
    <n v="1105"/>
    <n v="684"/>
    <n v="265"/>
    <n v="564"/>
    <n v="276"/>
    <n v="259"/>
    <n v="275"/>
    <n v="150"/>
    <n v="267"/>
    <n v="239"/>
    <n v="89"/>
    <n v="89"/>
    <n v="27"/>
    <n v="197"/>
    <n v="46"/>
    <n v="62"/>
    <n v="58"/>
    <n v="31"/>
    <n v="88"/>
    <n v="0"/>
    <n v="47"/>
    <n v="13"/>
    <n v="61"/>
    <n v="47"/>
    <n v="20"/>
    <n v="6"/>
    <n v="20"/>
    <n v="20"/>
    <n v="6"/>
    <n v="20"/>
    <n v="6"/>
    <n v="0"/>
    <n v="20"/>
    <n v="61"/>
    <n v="47"/>
    <n v="34"/>
    <n v="13"/>
    <n v="6"/>
    <n v="20"/>
    <n v="20"/>
    <n v="0"/>
    <n v="13"/>
    <n v="43"/>
    <n v="20"/>
    <n v="0"/>
    <n v="13"/>
    <n v="20"/>
    <n v="0"/>
    <n v="0"/>
    <n v="140.86000000000001"/>
    <n v="39200"/>
    <n v="22400"/>
    <n v="16800"/>
    <n v="19600"/>
    <n v="42000"/>
    <n v="11500"/>
    <n v="7500"/>
    <n v="5935"/>
    <n v="8058"/>
    <n v="70082"/>
    <n v="53709"/>
    <n v="45010"/>
    <n v="28681"/>
    <n v="204000"/>
    <n v="1557"/>
  </r>
  <r>
    <d v="2024-12-01T00:00:00"/>
    <x v="11"/>
    <n v="12"/>
    <n v="1195"/>
    <n v="678"/>
    <n v="394"/>
    <n v="718"/>
    <n v="83"/>
    <n v="196"/>
    <n v="313"/>
    <n v="169"/>
    <n v="370"/>
    <n v="133"/>
    <n v="59"/>
    <n v="51"/>
    <n v="14"/>
    <n v="181"/>
    <n v="95"/>
    <n v="45"/>
    <n v="36"/>
    <n v="211"/>
    <n v="47"/>
    <n v="6"/>
    <n v="27"/>
    <n v="20"/>
    <n v="101"/>
    <n v="54"/>
    <n v="0"/>
    <n v="20"/>
    <n v="33"/>
    <n v="13"/>
    <n v="6"/>
    <n v="13"/>
    <n v="6"/>
    <n v="20"/>
    <n v="0"/>
    <n v="47"/>
    <n v="40"/>
    <n v="13"/>
    <n v="6"/>
    <n v="0"/>
    <n v="0"/>
    <n v="27"/>
    <n v="54"/>
    <n v="20"/>
    <n v="27"/>
    <n v="6"/>
    <n v="6"/>
    <n v="33"/>
    <n v="0"/>
    <n v="13"/>
    <n v="20"/>
    <n v="140"/>
    <n v="40852"/>
    <n v="33808.550000000003"/>
    <n v="28173.79"/>
    <n v="21130.34"/>
    <n v="16904.27"/>
    <n v="11500"/>
    <n v="6250"/>
    <n v="5935"/>
    <n v="8058"/>
    <n v="75603"/>
    <n v="63201"/>
    <n v="55501"/>
    <n v="30000"/>
    <n v="230000"/>
    <n v="6812"/>
  </r>
  <r>
    <d v="2024-12-02T00:00:00"/>
    <x v="11"/>
    <n v="12"/>
    <n v="1194"/>
    <n v="675"/>
    <n v="501"/>
    <n v="455"/>
    <n v="238"/>
    <n v="202"/>
    <n v="419"/>
    <n v="54"/>
    <n v="266"/>
    <n v="44"/>
    <n v="66"/>
    <n v="44"/>
    <n v="66"/>
    <n v="154"/>
    <n v="31"/>
    <n v="31"/>
    <n v="40"/>
    <n v="452"/>
    <n v="94"/>
    <n v="6"/>
    <n v="40"/>
    <n v="6"/>
    <n v="19"/>
    <n v="54"/>
    <n v="13"/>
    <n v="13"/>
    <n v="27"/>
    <n v="20"/>
    <n v="0"/>
    <n v="33"/>
    <n v="6"/>
    <n v="6"/>
    <n v="13"/>
    <n v="54"/>
    <n v="40"/>
    <n v="13"/>
    <n v="20"/>
    <n v="0"/>
    <n v="13"/>
    <n v="6"/>
    <n v="54"/>
    <n v="13"/>
    <n v="40"/>
    <n v="6"/>
    <n v="6"/>
    <n v="40"/>
    <n v="0"/>
    <n v="20"/>
    <n v="0"/>
    <n v="154.33000000000001"/>
    <n v="39200"/>
    <n v="22400"/>
    <n v="16800"/>
    <n v="19600"/>
    <n v="42000"/>
    <n v="11500"/>
    <n v="6250"/>
    <n v="5935"/>
    <n v="8058"/>
    <n v="75603"/>
    <n v="63201"/>
    <n v="55501"/>
    <n v="30000"/>
    <n v="230000"/>
    <n v="6198"/>
  </r>
  <r>
    <d v="2024-12-03T00:00:00"/>
    <x v="11"/>
    <n v="12"/>
    <n v="1201"/>
    <n v="674"/>
    <n v="300"/>
    <n v="673"/>
    <n v="228"/>
    <n v="215"/>
    <n v="406"/>
    <n v="53"/>
    <n v="260"/>
    <n v="186"/>
    <n v="104"/>
    <n v="104"/>
    <n v="44"/>
    <n v="219"/>
    <n v="59"/>
    <n v="63"/>
    <n v="31"/>
    <n v="131"/>
    <n v="47"/>
    <n v="6"/>
    <n v="33"/>
    <n v="20"/>
    <n v="95"/>
    <n v="47"/>
    <n v="0"/>
    <n v="6"/>
    <n v="20"/>
    <n v="20"/>
    <n v="6"/>
    <n v="13"/>
    <n v="13"/>
    <n v="0"/>
    <n v="13"/>
    <n v="67"/>
    <n v="26"/>
    <n v="20"/>
    <n v="6"/>
    <n v="6"/>
    <n v="0"/>
    <n v="6"/>
    <n v="60"/>
    <n v="6"/>
    <n v="26"/>
    <n v="13"/>
    <n v="0"/>
    <n v="47"/>
    <n v="26"/>
    <n v="26"/>
    <n v="0"/>
    <n v="170.36"/>
    <n v="49384.800000000003"/>
    <n v="33952.050000000003"/>
    <n v="30865.5"/>
    <n v="13889.47"/>
    <n v="26235.67"/>
    <n v="11500"/>
    <n v="6250"/>
    <n v="5935"/>
    <n v="8058"/>
    <n v="75603"/>
    <n v="63201"/>
    <n v="55501"/>
    <n v="30000"/>
    <n v="230000"/>
    <n v="3350"/>
  </r>
  <r>
    <d v="2024-12-04T00:00:00"/>
    <x v="11"/>
    <n v="12"/>
    <n v="1221"/>
    <n v="683"/>
    <n v="415"/>
    <n v="611"/>
    <n v="195"/>
    <n v="300"/>
    <n v="336"/>
    <n v="47"/>
    <n v="416"/>
    <n v="128"/>
    <n v="90"/>
    <n v="45"/>
    <n v="45"/>
    <n v="255"/>
    <n v="125"/>
    <n v="37"/>
    <n v="46"/>
    <n v="34"/>
    <n v="88"/>
    <n v="13"/>
    <n v="47"/>
    <n v="6"/>
    <n v="54"/>
    <n v="47"/>
    <n v="6"/>
    <n v="0"/>
    <n v="27"/>
    <n v="6"/>
    <n v="0"/>
    <n v="13"/>
    <n v="20"/>
    <n v="6"/>
    <n v="13"/>
    <n v="68"/>
    <n v="27"/>
    <n v="34"/>
    <n v="6"/>
    <n v="6"/>
    <n v="20"/>
    <n v="20"/>
    <n v="47"/>
    <n v="6"/>
    <n v="34"/>
    <n v="13"/>
    <n v="0"/>
    <n v="34"/>
    <n v="13"/>
    <n v="0"/>
    <n v="9"/>
    <n v="183.64000000000001"/>
    <n v="56219.55"/>
    <n v="22147.1"/>
    <n v="25554.34"/>
    <n v="27257.96"/>
    <n v="39183.32"/>
    <n v="11500"/>
    <n v="6250"/>
    <n v="5935"/>
    <n v="8058"/>
    <n v="75603"/>
    <n v="63201"/>
    <n v="55501"/>
    <n v="30000"/>
    <n v="230000"/>
    <n v="4118"/>
  </r>
  <r>
    <d v="2024-12-05T00:00:00"/>
    <x v="11"/>
    <n v="12"/>
    <n v="1247"/>
    <n v="704"/>
    <n v="498"/>
    <n v="538"/>
    <n v="211"/>
    <n v="183"/>
    <n v="430"/>
    <n v="91"/>
    <n v="425"/>
    <n v="108"/>
    <n v="100"/>
    <n v="92"/>
    <n v="69"/>
    <n v="175"/>
    <n v="28"/>
    <n v="61"/>
    <n v="47"/>
    <n v="142"/>
    <n v="28"/>
    <n v="14"/>
    <n v="42"/>
    <n v="21"/>
    <n v="95"/>
    <n v="56"/>
    <n v="0"/>
    <n v="0"/>
    <n v="28"/>
    <n v="21"/>
    <n v="7"/>
    <n v="7"/>
    <n v="7"/>
    <n v="21"/>
    <n v="0"/>
    <n v="63"/>
    <n v="21"/>
    <n v="28"/>
    <n v="0"/>
    <n v="7"/>
    <n v="14"/>
    <n v="14"/>
    <n v="56"/>
    <n v="14"/>
    <n v="56"/>
    <n v="21"/>
    <n v="7"/>
    <n v="49"/>
    <n v="0"/>
    <n v="7"/>
    <n v="0"/>
    <n v="192.08"/>
    <n v="49585.39"/>
    <n v="23874.45"/>
    <n v="31220.43"/>
    <n v="18364.96"/>
    <n v="60604.36"/>
    <n v="11500"/>
    <n v="6250"/>
    <n v="5935"/>
    <n v="8058"/>
    <n v="75603"/>
    <n v="63201"/>
    <n v="55501"/>
    <n v="30000"/>
    <n v="230000"/>
    <n v="3479"/>
  </r>
  <r>
    <d v="2024-12-06T00:00:00"/>
    <x v="11"/>
    <n v="12"/>
    <n v="1256"/>
    <n v="734"/>
    <n v="401"/>
    <n v="642"/>
    <n v="213"/>
    <n v="337"/>
    <n v="251"/>
    <n v="146"/>
    <n v="400"/>
    <n v="225"/>
    <n v="109"/>
    <n v="116"/>
    <n v="70"/>
    <n v="195"/>
    <n v="66"/>
    <n v="52"/>
    <n v="23"/>
    <n v="0"/>
    <n v="36"/>
    <n v="7"/>
    <n v="51"/>
    <n v="22"/>
    <n v="3"/>
    <n v="58"/>
    <n v="14"/>
    <n v="22"/>
    <n v="36"/>
    <n v="14"/>
    <n v="7"/>
    <n v="36"/>
    <n v="0"/>
    <n v="22"/>
    <n v="14"/>
    <n v="58"/>
    <n v="44"/>
    <n v="29"/>
    <n v="22"/>
    <n v="7"/>
    <n v="0"/>
    <n v="7"/>
    <n v="80"/>
    <n v="22"/>
    <n v="29"/>
    <n v="7"/>
    <n v="7"/>
    <n v="44"/>
    <n v="29"/>
    <n v="7"/>
    <n v="0"/>
    <n v="194.26000000000002"/>
    <n v="51863.51"/>
    <n v="30733.93"/>
    <n v="48021.77"/>
    <n v="46100.9"/>
    <n v="15366.97"/>
    <n v="11500"/>
    <n v="6250"/>
    <n v="4578"/>
    <n v="8058"/>
    <n v="75603"/>
    <n v="63201"/>
    <n v="55501"/>
    <n v="30000"/>
    <n v="230000"/>
    <n v="850"/>
  </r>
  <r>
    <d v="2024-12-07T00:00:00"/>
    <x v="11"/>
    <n v="12"/>
    <n v="1258"/>
    <n v="767"/>
    <n v="490"/>
    <n v="655"/>
    <n v="113"/>
    <n v="322"/>
    <n v="376"/>
    <n v="69"/>
    <n v="280"/>
    <n v="179"/>
    <n v="77"/>
    <n v="77"/>
    <n v="46"/>
    <n v="210"/>
    <n v="57"/>
    <n v="47"/>
    <n v="33"/>
    <n v="252"/>
    <n v="69"/>
    <n v="23"/>
    <n v="46"/>
    <n v="15"/>
    <n v="122"/>
    <n v="38"/>
    <n v="23"/>
    <n v="23"/>
    <n v="15"/>
    <n v="7"/>
    <n v="7"/>
    <n v="15"/>
    <n v="0"/>
    <n v="7"/>
    <n v="0"/>
    <n v="76"/>
    <n v="7"/>
    <n v="15"/>
    <n v="15"/>
    <n v="0"/>
    <n v="15"/>
    <n v="7"/>
    <n v="76"/>
    <n v="7"/>
    <n v="61"/>
    <n v="23"/>
    <n v="0"/>
    <n v="7"/>
    <n v="15"/>
    <n v="30"/>
    <n v="3"/>
    <n v="195.73999999999998"/>
    <n v="60223.54"/>
    <n v="44681.98"/>
    <n v="44681.98"/>
    <n v="22681.98"/>
    <n v="22000"/>
    <n v="11500"/>
    <n v="6250"/>
    <n v="4578"/>
    <n v="8058"/>
    <n v="75603"/>
    <n v="63201"/>
    <n v="55501"/>
    <n v="30000"/>
    <n v="230000"/>
    <n v="2367"/>
  </r>
  <r>
    <d v="2024-12-08T00:00:00"/>
    <x v="11"/>
    <n v="12"/>
    <n v="1250"/>
    <n v="799"/>
    <n v="350"/>
    <n v="588"/>
    <n v="312"/>
    <n v="207"/>
    <n v="441"/>
    <n v="151"/>
    <n v="410"/>
    <n v="139"/>
    <n v="69"/>
    <n v="46"/>
    <n v="54"/>
    <n v="166"/>
    <n v="61"/>
    <n v="61"/>
    <n v="52"/>
    <n v="192"/>
    <n v="71"/>
    <n v="15"/>
    <n v="55"/>
    <n v="7"/>
    <n v="71"/>
    <n v="39"/>
    <n v="7"/>
    <n v="7"/>
    <n v="39"/>
    <n v="0"/>
    <n v="7"/>
    <n v="7"/>
    <n v="0"/>
    <n v="0"/>
    <n v="7"/>
    <n v="63"/>
    <n v="23"/>
    <n v="7"/>
    <n v="0"/>
    <n v="7"/>
    <n v="7"/>
    <n v="31"/>
    <n v="63"/>
    <n v="7"/>
    <n v="71"/>
    <n v="7"/>
    <n v="0"/>
    <n v="15"/>
    <n v="31"/>
    <n v="7"/>
    <n v="128"/>
    <n v="186.88"/>
    <n v="50891.62"/>
    <n v="41104.769999999997"/>
    <n v="25445.81"/>
    <n v="31317.919999999998"/>
    <n v="46976.88"/>
    <n v="11500"/>
    <n v="6250"/>
    <n v="4578"/>
    <n v="8058"/>
    <n v="75603"/>
    <n v="63201"/>
    <n v="55501"/>
    <n v="30000"/>
    <n v="230000"/>
    <n v="3996"/>
  </r>
  <r>
    <d v="2024-12-09T00:00:00"/>
    <x v="11"/>
    <n v="12"/>
    <n v="1239"/>
    <n v="812"/>
    <n v="656"/>
    <n v="472"/>
    <n v="111"/>
    <n v="259"/>
    <n v="497"/>
    <n v="56"/>
    <n v="376"/>
    <n v="238"/>
    <n v="99"/>
    <n v="46"/>
    <n v="15"/>
    <n v="230"/>
    <n v="37"/>
    <n v="47"/>
    <n v="32"/>
    <n v="119"/>
    <n v="81"/>
    <n v="0"/>
    <n v="48"/>
    <n v="16"/>
    <n v="31"/>
    <n v="73"/>
    <n v="16"/>
    <n v="8"/>
    <n v="16"/>
    <n v="0"/>
    <n v="0"/>
    <n v="40"/>
    <n v="16"/>
    <n v="8"/>
    <n v="24"/>
    <n v="81"/>
    <n v="8"/>
    <n v="16"/>
    <n v="16"/>
    <n v="8"/>
    <n v="0"/>
    <n v="24"/>
    <n v="89"/>
    <n v="16"/>
    <n v="73"/>
    <n v="32"/>
    <n v="8"/>
    <n v="32"/>
    <n v="0"/>
    <n v="32"/>
    <n v="0"/>
    <n v="166.23000000000002"/>
    <n v="63539.67"/>
    <n v="24294.58"/>
    <n v="37376.28"/>
    <n v="28032.21"/>
    <n v="33638.65"/>
    <n v="11500"/>
    <n v="6250"/>
    <n v="4578"/>
    <n v="8058"/>
    <n v="75603"/>
    <n v="63201"/>
    <n v="55501"/>
    <n v="30000"/>
    <n v="230000"/>
    <n v="1143"/>
  </r>
  <r>
    <d v="2024-12-10T00:00:00"/>
    <x v="11"/>
    <n v="12"/>
    <n v="1214"/>
    <n v="814"/>
    <n v="607"/>
    <n v="316"/>
    <n v="291"/>
    <n v="301"/>
    <n v="440"/>
    <n v="73"/>
    <n v="368"/>
    <n v="105"/>
    <n v="105"/>
    <n v="45"/>
    <n v="30"/>
    <n v="221"/>
    <n v="133"/>
    <n v="32"/>
    <n v="32"/>
    <n v="143"/>
    <n v="97"/>
    <n v="0"/>
    <n v="32"/>
    <n v="0"/>
    <n v="81"/>
    <n v="40"/>
    <n v="16"/>
    <n v="0"/>
    <n v="16"/>
    <n v="8"/>
    <n v="8"/>
    <n v="24"/>
    <n v="0"/>
    <n v="16"/>
    <n v="8"/>
    <n v="32"/>
    <n v="32"/>
    <n v="40"/>
    <n v="0"/>
    <n v="0"/>
    <n v="32"/>
    <n v="16"/>
    <n v="81"/>
    <n v="24"/>
    <n v="48"/>
    <n v="32"/>
    <n v="8"/>
    <n v="16"/>
    <n v="32"/>
    <n v="32"/>
    <n v="43"/>
    <n v="153.87"/>
    <n v="44881.04"/>
    <n v="33245.22"/>
    <n v="29920.69"/>
    <n v="34907.480000000003"/>
    <n v="23271.65"/>
    <n v="11500"/>
    <n v="6250"/>
    <n v="4578"/>
    <n v="8058"/>
    <n v="75603"/>
    <n v="63201"/>
    <n v="55501"/>
    <n v="30000"/>
    <n v="230000"/>
    <n v="7336"/>
  </r>
  <r>
    <d v="2024-12-11T00:00:00"/>
    <x v="11"/>
    <n v="12"/>
    <n v="1190"/>
    <n v="808"/>
    <n v="523"/>
    <n v="382"/>
    <n v="285"/>
    <n v="404"/>
    <n v="235"/>
    <n v="169"/>
    <n v="250"/>
    <n v="51"/>
    <n v="88"/>
    <n v="59"/>
    <n v="29"/>
    <n v="180"/>
    <n v="45"/>
    <n v="54"/>
    <n v="54"/>
    <n v="380"/>
    <n v="56"/>
    <n v="0"/>
    <n v="48"/>
    <n v="16"/>
    <n v="80"/>
    <n v="48"/>
    <n v="24"/>
    <n v="16"/>
    <n v="48"/>
    <n v="0"/>
    <n v="0"/>
    <n v="32"/>
    <n v="8"/>
    <n v="0"/>
    <n v="16"/>
    <n v="56"/>
    <n v="32"/>
    <n v="32"/>
    <n v="24"/>
    <n v="0"/>
    <n v="24"/>
    <n v="8"/>
    <n v="64"/>
    <n v="16"/>
    <n v="72"/>
    <n v="8"/>
    <n v="8"/>
    <n v="16"/>
    <n v="32"/>
    <n v="24"/>
    <n v="0"/>
    <n v="147.72"/>
    <n v="46159.11"/>
    <n v="20002.28"/>
    <n v="35388.65"/>
    <n v="35388.65"/>
    <n v="16925.009999999998"/>
    <n v="11500"/>
    <n v="6250"/>
    <n v="4578"/>
    <n v="8058"/>
    <n v="75603"/>
    <n v="63201"/>
    <n v="55501"/>
    <n v="30000"/>
    <n v="230000"/>
    <n v="684"/>
  </r>
  <r>
    <d v="2024-12-12T00:00:00"/>
    <x v="11"/>
    <n v="12"/>
    <n v="1167"/>
    <n v="790"/>
    <n v="291"/>
    <n v="783"/>
    <n v="93"/>
    <n v="229"/>
    <n v="514"/>
    <n v="47"/>
    <n v="253"/>
    <n v="50"/>
    <n v="86"/>
    <n v="86"/>
    <n v="28"/>
    <n v="208"/>
    <n v="22"/>
    <n v="48"/>
    <n v="39"/>
    <n v="347"/>
    <n v="79"/>
    <n v="23"/>
    <n v="47"/>
    <n v="0"/>
    <n v="110"/>
    <n v="47"/>
    <n v="0"/>
    <n v="7"/>
    <n v="15"/>
    <n v="15"/>
    <n v="0"/>
    <n v="39"/>
    <n v="15"/>
    <n v="23"/>
    <n v="7"/>
    <n v="55"/>
    <n v="39"/>
    <n v="23"/>
    <n v="0"/>
    <n v="0"/>
    <n v="7"/>
    <n v="7"/>
    <n v="79"/>
    <n v="7"/>
    <n v="47"/>
    <n v="31"/>
    <n v="7"/>
    <n v="7"/>
    <n v="0"/>
    <n v="31"/>
    <n v="23"/>
    <n v="147.72999999999999"/>
    <n v="36933.129999999997"/>
    <n v="25114.53"/>
    <n v="36933.129999999997"/>
    <n v="11818.6"/>
    <n v="36933.129999999997"/>
    <n v="11500"/>
    <n v="6250"/>
    <n v="4578"/>
    <n v="8058"/>
    <n v="75603"/>
    <n v="63201"/>
    <n v="55501"/>
    <n v="30000"/>
    <n v="230000"/>
    <n v="7382"/>
  </r>
  <r>
    <d v="2024-12-13T00:00:00"/>
    <x v="11"/>
    <n v="12"/>
    <n v="1155"/>
    <n v="763"/>
    <n v="600"/>
    <n v="394"/>
    <n v="161"/>
    <n v="373"/>
    <n v="223"/>
    <n v="167"/>
    <n v="300"/>
    <n v="157"/>
    <n v="71"/>
    <n v="50"/>
    <n v="71"/>
    <n v="237"/>
    <n v="109"/>
    <n v="65"/>
    <n v="61"/>
    <n v="34"/>
    <n v="53"/>
    <n v="7"/>
    <n v="22"/>
    <n v="7"/>
    <n v="45"/>
    <n v="53"/>
    <n v="15"/>
    <n v="0"/>
    <n v="30"/>
    <n v="22"/>
    <n v="0"/>
    <n v="7"/>
    <n v="22"/>
    <n v="0"/>
    <n v="7"/>
    <n v="45"/>
    <n v="15"/>
    <n v="7"/>
    <n v="0"/>
    <n v="7"/>
    <n v="22"/>
    <n v="22"/>
    <n v="83"/>
    <n v="22"/>
    <n v="68"/>
    <n v="30"/>
    <n v="7"/>
    <n v="45"/>
    <n v="30"/>
    <n v="0"/>
    <n v="70"/>
    <n v="150.69"/>
    <n v="48751.73"/>
    <n v="20682.55"/>
    <n v="28069.18"/>
    <n v="35455.800000000003"/>
    <n v="14773.25"/>
    <n v="11500"/>
    <n v="6250"/>
    <n v="4578"/>
    <n v="8058"/>
    <n v="75603"/>
    <n v="63201"/>
    <n v="55501"/>
    <n v="30000"/>
    <n v="230000"/>
    <n v="2106"/>
  </r>
  <r>
    <d v="2024-12-14T00:00:00"/>
    <x v="11"/>
    <n v="12"/>
    <n v="1148"/>
    <n v="733"/>
    <n v="287"/>
    <n v="735"/>
    <n v="126"/>
    <n v="146"/>
    <n v="536"/>
    <n v="51"/>
    <n v="306"/>
    <n v="241"/>
    <n v="99"/>
    <n v="49"/>
    <n v="71"/>
    <n v="157"/>
    <n v="34"/>
    <n v="30"/>
    <n v="56"/>
    <n v="105"/>
    <n v="95"/>
    <n v="21"/>
    <n v="51"/>
    <n v="14"/>
    <n v="1"/>
    <n v="65"/>
    <n v="0"/>
    <n v="21"/>
    <n v="14"/>
    <n v="21"/>
    <n v="0"/>
    <n v="36"/>
    <n v="7"/>
    <n v="21"/>
    <n v="14"/>
    <n v="43"/>
    <n v="36"/>
    <n v="36"/>
    <n v="14"/>
    <n v="7"/>
    <n v="0"/>
    <n v="7"/>
    <n v="51"/>
    <n v="7"/>
    <n v="65"/>
    <n v="36"/>
    <n v="7"/>
    <n v="43"/>
    <n v="0"/>
    <n v="0"/>
    <n v="0"/>
    <n v="156.73999999999998"/>
    <n v="45211.24"/>
    <n v="30140.83"/>
    <n v="24112.66"/>
    <n v="18084.5"/>
    <n v="33154.910000000003"/>
    <n v="11500"/>
    <n v="6250"/>
    <n v="4578"/>
    <n v="8058"/>
    <n v="75603"/>
    <n v="63201"/>
    <n v="55501"/>
    <n v="30000"/>
    <n v="230000"/>
    <n v="7702"/>
  </r>
  <r>
    <d v="2024-12-15T00:00:00"/>
    <x v="11"/>
    <n v="12"/>
    <n v="1151"/>
    <n v="717"/>
    <n v="460"/>
    <n v="622"/>
    <n v="69"/>
    <n v="272"/>
    <n v="402"/>
    <n v="43"/>
    <n v="349"/>
    <n v="57"/>
    <n v="85"/>
    <n v="99"/>
    <n v="64"/>
    <n v="240"/>
    <n v="148"/>
    <n v="56"/>
    <n v="21"/>
    <n v="32"/>
    <n v="64"/>
    <n v="21"/>
    <n v="35"/>
    <n v="0"/>
    <n v="78"/>
    <n v="64"/>
    <n v="14"/>
    <n v="21"/>
    <n v="43"/>
    <n v="21"/>
    <n v="7"/>
    <n v="7"/>
    <n v="7"/>
    <n v="0"/>
    <n v="7"/>
    <n v="35"/>
    <n v="7"/>
    <n v="21"/>
    <n v="7"/>
    <n v="0"/>
    <n v="21"/>
    <n v="21"/>
    <n v="57"/>
    <n v="21"/>
    <n v="28"/>
    <n v="7"/>
    <n v="7"/>
    <n v="7"/>
    <n v="21"/>
    <n v="14"/>
    <n v="54"/>
    <n v="166.06"/>
    <n v="40751.89"/>
    <n v="34482.370000000003"/>
    <n v="26645.47"/>
    <n v="29780.23"/>
    <n v="25078.09"/>
    <n v="8000"/>
    <n v="6250"/>
    <n v="4578"/>
    <n v="7058"/>
    <n v="75603"/>
    <n v="63201"/>
    <n v="55501"/>
    <n v="30000"/>
    <n v="230000"/>
    <n v="6147"/>
  </r>
  <r>
    <d v="2024-12-16T00:00:00"/>
    <x v="11"/>
    <n v="12"/>
    <n v="1172"/>
    <n v="713"/>
    <n v="257"/>
    <n v="833"/>
    <n v="82"/>
    <n v="292"/>
    <n v="329"/>
    <n v="92"/>
    <n v="247"/>
    <n v="247"/>
    <n v="87"/>
    <n v="43"/>
    <n v="50"/>
    <n v="213"/>
    <n v="84"/>
    <n v="48"/>
    <n v="57"/>
    <n v="96"/>
    <n v="28"/>
    <n v="21"/>
    <n v="35"/>
    <n v="21"/>
    <n v="71"/>
    <n v="57"/>
    <n v="14"/>
    <n v="7"/>
    <n v="14"/>
    <n v="7"/>
    <n v="7"/>
    <n v="14"/>
    <n v="21"/>
    <n v="0"/>
    <n v="14"/>
    <n v="35"/>
    <n v="49"/>
    <n v="28"/>
    <n v="0"/>
    <n v="0"/>
    <n v="7"/>
    <n v="14"/>
    <n v="71"/>
    <n v="14"/>
    <n v="57"/>
    <n v="7"/>
    <n v="7"/>
    <n v="21"/>
    <n v="7"/>
    <n v="28"/>
    <n v="37"/>
    <n v="179.05"/>
    <n v="46497.47"/>
    <n v="26569.99"/>
    <n v="24909.360000000001"/>
    <n v="34873.11"/>
    <n v="33212.480000000003"/>
    <n v="8000"/>
    <n v="6250"/>
    <n v="4578"/>
    <n v="7058"/>
    <n v="75603"/>
    <n v="63201"/>
    <n v="55501"/>
    <n v="30000"/>
    <n v="230000"/>
    <n v="8342"/>
  </r>
  <r>
    <d v="2024-12-17T00:00:00"/>
    <x v="11"/>
    <n v="12"/>
    <n v="1191"/>
    <n v="714"/>
    <n v="357"/>
    <n v="763"/>
    <n v="71"/>
    <n v="292"/>
    <n v="337"/>
    <n v="85"/>
    <n v="280"/>
    <n v="162"/>
    <n v="103"/>
    <n v="110"/>
    <n v="59"/>
    <n v="248"/>
    <n v="99"/>
    <n v="31"/>
    <n v="54"/>
    <n v="45"/>
    <n v="49"/>
    <n v="21"/>
    <n v="49"/>
    <n v="7"/>
    <n v="49"/>
    <n v="42"/>
    <n v="0"/>
    <n v="21"/>
    <n v="35"/>
    <n v="21"/>
    <n v="0"/>
    <n v="21"/>
    <n v="0"/>
    <n v="7"/>
    <n v="14"/>
    <n v="28"/>
    <n v="35"/>
    <n v="35"/>
    <n v="7"/>
    <n v="0"/>
    <n v="14"/>
    <n v="14"/>
    <n v="71"/>
    <n v="21"/>
    <n v="42"/>
    <n v="14"/>
    <n v="0"/>
    <n v="28"/>
    <n v="21"/>
    <n v="7"/>
    <n v="41"/>
    <n v="197.61"/>
    <n v="46553.14"/>
    <n v="23276.57"/>
    <n v="41181.620000000003"/>
    <n v="41181.620000000003"/>
    <n v="26857.58"/>
    <n v="8000"/>
    <n v="6250"/>
    <n v="3353"/>
    <n v="7058"/>
    <n v="75603"/>
    <n v="63201"/>
    <n v="55501"/>
    <n v="30000"/>
    <n v="230000"/>
    <n v="1640"/>
  </r>
  <r>
    <d v="2024-12-18T00:00:00"/>
    <x v="11"/>
    <n v="12"/>
    <n v="1194"/>
    <n v="719"/>
    <n v="489"/>
    <n v="562"/>
    <n v="143"/>
    <n v="309"/>
    <n v="231"/>
    <n v="179"/>
    <n v="355"/>
    <n v="103"/>
    <n v="66"/>
    <n v="103"/>
    <n v="66"/>
    <n v="172"/>
    <n v="40"/>
    <n v="40"/>
    <n v="49"/>
    <n v="200"/>
    <n v="100"/>
    <n v="21"/>
    <n v="28"/>
    <n v="7"/>
    <n v="19"/>
    <n v="50"/>
    <n v="14"/>
    <n v="14"/>
    <n v="28"/>
    <n v="14"/>
    <n v="7"/>
    <n v="21"/>
    <n v="7"/>
    <n v="21"/>
    <n v="7"/>
    <n v="57"/>
    <n v="43"/>
    <n v="7"/>
    <n v="21"/>
    <n v="7"/>
    <n v="0"/>
    <n v="7"/>
    <n v="57"/>
    <n v="14"/>
    <n v="43"/>
    <n v="35"/>
    <n v="7"/>
    <n v="14"/>
    <n v="28"/>
    <n v="21"/>
    <n v="0"/>
    <n v="217.60000000000002"/>
    <n v="67187.48"/>
    <n v="47426.46"/>
    <n v="23713.23"/>
    <n v="15808.82"/>
    <n v="43474.25"/>
    <n v="8000"/>
    <n v="6250"/>
    <n v="3353"/>
    <n v="7058"/>
    <n v="75603"/>
    <n v="63201"/>
    <n v="55501"/>
    <n v="30000"/>
    <n v="230000"/>
    <n v="4728"/>
  </r>
  <r>
    <d v="2024-12-19T00:00:00"/>
    <x v="11"/>
    <n v="12"/>
    <n v="1188"/>
    <n v="731"/>
    <n v="237"/>
    <n v="690"/>
    <n v="261"/>
    <n v="168"/>
    <n v="432"/>
    <n v="131"/>
    <n v="294"/>
    <n v="58"/>
    <n v="95"/>
    <n v="36"/>
    <n v="51"/>
    <n v="185"/>
    <n v="121"/>
    <n v="49"/>
    <n v="40"/>
    <n v="259"/>
    <n v="51"/>
    <n v="21"/>
    <n v="43"/>
    <n v="0"/>
    <n v="109"/>
    <n v="36"/>
    <n v="21"/>
    <n v="0"/>
    <n v="14"/>
    <n v="0"/>
    <n v="7"/>
    <n v="21"/>
    <n v="0"/>
    <n v="0"/>
    <n v="21"/>
    <n v="43"/>
    <n v="14"/>
    <n v="14"/>
    <n v="7"/>
    <n v="0"/>
    <n v="0"/>
    <n v="29"/>
    <n v="51"/>
    <n v="14"/>
    <n v="43"/>
    <n v="29"/>
    <n v="0"/>
    <n v="14"/>
    <n v="21"/>
    <n v="0"/>
    <n v="108"/>
    <n v="239.09"/>
    <n v="67456.13"/>
    <n v="52224.1"/>
    <n v="50048.1"/>
    <n v="27872.1"/>
    <n v="20000"/>
    <n v="8000"/>
    <n v="6250"/>
    <n v="3353"/>
    <n v="7058"/>
    <n v="75603"/>
    <n v="63201"/>
    <n v="55501"/>
    <n v="30000"/>
    <n v="230000"/>
    <n v="1750"/>
  </r>
  <r>
    <d v="2024-12-20T00:00:00"/>
    <x v="11"/>
    <n v="12"/>
    <n v="1173"/>
    <n v="754"/>
    <n v="492"/>
    <n v="517"/>
    <n v="164"/>
    <n v="286"/>
    <n v="333"/>
    <n v="135"/>
    <n v="378"/>
    <n v="232"/>
    <n v="94"/>
    <n v="43"/>
    <n v="50"/>
    <n v="151"/>
    <n v="115"/>
    <n v="66"/>
    <n v="44"/>
    <n v="0"/>
    <n v="30"/>
    <n v="22"/>
    <n v="45"/>
    <n v="15"/>
    <n v="60"/>
    <n v="37"/>
    <n v="0"/>
    <n v="7"/>
    <n v="22"/>
    <n v="15"/>
    <n v="0"/>
    <n v="15"/>
    <n v="15"/>
    <n v="22"/>
    <n v="0"/>
    <n v="67"/>
    <n v="37"/>
    <n v="30"/>
    <n v="7"/>
    <n v="0"/>
    <n v="30"/>
    <n v="22"/>
    <n v="52"/>
    <n v="22"/>
    <n v="60"/>
    <n v="15"/>
    <n v="7"/>
    <n v="22"/>
    <n v="15"/>
    <n v="7"/>
    <n v="56"/>
    <n v="254.47"/>
    <n v="59773.78"/>
    <n v="40646.17"/>
    <n v="50209.97"/>
    <n v="57382.83"/>
    <n v="31082.36"/>
    <n v="8000"/>
    <n v="6250"/>
    <n v="3353"/>
    <n v="7058"/>
    <n v="75603"/>
    <n v="63201"/>
    <n v="55501"/>
    <n v="30000"/>
    <n v="230000"/>
    <n v="3691"/>
  </r>
  <r>
    <d v="2024-12-21T00:00:00"/>
    <x v="11"/>
    <n v="12"/>
    <n v="1150"/>
    <n v="787"/>
    <n v="230"/>
    <n v="656"/>
    <n v="264"/>
    <n v="228"/>
    <n v="371"/>
    <n v="188"/>
    <n v="336"/>
    <n v="178"/>
    <n v="99"/>
    <n v="106"/>
    <n v="35"/>
    <n v="196"/>
    <n v="96"/>
    <n v="43"/>
    <n v="61"/>
    <n v="0"/>
    <n v="55"/>
    <n v="0"/>
    <n v="55"/>
    <n v="7"/>
    <n v="86"/>
    <n v="47"/>
    <n v="7"/>
    <n v="0"/>
    <n v="23"/>
    <n v="7"/>
    <n v="0"/>
    <n v="39"/>
    <n v="7"/>
    <n v="23"/>
    <n v="0"/>
    <n v="47"/>
    <n v="47"/>
    <n v="39"/>
    <n v="7"/>
    <n v="7"/>
    <n v="7"/>
    <n v="31"/>
    <n v="86"/>
    <n v="23"/>
    <n v="47"/>
    <n v="7"/>
    <n v="0"/>
    <n v="15"/>
    <n v="23"/>
    <n v="31"/>
    <n v="14"/>
    <n v="264.33"/>
    <n v="81433.149999999994"/>
    <n v="50895.72"/>
    <n v="61074.86"/>
    <n v="31074.86"/>
    <n v="30000"/>
    <n v="8000"/>
    <n v="6250"/>
    <n v="3353"/>
    <n v="7058"/>
    <n v="75603"/>
    <n v="63201"/>
    <n v="55501"/>
    <n v="30000"/>
    <n v="230000"/>
    <n v="6078"/>
  </r>
  <r>
    <d v="2024-12-22T00:00:00"/>
    <x v="11"/>
    <n v="12"/>
    <n v="1119"/>
    <n v="823"/>
    <n v="537"/>
    <n v="515"/>
    <n v="67"/>
    <n v="378"/>
    <n v="363"/>
    <n v="82"/>
    <n v="242"/>
    <n v="145"/>
    <n v="55"/>
    <n v="62"/>
    <n v="41"/>
    <n v="233"/>
    <n v="25"/>
    <n v="46"/>
    <n v="59"/>
    <n v="211"/>
    <n v="49"/>
    <n v="0"/>
    <n v="32"/>
    <n v="16"/>
    <n v="106"/>
    <n v="74"/>
    <n v="0"/>
    <n v="8"/>
    <n v="16"/>
    <n v="24"/>
    <n v="8"/>
    <n v="16"/>
    <n v="8"/>
    <n v="8"/>
    <n v="16"/>
    <n v="57"/>
    <n v="24"/>
    <n v="16"/>
    <n v="8"/>
    <n v="8"/>
    <n v="24"/>
    <n v="32"/>
    <n v="90"/>
    <n v="24"/>
    <n v="49"/>
    <n v="16"/>
    <n v="8"/>
    <n v="32"/>
    <n v="8"/>
    <n v="32"/>
    <n v="14"/>
    <n v="272.64"/>
    <n v="66083.38"/>
    <n v="37006.69"/>
    <n v="26433.35"/>
    <n v="47580.03"/>
    <n v="87230.06"/>
    <n v="8000"/>
    <n v="6250"/>
    <n v="3353"/>
    <n v="7058"/>
    <n v="75603"/>
    <n v="63201"/>
    <n v="55501"/>
    <n v="30000"/>
    <n v="230000"/>
    <n v="4153"/>
  </r>
  <r>
    <d v="2024-12-23T00:00:00"/>
    <x v="11"/>
    <n v="12"/>
    <n v="1099"/>
    <n v="856"/>
    <n v="296"/>
    <n v="551"/>
    <n v="252"/>
    <n v="248"/>
    <n v="497"/>
    <n v="111"/>
    <n v="258"/>
    <n v="68"/>
    <n v="81"/>
    <n v="95"/>
    <n v="27"/>
    <n v="200"/>
    <n v="87"/>
    <n v="41"/>
    <n v="20"/>
    <n v="222"/>
    <n v="111"/>
    <n v="8"/>
    <n v="25"/>
    <n v="17"/>
    <n v="68"/>
    <n v="59"/>
    <n v="0"/>
    <n v="8"/>
    <n v="34"/>
    <n v="0"/>
    <n v="8"/>
    <n v="8"/>
    <n v="17"/>
    <n v="17"/>
    <n v="0"/>
    <n v="68"/>
    <n v="17"/>
    <n v="25"/>
    <n v="17"/>
    <n v="0"/>
    <n v="8"/>
    <n v="8"/>
    <n v="85"/>
    <n v="8"/>
    <n v="34"/>
    <n v="42"/>
    <n v="0"/>
    <n v="25"/>
    <n v="0"/>
    <n v="17"/>
    <n v="122"/>
    <n v="274.52000000000004"/>
    <n v="92695"/>
    <n v="38168.53"/>
    <n v="32715.88"/>
    <n v="49073.82"/>
    <n v="59979.12"/>
    <n v="8000"/>
    <n v="6250"/>
    <n v="3353"/>
    <n v="7058"/>
    <n v="75603"/>
    <n v="63201"/>
    <n v="55501"/>
    <n v="30000"/>
    <n v="230000"/>
    <n v="2524"/>
  </r>
  <r>
    <d v="2024-12-24T00:00:00"/>
    <x v="11"/>
    <n v="12"/>
    <n v="1086"/>
    <n v="880"/>
    <n v="293"/>
    <n v="555"/>
    <n v="238"/>
    <n v="202"/>
    <n v="520"/>
    <n v="158"/>
    <n v="282"/>
    <n v="215"/>
    <n v="60"/>
    <n v="94"/>
    <n v="53"/>
    <n v="198"/>
    <n v="119"/>
    <n v="41"/>
    <n v="24"/>
    <n v="0"/>
    <n v="105"/>
    <n v="26"/>
    <n v="44"/>
    <n v="0"/>
    <n v="70"/>
    <n v="70"/>
    <n v="0"/>
    <n v="0"/>
    <n v="44"/>
    <n v="17"/>
    <n v="8"/>
    <n v="17"/>
    <n v="8"/>
    <n v="26"/>
    <n v="0"/>
    <n v="52"/>
    <n v="44"/>
    <n v="8"/>
    <n v="26"/>
    <n v="0"/>
    <n v="8"/>
    <n v="17"/>
    <n v="61"/>
    <n v="17"/>
    <n v="26"/>
    <n v="35"/>
    <n v="8"/>
    <n v="52"/>
    <n v="35"/>
    <n v="26"/>
    <n v="30"/>
    <n v="275.47000000000003"/>
    <n v="96082.11"/>
    <n v="52158.86"/>
    <n v="27452.03"/>
    <n v="52158.86"/>
    <n v="46668.45"/>
    <n v="8000"/>
    <n v="6250"/>
    <n v="3353"/>
    <n v="7058"/>
    <n v="75603"/>
    <n v="63201"/>
    <n v="55501"/>
    <n v="30000"/>
    <n v="230000"/>
    <n v="4"/>
  </r>
  <r>
    <d v="2024-12-25T00:00:00"/>
    <x v="11"/>
    <n v="12"/>
    <n v="1085"/>
    <n v="902"/>
    <n v="260"/>
    <n v="576"/>
    <n v="249"/>
    <n v="423"/>
    <n v="335"/>
    <n v="144"/>
    <n v="269"/>
    <n v="188"/>
    <n v="60"/>
    <n v="33"/>
    <n v="26"/>
    <n v="222"/>
    <n v="119"/>
    <n v="45"/>
    <n v="53"/>
    <n v="70"/>
    <n v="90"/>
    <n v="0"/>
    <n v="45"/>
    <n v="0"/>
    <n v="135"/>
    <n v="54"/>
    <n v="0"/>
    <n v="0"/>
    <n v="45"/>
    <n v="27"/>
    <n v="0"/>
    <n v="18"/>
    <n v="0"/>
    <n v="0"/>
    <n v="18"/>
    <n v="63"/>
    <n v="27"/>
    <n v="27"/>
    <n v="0"/>
    <n v="0"/>
    <n v="0"/>
    <n v="36"/>
    <n v="99"/>
    <n v="9"/>
    <n v="81"/>
    <n v="27"/>
    <n v="9"/>
    <n v="45"/>
    <n v="0"/>
    <n v="36"/>
    <n v="11"/>
    <n v="269.75"/>
    <n v="93659.55"/>
    <n v="38565.699999999997"/>
    <n v="60603.24"/>
    <n v="27546.93"/>
    <n v="55093.86"/>
    <n v="8000"/>
    <n v="6250"/>
    <n v="3353"/>
    <n v="7058"/>
    <n v="75603"/>
    <n v="63201"/>
    <n v="55501"/>
    <n v="30000"/>
    <n v="230000"/>
    <n v="1629"/>
  </r>
  <r>
    <d v="2024-12-26T00:00:00"/>
    <x v="11"/>
    <n v="12"/>
    <n v="1087"/>
    <n v="911"/>
    <n v="445"/>
    <n v="566"/>
    <n v="76"/>
    <n v="300"/>
    <n v="429"/>
    <n v="182"/>
    <n v="229"/>
    <n v="101"/>
    <n v="94"/>
    <n v="94"/>
    <n v="60"/>
    <n v="144"/>
    <n v="41"/>
    <n v="41"/>
    <n v="28"/>
    <n v="255"/>
    <n v="54"/>
    <n v="18"/>
    <n v="27"/>
    <n v="9"/>
    <n v="119"/>
    <n v="45"/>
    <n v="9"/>
    <n v="27"/>
    <n v="27"/>
    <n v="9"/>
    <n v="9"/>
    <n v="27"/>
    <n v="0"/>
    <n v="9"/>
    <n v="18"/>
    <n v="81"/>
    <n v="45"/>
    <n v="36"/>
    <n v="27"/>
    <n v="0"/>
    <n v="36"/>
    <n v="36"/>
    <n v="81"/>
    <n v="9"/>
    <n v="36"/>
    <n v="45"/>
    <n v="0"/>
    <n v="45"/>
    <n v="0"/>
    <n v="27"/>
    <n v="0"/>
    <n v="253.85"/>
    <n v="91718.58"/>
    <n v="43161.69"/>
    <n v="40464.080000000002"/>
    <n v="40464.080000000002"/>
    <n v="53952.11"/>
    <n v="8000"/>
    <n v="6250"/>
    <n v="3353"/>
    <n v="7058"/>
    <n v="75603"/>
    <n v="63201"/>
    <n v="55501"/>
    <n v="30000"/>
    <n v="230000"/>
    <n v="8010"/>
  </r>
  <r>
    <d v="2024-12-27T00:00:00"/>
    <x v="11"/>
    <n v="12"/>
    <n v="1094"/>
    <n v="913"/>
    <n v="547"/>
    <n v="416"/>
    <n v="131"/>
    <n v="237"/>
    <n v="476"/>
    <n v="200"/>
    <n v="230"/>
    <n v="203"/>
    <n v="81"/>
    <n v="94"/>
    <n v="40"/>
    <n v="216"/>
    <n v="33"/>
    <n v="45"/>
    <n v="45"/>
    <n v="107"/>
    <n v="36"/>
    <n v="18"/>
    <n v="54"/>
    <n v="18"/>
    <n v="102"/>
    <n v="73"/>
    <n v="9"/>
    <n v="9"/>
    <n v="18"/>
    <n v="18"/>
    <n v="0"/>
    <n v="9"/>
    <n v="27"/>
    <n v="27"/>
    <n v="27"/>
    <n v="45"/>
    <n v="54"/>
    <n v="36"/>
    <n v="27"/>
    <n v="9"/>
    <n v="27"/>
    <n v="9"/>
    <n v="63"/>
    <n v="18"/>
    <n v="54"/>
    <n v="45"/>
    <n v="9"/>
    <n v="45"/>
    <n v="0"/>
    <n v="27"/>
    <n v="0"/>
    <n v="235.06999999999996"/>
    <n v="68537.460000000006"/>
    <n v="55845.34"/>
    <n v="45691.64"/>
    <n v="35537.94"/>
    <n v="48230.06"/>
    <n v="8000"/>
    <n v="6250"/>
    <n v="3353"/>
    <n v="7058"/>
    <n v="75603"/>
    <n v="63201"/>
    <n v="55501"/>
    <n v="30000"/>
    <n v="230000"/>
    <n v="5764"/>
  </r>
  <r>
    <d v="2024-12-28T00:00:00"/>
    <x v="11"/>
    <n v="12"/>
    <n v="1106"/>
    <n v="907"/>
    <n v="409"/>
    <n v="576"/>
    <n v="121"/>
    <n v="444"/>
    <n v="391"/>
    <n v="72"/>
    <n v="246"/>
    <n v="61"/>
    <n v="54"/>
    <n v="75"/>
    <n v="41"/>
    <n v="201"/>
    <n v="147"/>
    <n v="42"/>
    <n v="25"/>
    <n v="214"/>
    <n v="90"/>
    <n v="0"/>
    <n v="63"/>
    <n v="0"/>
    <n v="126"/>
    <n v="45"/>
    <n v="9"/>
    <n v="27"/>
    <n v="36"/>
    <n v="0"/>
    <n v="9"/>
    <n v="9"/>
    <n v="9"/>
    <n v="27"/>
    <n v="27"/>
    <n v="45"/>
    <n v="9"/>
    <n v="45"/>
    <n v="0"/>
    <n v="9"/>
    <n v="27"/>
    <n v="27"/>
    <n v="72"/>
    <n v="27"/>
    <n v="45"/>
    <n v="36"/>
    <n v="0"/>
    <n v="27"/>
    <n v="9"/>
    <n v="0"/>
    <n v="52"/>
    <n v="213.18"/>
    <n v="77574.929999999993"/>
    <n v="44664.35"/>
    <n v="32910.58"/>
    <n v="23507.55"/>
    <n v="56418.13"/>
    <n v="8000"/>
    <n v="6250"/>
    <n v="3353"/>
    <n v="7058"/>
    <n v="75603"/>
    <n v="63201"/>
    <n v="55501"/>
    <n v="30000"/>
    <n v="230000"/>
    <n v="8636"/>
  </r>
  <r>
    <d v="2024-12-29T00:00:00"/>
    <x v="11"/>
    <n v="12"/>
    <n v="1121"/>
    <n v="896"/>
    <n v="459"/>
    <n v="584"/>
    <n v="78"/>
    <n v="295"/>
    <n v="431"/>
    <n v="170"/>
    <n v="284"/>
    <n v="90"/>
    <n v="55"/>
    <n v="83"/>
    <n v="55"/>
    <n v="230"/>
    <n v="85"/>
    <n v="42"/>
    <n v="46"/>
    <n v="151"/>
    <n v="125"/>
    <n v="17"/>
    <n v="53"/>
    <n v="17"/>
    <n v="13"/>
    <n v="53"/>
    <n v="8"/>
    <n v="26"/>
    <n v="26"/>
    <n v="8"/>
    <n v="0"/>
    <n v="35"/>
    <n v="8"/>
    <n v="17"/>
    <n v="17"/>
    <n v="53"/>
    <n v="44"/>
    <n v="35"/>
    <n v="8"/>
    <n v="0"/>
    <n v="35"/>
    <n v="35"/>
    <n v="98"/>
    <n v="8"/>
    <n v="62"/>
    <n v="35"/>
    <n v="0"/>
    <n v="17"/>
    <n v="17"/>
    <n v="26"/>
    <n v="0"/>
    <n v="195.19999999999996"/>
    <n v="57556.6"/>
    <n v="36239.339999999997"/>
    <n v="25580.71"/>
    <n v="36239.339999999997"/>
    <n v="57556.6"/>
    <n v="8000"/>
    <n v="6250"/>
    <n v="3353"/>
    <n v="7058"/>
    <n v="75603"/>
    <n v="63201"/>
    <n v="55501"/>
    <n v="30000"/>
    <n v="230000"/>
    <n v="1531"/>
  </r>
  <r>
    <d v="2024-12-30T00:00:00"/>
    <x v="11"/>
    <n v="12"/>
    <n v="1140"/>
    <n v="881"/>
    <n v="342"/>
    <n v="741"/>
    <n v="57"/>
    <n v="387"/>
    <n v="406"/>
    <n v="88"/>
    <n v="381"/>
    <n v="155"/>
    <n v="56"/>
    <n v="63"/>
    <n v="14"/>
    <n v="207"/>
    <n v="112"/>
    <n v="51"/>
    <n v="25"/>
    <n v="76"/>
    <n v="79"/>
    <n v="17"/>
    <n v="52"/>
    <n v="0"/>
    <n v="56"/>
    <n v="70"/>
    <n v="26"/>
    <n v="26"/>
    <n v="44"/>
    <n v="8"/>
    <n v="8"/>
    <n v="35"/>
    <n v="8"/>
    <n v="17"/>
    <n v="26"/>
    <n v="35"/>
    <n v="8"/>
    <n v="17"/>
    <n v="0"/>
    <n v="0"/>
    <n v="0"/>
    <n v="26"/>
    <n v="96"/>
    <n v="17"/>
    <n v="44"/>
    <n v="44"/>
    <n v="0"/>
    <n v="52"/>
    <n v="35"/>
    <n v="35"/>
    <n v="0"/>
    <n v="182.07000000000002"/>
    <n v="66369.23"/>
    <n v="46848.86"/>
    <n v="31232.58"/>
    <n v="27328.5"/>
    <n v="23424.43"/>
    <n v="8000"/>
    <n v="6250"/>
    <n v="3353"/>
    <n v="7058"/>
    <n v="75603"/>
    <n v="63201"/>
    <n v="55501"/>
    <n v="30000"/>
    <n v="230000"/>
    <n v="494"/>
  </r>
  <r>
    <d v="2024-12-31T00:00:00"/>
    <x v="11"/>
    <n v="12"/>
    <n v="1140"/>
    <n v="881"/>
    <n v="319"/>
    <n v="628"/>
    <n v="193"/>
    <n v="308"/>
    <n v="415"/>
    <n v="158"/>
    <n v="348"/>
    <n v="226"/>
    <n v="63"/>
    <n v="84"/>
    <n v="35"/>
    <n v="186"/>
    <n v="95"/>
    <n v="60"/>
    <n v="43"/>
    <n v="0"/>
    <n v="35"/>
    <n v="0"/>
    <n v="26"/>
    <n v="0"/>
    <n v="61"/>
    <n v="79"/>
    <n v="0"/>
    <n v="17"/>
    <n v="44"/>
    <n v="0"/>
    <n v="8"/>
    <n v="26"/>
    <n v="0"/>
    <n v="17"/>
    <n v="17"/>
    <n v="79"/>
    <n v="61"/>
    <n v="17"/>
    <n v="0"/>
    <n v="0"/>
    <n v="8"/>
    <n v="26"/>
    <n v="61"/>
    <n v="26"/>
    <n v="35"/>
    <n v="17"/>
    <n v="8"/>
    <n v="61"/>
    <n v="35"/>
    <n v="26"/>
    <n v="91"/>
    <n v="200.27700000000002"/>
    <n v="47336.27"/>
    <n v="41874.39"/>
    <n v="45515.64"/>
    <n v="45515.64"/>
    <n v="1820.63"/>
    <n v="8000"/>
    <n v="6250"/>
    <n v="3353"/>
    <n v="7058"/>
    <n v="75603"/>
    <n v="63201"/>
    <n v="55501"/>
    <n v="30000"/>
    <n v="230000"/>
    <n v="82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F7ADAD-6E98-400A-AADC-288BD8D540D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X10" firstHeaderRow="0" firstDataRow="1" firstDataCol="1"/>
  <pivotFields count="68">
    <pivotField numFmtId="164" showAll="0"/>
    <pivotField axis="axisRow" showAll="0">
      <items count="13">
        <item h="1" x="0"/>
        <item h="1" x="1"/>
        <item x="2"/>
        <item x="3"/>
        <item x="4"/>
        <item x="5"/>
        <item x="6"/>
        <item x="7"/>
        <item x="8"/>
        <item x="9"/>
        <item h="1" x="10"/>
        <item h="1" x="1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4"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showAll="0"/>
    <pivotField dataField="1" showAll="0"/>
  </pivotFields>
  <rowFields count="1">
    <field x="1"/>
  </rowFields>
  <rowItems count="9">
    <i>
      <x v="2"/>
    </i>
    <i>
      <x v="3"/>
    </i>
    <i>
      <x v="4"/>
    </i>
    <i>
      <x v="5"/>
    </i>
    <i>
      <x v="6"/>
    </i>
    <i>
      <x v="7"/>
    </i>
    <i>
      <x v="8"/>
    </i>
    <i>
      <x v="9"/>
    </i>
    <i t="grand">
      <x/>
    </i>
  </rowItems>
  <colFields count="1">
    <field x="-2"/>
  </colFields>
  <colItems count="23">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colItems>
  <dataFields count="23">
    <dataField name="Max of Month N" fld="2" subtotal="max" baseField="1" baseItem="0"/>
    <dataField name="Sum of Income" fld="3" baseField="0" baseItem="0"/>
    <dataField name="Average of Balance" fld="67" subtotal="average" baseField="1" baseItem="0"/>
    <dataField name="Sum of Expenses" fld="4" baseField="0" baseItem="0"/>
    <dataField name="Sum of Non-Fixed Incom" fld="5" baseField="0" baseItem="0"/>
    <dataField name="Sum of Fixed Incom" fld="6" baseField="0" baseItem="0"/>
    <dataField name="Sum of Other Income" fld="7" baseField="0" baseItem="0"/>
    <dataField name="Sum of Non-Fixed Cost" fld="8" baseField="0" baseItem="0"/>
    <dataField name="Sum of Fixed Costs" fld="9" baseField="0" baseItem="0"/>
    <dataField name="Sum of Other Cost" fld="10" baseField="0" baseItem="0"/>
    <dataField name="Average of Investments Business" fld="53" subtotal="average" baseField="1" baseItem="0" numFmtId="165"/>
    <dataField name="Average of Investments Securities" fld="54" subtotal="average" baseField="1" baseItem="0" numFmtId="165"/>
    <dataField name="Average of Investments Cryptocurrency" fld="55" subtotal="average" baseField="1" baseItem="0" numFmtId="165"/>
    <dataField name="Average of Investments Real estate" fld="56" subtotal="average" baseField="1" baseItem="0" numFmtId="165"/>
    <dataField name="Average of Investments Gold" fld="57" subtotal="average" baseField="1" baseItem="0" numFmtId="165"/>
    <dataField name="Average of Mortgage" fld="58" subtotal="average" baseField="1" baseItem="0" numFmtId="165"/>
    <dataField name="Average of Car Leasing" fld="59" subtotal="average" baseField="1" baseItem="0" numFmtId="165"/>
    <dataField name="Average of Consumer Credit" fld="60" subtotal="average" baseField="1" baseItem="0" numFmtId="165"/>
    <dataField name="Average of Credit Card" fld="61" subtotal="average" baseField="1" baseItem="0" numFmtId="165"/>
    <dataField name="Average of Goal 1" fld="62" subtotal="average" baseField="1" baseItem="0" numFmtId="165"/>
    <dataField name="Average of Goal 2" fld="63" subtotal="average" baseField="1" baseItem="0" numFmtId="165"/>
    <dataField name="Average of Goal 3" fld="64" subtotal="average" baseField="1" baseItem="0" numFmtId="165"/>
    <dataField name="Average of Goal 4" fld="65" subtotal="average" baseField="1"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80D98B-3CE1-451D-A312-5EE2EAC4CC8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C29" firstHeaderRow="0" firstDataRow="1" firstDataCol="1"/>
  <pivotFields count="68">
    <pivotField numFmtId="164" showAll="0"/>
    <pivotField axis="axisRow" showAll="0">
      <items count="13">
        <item x="0"/>
        <item x="1"/>
        <item x="2"/>
        <item x="3"/>
        <item x="4"/>
        <item x="5"/>
        <item x="6"/>
        <item x="7"/>
        <item x="8"/>
        <item x="9"/>
        <item x="10"/>
        <item x="11"/>
        <item t="default"/>
      </items>
    </pivotField>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4"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Income" fld="3" baseField="0" baseItem="0"/>
    <dataField name="Sum of Expens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10ED504-0C48-496A-9D03-1BD5D09D557E}" sourceName="Month">
  <pivotTables>
    <pivotTable tabId="4" name="PivotTable1"/>
  </pivotTables>
  <data>
    <tabular pivotCacheId="602737623">
      <items count="12">
        <i x="0"/>
        <i x="1"/>
        <i x="2" s="1"/>
        <i x="3" s="1"/>
        <i x="4" s="1"/>
        <i x="5" s="1"/>
        <i x="6" s="1"/>
        <i x="7" s="1"/>
        <i x="8" s="1"/>
        <i x="9" s="1"/>
        <i x="1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699EB3E-413E-45DB-A172-A82D146BE874}" cache="Slicer_Month" caption="Month" columnCount="12" showCaption="0" style="SlicerStyleLight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581B82-C8CF-48F4-BFAC-A4C986093B9C}" name="mydata" displayName="mydata" ref="A1:BP367" totalsRowShown="0" headerRowDxfId="70" dataDxfId="69" tableBorderDxfId="68">
  <autoFilter ref="A1:BP367" xr:uid="{1A581B82-C8CF-48F4-BFAC-A4C986093B9C}"/>
  <tableColumns count="68">
    <tableColumn id="1" xr3:uid="{D7AB4439-D884-417A-9FC2-599201544110}" name="Date" dataDxfId="67"/>
    <tableColumn id="2" xr3:uid="{38803C5B-713A-44B5-9113-E0F6603B0727}" name="Month" dataDxfId="66">
      <calculatedColumnFormula>CHOOSE(C2,
"JANUARY",
"FEBRUARY",
"MARCH",
"APRIL",
"MAY",
"JUNE",
"JULY",
"AUGUST",
"SEPTEMBER",
"OCTOBER",
"NOVEMBER",
"DECEMBER")</calculatedColumnFormula>
    </tableColumn>
    <tableColumn id="3" xr3:uid="{09496C11-B17D-4B1F-9577-E0A0A6B3D874}" name="Month N" dataDxfId="65">
      <calculatedColumnFormula>MONTH(Data!$A2)</calculatedColumnFormula>
    </tableColumn>
    <tableColumn id="4" xr3:uid="{B2CA566F-8815-4A19-9F0F-7D6D38AA2E02}" name="Income" dataDxfId="64"/>
    <tableColumn id="5" xr3:uid="{069978A9-7CC9-4FD6-80A0-A49B1289986B}" name="Expenses" dataDxfId="63"/>
    <tableColumn id="6" xr3:uid="{A12D7123-1D52-42D1-9BAF-FA10DB6B31EC}" name="Non-Fixed Incom" dataDxfId="62"/>
    <tableColumn id="7" xr3:uid="{78EF5D7A-92EC-4802-B14C-B058A30D4672}" name="Fixed Incom" dataDxfId="61"/>
    <tableColumn id="8" xr3:uid="{53ADFE2D-1B03-4083-99AB-1DC42237190B}" name="Other Income" dataDxfId="60"/>
    <tableColumn id="9" xr3:uid="{A3D951FD-6AA8-4D97-BDE5-C1D18F08E88D}" name="Non-Fixed Cost" dataDxfId="59"/>
    <tableColumn id="10" xr3:uid="{DC109AF8-750E-4E19-9E2C-765C823665EE}" name="Fixed Costs" dataDxfId="58"/>
    <tableColumn id="11" xr3:uid="{32DEC1F8-165C-4927-A680-26D0FFDEA16F}" name="Other Cost" dataDxfId="57"/>
    <tableColumn id="12" xr3:uid="{76468238-1F28-45CC-89AB-BE6D707CB7D3}" name="Fixed Incom Business" dataDxfId="56"/>
    <tableColumn id="13" xr3:uid="{1C70C07F-1BEA-4F0E-B340-9CA2DE0220C9}" name="Fixed Incom Securities" dataDxfId="55"/>
    <tableColumn id="14" xr3:uid="{9969CC2F-0680-4DAC-A97D-0D63E3E67672}" name="Fixed Incom Real estate" dataDxfId="54"/>
    <tableColumn id="15" xr3:uid="{B3F3E83A-CE8F-4506-B4C9-421CF8149836}" name="Fixed Incom Gold" dataDxfId="53"/>
    <tableColumn id="16" xr3:uid="{F435B450-9172-459A-B38D-2C0069531700}" name="Fixed Incom Cryptocurrency" dataDxfId="52"/>
    <tableColumn id="17" xr3:uid="{A8E36006-A930-4BA1-BFC1-CDD42EC165B4}" name="Non-Fixed Incom Business" dataDxfId="51"/>
    <tableColumn id="18" xr3:uid="{1054199A-01E0-4CCE-AA6D-2592031947D5}" name="Non-Fixed Incom Securities" dataDxfId="50"/>
    <tableColumn id="19" xr3:uid="{D5E4C643-AFBB-4BFF-9C25-3343D935D0C1}" name="Non-Fixed Incom Real estate" dataDxfId="49"/>
    <tableColumn id="20" xr3:uid="{F2A0EC5C-9FC5-4B42-8E99-F2BE8130C9CF}" name="Non-Fixed Incom Gold" dataDxfId="48"/>
    <tableColumn id="21" xr3:uid="{52EB5776-4F72-4DD3-A8A2-CD50EA2F225D}" name="Non-Fixed Incom Cryptocurrency" dataDxfId="47"/>
    <tableColumn id="22" xr3:uid="{C2DB9E4A-DA56-426D-A0AD-70F60048E43E}" name="Loans" dataDxfId="46"/>
    <tableColumn id="23" xr3:uid="{0FF39D0B-33D9-41B7-B29A-C2033FB631C1}" name="Training courses" dataDxfId="45"/>
    <tableColumn id="24" xr3:uid="{4A9B47A6-0DEC-4B5A-A20B-2024A1E1BC29}" name="Travel public transport" dataDxfId="44"/>
    <tableColumn id="25" xr3:uid="{B173D252-AE8E-4D8A-A1F5-E8541CC6216B}" name="Mobile connection" dataDxfId="43"/>
    <tableColumn id="26" xr3:uid="{BAB513A2-CBA6-48D2-AF04-DB436E243F71}" name="Food" dataDxfId="42"/>
    <tableColumn id="27" xr3:uid="{4A1E9C43-AF02-430E-95E8-43CE36A5EBDB}" name="Utility Payments" dataDxfId="41"/>
    <tableColumn id="28" xr3:uid="{77BC2B94-DABE-4ADB-96B3-1C65B18E5FF5}" name="Internet &amp; TV" dataDxfId="40"/>
    <tableColumn id="29" xr3:uid="{B9FAAD38-692A-48BF-804B-EA8A85E2B2DB}" name="Household chemicals" dataDxfId="39"/>
    <tableColumn id="30" xr3:uid="{F2B7A94C-ACC2-406E-B3E7-E1FEEB16ABD1}" name="Furniture &amp; utensils" dataDxfId="38"/>
    <tableColumn id="31" xr3:uid="{3DBE6134-9243-4424-AD18-7FD6C9766581}" name="BedLinen &amp; tablecloth" dataDxfId="37"/>
    <tableColumn id="32" xr3:uid="{E74A43A6-183B-470B-AAFF-67BFF75546E4}" name="Cat food" dataDxfId="36"/>
    <tableColumn id="33" xr3:uid="{A7F35FE9-4791-4FD4-83AA-065A67515F9F}" name="Clothing &amp; footwear" dataDxfId="35"/>
    <tableColumn id="34" xr3:uid="{57EA7798-FBC9-45AF-B62A-41E8A7293FB3}" name="Gym" dataDxfId="34"/>
    <tableColumn id="35" xr3:uid="{0466140B-C860-469F-BB1E-B2013D9E6001}" name="Hygiene products" dataDxfId="33"/>
    <tableColumn id="36" xr3:uid="{67D3243C-301E-4E12-8619-3DC0F1A18041}" name="Medications" dataDxfId="32"/>
    <tableColumn id="37" xr3:uid="{7DAE7407-5C0D-4851-802E-42B597512B86}" name="Hairdresser" dataDxfId="31"/>
    <tableColumn id="38" xr3:uid="{E8F02586-83FC-42AF-BBEA-8988C177D4B5}" name="Cosmetics &amp; perfum" dataDxfId="30"/>
    <tableColumn id="39" xr3:uid="{09CE160A-A373-4AAF-8591-7609022B1D3C}" name="Fuel" dataDxfId="29"/>
    <tableColumn id="40" xr3:uid="{307EEEED-F1E6-4F52-A5E6-0FAFF39D77E3}" name="Spare parts" dataDxfId="28"/>
    <tableColumn id="41" xr3:uid="{54E1B40C-9B86-4788-8A3B-E8F51A9196CA}" name="Parking" dataDxfId="27"/>
    <tableColumn id="42" xr3:uid="{5736920A-C6DF-4D11-A82F-EDAE213133FC}" name="Washing" dataDxfId="26"/>
    <tableColumn id="43" xr3:uid="{11A1BD9F-C7C3-4DA2-A8DD-88BC04BB8E65}" name="Insurance" dataDxfId="25"/>
    <tableColumn id="44" xr3:uid="{7FE4B1CB-CC90-4C24-9ED4-8BC8AEBBAC5F}" name="Holidays" dataDxfId="24"/>
    <tableColumn id="45" xr3:uid="{E9DD6FE7-2B38-403F-BC60-C5A8F3368DD5}" name="Excursions" dataDxfId="23"/>
    <tableColumn id="46" xr3:uid="{831B2631-61FB-44A9-AA51-4D88A87B0429}" name="Restaurants" dataDxfId="22"/>
    <tableColumn id="47" xr3:uid="{6293E095-32F0-4EA1-9C92-79A94C838AB3}" name="Hotels" dataDxfId="21"/>
    <tableColumn id="48" xr3:uid="{69CE25ED-9B23-40F9-B3E3-02F6337D65D6}" name="Bags, packages, boxes" dataDxfId="20"/>
    <tableColumn id="49" xr3:uid="{29C9F3DD-631D-41DF-A6E2-2D74495C2C2D}" name="Snacks on the way" dataDxfId="19"/>
    <tableColumn id="50" xr3:uid="{36CFDCF6-5CE2-473D-9C33-A913E29C2A66}" name="Alcohol" dataDxfId="18"/>
    <tableColumn id="51" xr3:uid="{0A2660C7-3FC4-4D73-AC61-D6CC825A3D9C}" name="Hobby" dataDxfId="17"/>
    <tableColumn id="52" xr3:uid="{842614BC-90AC-4A54-B908-61FB9655791A}" name="Unexpected expenses" dataDxfId="16"/>
    <tableColumn id="53" xr3:uid="{94866FAB-D8BC-409A-AF5B-755FE7A7E4C7}" name="Price Investments Portfolio" dataDxfId="15" dataCellStyle="Currency"/>
    <tableColumn id="54" xr3:uid="{4EA62B83-1EB2-4835-88E0-8F7EF0EDB21B}" name="Investments Business" dataDxfId="14"/>
    <tableColumn id="55" xr3:uid="{3C135A7C-28A9-4D7A-A9CE-16EE58A01E32}" name="Investments Securities" dataDxfId="13"/>
    <tableColumn id="56" xr3:uid="{4CD0E75A-5E5A-4FA2-8D3F-B4130C46529D}" name="Investments Cryptocurrency" dataDxfId="12"/>
    <tableColumn id="57" xr3:uid="{AD18A5E1-D7D7-4AF7-81B8-F78C7197E0DD}" name="Investments Real estate" dataDxfId="11"/>
    <tableColumn id="58" xr3:uid="{4D565ABA-D992-4775-95D7-7036293DFC31}" name="Investments Gold" dataDxfId="10"/>
    <tableColumn id="59" xr3:uid="{8D8B5B3A-A6C4-4DFD-8C2A-1902F1BBE56B}" name="Mortgage" dataDxfId="9"/>
    <tableColumn id="60" xr3:uid="{6937CD6E-FD6B-4285-A66A-58BAAC817039}" name="Car Leasing" dataDxfId="8"/>
    <tableColumn id="61" xr3:uid="{905AC17A-1370-4233-8A42-96020254AEA6}" name="Consumer Credit" dataDxfId="7"/>
    <tableColumn id="62" xr3:uid="{DD821843-B7F3-4EFD-A13B-29AC3E55B833}" name="Credit Card" dataDxfId="6"/>
    <tableColumn id="63" xr3:uid="{77B7FD12-13B7-4968-AA5C-2C41F3863E95}" name="Goal 1" dataDxfId="5"/>
    <tableColumn id="64" xr3:uid="{43314E6F-A0D5-4339-9892-8C0FEB0C8E12}" name="Goal 2" dataDxfId="4"/>
    <tableColumn id="65" xr3:uid="{510E15BA-5BDC-43D0-9972-1F819064C99F}" name="Goal 3" dataDxfId="3"/>
    <tableColumn id="66" xr3:uid="{5162B3F3-5DC4-4BE4-ACDD-F3D5F615FF2D}" name="Goal 4" dataDxfId="2"/>
    <tableColumn id="67" xr3:uid="{130A7FD7-F98C-4513-9EBF-F9D6BE28C32B}" name="Monthly Plan" dataDxfId="1"/>
    <tableColumn id="68" xr3:uid="{18E38E64-B86A-408F-8AF8-F122B45048C0}" name="Balanc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C6B29-9125-4755-B694-F80164715853}">
  <dimension ref="A1"/>
  <sheetViews>
    <sheetView showGridLines="0" showRowColHeaders="0" tabSelected="1" zoomScale="86" zoomScaleNormal="100" workbookViewId="0">
      <selection activeCell="X11" sqref="X11"/>
    </sheetView>
  </sheetViews>
  <sheetFormatPr defaultRowHeight="14.4" x14ac:dyDescent="0.3"/>
  <cols>
    <col min="1" max="16384" width="8.88671875" style="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AA840-6A34-4F9B-9F8D-F0AD4ECDD27C}">
  <dimension ref="A1:P43"/>
  <sheetViews>
    <sheetView topLeftCell="A19" workbookViewId="0">
      <selection activeCell="G34" sqref="G34"/>
    </sheetView>
  </sheetViews>
  <sheetFormatPr defaultRowHeight="14.4" x14ac:dyDescent="0.3"/>
  <cols>
    <col min="1" max="1" width="15" style="23" bestFit="1" customWidth="1"/>
    <col min="2" max="2" width="8.88671875" style="4" bestFit="1" customWidth="1"/>
    <col min="3" max="12" width="8.88671875" style="4"/>
    <col min="13" max="13" width="11.88671875" style="4" bestFit="1" customWidth="1"/>
    <col min="14" max="14" width="14.6640625" style="4" bestFit="1" customWidth="1"/>
    <col min="15" max="15" width="12.6640625" style="4" bestFit="1" customWidth="1"/>
    <col min="16" max="16" width="11.33203125" style="4" bestFit="1" customWidth="1"/>
    <col min="17" max="16384" width="8.88671875" style="4"/>
  </cols>
  <sheetData>
    <row r="1" spans="1:16" x14ac:dyDescent="0.3">
      <c r="A1" s="21" t="s">
        <v>33</v>
      </c>
      <c r="B1" s="20" t="s">
        <v>116</v>
      </c>
      <c r="C1" s="4" t="s">
        <v>117</v>
      </c>
      <c r="D1" s="19" t="s">
        <v>35</v>
      </c>
      <c r="E1" s="19" t="s">
        <v>36</v>
      </c>
      <c r="F1" s="4" t="s">
        <v>122</v>
      </c>
      <c r="G1" s="4" t="s">
        <v>118</v>
      </c>
      <c r="H1" s="4" t="s">
        <v>119</v>
      </c>
      <c r="I1" s="4" t="s">
        <v>120</v>
      </c>
      <c r="J1" s="4" t="s">
        <v>121</v>
      </c>
      <c r="K1" s="21" t="s">
        <v>34</v>
      </c>
      <c r="L1" s="4" t="s">
        <v>131</v>
      </c>
      <c r="M1" s="4" t="s">
        <v>132</v>
      </c>
      <c r="O1" s="28" t="s">
        <v>116</v>
      </c>
      <c r="P1" s="28" t="s">
        <v>133</v>
      </c>
    </row>
    <row r="2" spans="1:16" x14ac:dyDescent="0.3">
      <c r="A2" s="22" t="s">
        <v>101</v>
      </c>
      <c r="B2" s="4" t="str">
        <f>LEFT(A2,3)</f>
        <v>JAN</v>
      </c>
      <c r="C2" s="4">
        <f>$C$14</f>
        <v>1449.24</v>
      </c>
      <c r="D2" s="4">
        <f>GETPIVOTDATA(""&amp;D$1,Control!$A$16,"Month",""&amp;A2)</f>
        <v>18166</v>
      </c>
      <c r="E2" s="4">
        <f>GETPIVOTDATA(""&amp;E$1,Control!$A$16,"Month",""&amp;A6)</f>
        <v>24519</v>
      </c>
      <c r="F2" s="4">
        <f>C2</f>
        <v>1449.24</v>
      </c>
      <c r="G2" s="4" t="e">
        <f>IFERROR(GETPIVOTDATA(""&amp;D$1,Control!$A$3,"Month",""&amp;$A2),NA())</f>
        <v>#N/A</v>
      </c>
      <c r="H2" s="4" t="e">
        <f>IFERROR(GETPIVOTDATA(""&amp;E$1,Control!$A$3,"Month",""&amp;$A2),NA())</f>
        <v>#N/A</v>
      </c>
      <c r="I2" s="4" t="e">
        <f>C2+G2</f>
        <v>#N/A</v>
      </c>
      <c r="J2" s="4" t="e">
        <f>IF(G2&gt;=1000,TEXT(ROUND(G2/1000,0),"0k"),G2)</f>
        <v>#N/A</v>
      </c>
      <c r="K2" s="4">
        <f>GETPIVOTDATA("Max of Month N",Control!$A$1)</f>
        <v>10</v>
      </c>
      <c r="L2" s="26">
        <f>D2/SUM(D2:E2)</f>
        <v>0.42558275740892587</v>
      </c>
      <c r="M2" s="26">
        <f>INDEX(L2:L13,K2)</f>
        <v>0.62016266805318276</v>
      </c>
      <c r="N2" s="27">
        <f>1-M2</f>
        <v>0.37983733194681724</v>
      </c>
      <c r="O2" s="28">
        <v>0</v>
      </c>
      <c r="P2" s="28">
        <v>1</v>
      </c>
    </row>
    <row r="3" spans="1:16" x14ac:dyDescent="0.3">
      <c r="A3" s="22" t="s">
        <v>102</v>
      </c>
      <c r="B3" s="4" t="str">
        <f t="shared" ref="B3:B13" si="0">LEFT(A3,3)</f>
        <v>FEB</v>
      </c>
      <c r="C3" s="4">
        <f t="shared" ref="C3:C13" si="1">$C$14</f>
        <v>1449.24</v>
      </c>
      <c r="D3" s="4">
        <f>GETPIVOTDATA(""&amp;D$1,Control!$A$16,"Month",""&amp;A3)</f>
        <v>19801</v>
      </c>
      <c r="E3" s="4">
        <f>GETPIVOTDATA(""&amp;E$1,Control!$A$16,"Month",""&amp;A7)</f>
        <v>24837</v>
      </c>
      <c r="F3" s="4">
        <f t="shared" ref="F3:F13" si="2">C3</f>
        <v>1449.24</v>
      </c>
      <c r="G3" s="4" t="e">
        <f>IFERROR(GETPIVOTDATA(""&amp;D$1,Control!$A$3,"Month",""&amp;$A3),NA())</f>
        <v>#N/A</v>
      </c>
      <c r="H3" s="4" t="e">
        <f>IFERROR(GETPIVOTDATA(""&amp;E$1,Control!$A$3,"Month",""&amp;$A3),NA())</f>
        <v>#N/A</v>
      </c>
      <c r="I3" s="4" t="e">
        <f t="shared" ref="I3:I13" si="3">C3+G3</f>
        <v>#N/A</v>
      </c>
      <c r="J3" s="4" t="e">
        <f t="shared" ref="J3:J13" si="4">IF(G3&gt;=1000,TEXT(ROUND(G3/1000,0),"0k"),G3)</f>
        <v>#N/A</v>
      </c>
      <c r="L3" s="26">
        <f t="shared" ref="L3:L13" si="5">D3/SUM(D3:E3)</f>
        <v>0.44359066266409786</v>
      </c>
      <c r="O3" s="28">
        <f>SIN(M2*2*PI())</f>
        <v>-0.68529180778055421</v>
      </c>
      <c r="P3" s="28">
        <f>COS(N2*2*PI())</f>
        <v>-0.72826858931911898</v>
      </c>
    </row>
    <row r="4" spans="1:16" x14ac:dyDescent="0.3">
      <c r="A4" s="22" t="s">
        <v>103</v>
      </c>
      <c r="B4" s="4" t="str">
        <f t="shared" si="0"/>
        <v>MAR</v>
      </c>
      <c r="C4" s="4">
        <f t="shared" si="1"/>
        <v>1449.24</v>
      </c>
      <c r="D4" s="4">
        <f>GETPIVOTDATA(""&amp;D$1,Control!$A$16,"Month",""&amp;A4)</f>
        <v>22196</v>
      </c>
      <c r="E4" s="4">
        <f>GETPIVOTDATA(""&amp;E$1,Control!$A$16,"Month",""&amp;A8)</f>
        <v>21183</v>
      </c>
      <c r="F4" s="4">
        <f t="shared" si="2"/>
        <v>1449.24</v>
      </c>
      <c r="G4" s="4">
        <f>IFERROR(GETPIVOTDATA(""&amp;D$1,Control!$A$3,"Month",""&amp;$A4),NA())</f>
        <v>22196</v>
      </c>
      <c r="H4" s="4">
        <f>IFERROR(GETPIVOTDATA(""&amp;E$1,Control!$A$3,"Month",""&amp;$A4),NA())</f>
        <v>22099</v>
      </c>
      <c r="I4" s="4">
        <f t="shared" si="3"/>
        <v>23645.24</v>
      </c>
      <c r="J4" s="4" t="str">
        <f t="shared" si="4"/>
        <v>22k</v>
      </c>
      <c r="L4" s="26">
        <f t="shared" si="5"/>
        <v>0.51167615666566768</v>
      </c>
    </row>
    <row r="5" spans="1:16" x14ac:dyDescent="0.3">
      <c r="A5" s="22" t="s">
        <v>104</v>
      </c>
      <c r="B5" s="4" t="str">
        <f t="shared" si="0"/>
        <v>APR</v>
      </c>
      <c r="C5" s="4">
        <f t="shared" si="1"/>
        <v>1449.24</v>
      </c>
      <c r="D5" s="4">
        <f>GETPIVOTDATA(""&amp;D$1,Control!$A$16,"Month",""&amp;A5)</f>
        <v>25558</v>
      </c>
      <c r="E5" s="4">
        <f>GETPIVOTDATA(""&amp;E$1,Control!$A$16,"Month",""&amp;A9)</f>
        <v>22263</v>
      </c>
      <c r="F5" s="4">
        <f t="shared" si="2"/>
        <v>1449.24</v>
      </c>
      <c r="G5" s="4">
        <f>IFERROR(GETPIVOTDATA(""&amp;D$1,Control!$A$3,"Month",""&amp;$A5),NA())</f>
        <v>25558</v>
      </c>
      <c r="H5" s="4">
        <f>IFERROR(GETPIVOTDATA(""&amp;E$1,Control!$A$3,"Month",""&amp;$A5),NA())</f>
        <v>19614</v>
      </c>
      <c r="I5" s="4">
        <f t="shared" si="3"/>
        <v>27007.24</v>
      </c>
      <c r="J5" s="4" t="str">
        <f t="shared" si="4"/>
        <v>26k</v>
      </c>
      <c r="K5" s="4" t="s">
        <v>99</v>
      </c>
      <c r="L5" s="26">
        <f t="shared" si="5"/>
        <v>0.53445139164802069</v>
      </c>
    </row>
    <row r="6" spans="1:16" x14ac:dyDescent="0.3">
      <c r="A6" s="22" t="s">
        <v>105</v>
      </c>
      <c r="B6" s="4" t="str">
        <f t="shared" si="0"/>
        <v>MAY</v>
      </c>
      <c r="C6" s="4">
        <f t="shared" si="1"/>
        <v>1449.24</v>
      </c>
      <c r="D6" s="4">
        <f>GETPIVOTDATA(""&amp;D$1,Control!$A$16,"Month",""&amp;A6)</f>
        <v>31043</v>
      </c>
      <c r="E6" s="4">
        <f>GETPIVOTDATA(""&amp;E$1,Control!$A$16,"Month",""&amp;A10)</f>
        <v>25507</v>
      </c>
      <c r="F6" s="4">
        <f t="shared" si="2"/>
        <v>1449.24</v>
      </c>
      <c r="G6" s="4">
        <f>IFERROR(GETPIVOTDATA(""&amp;D$1,Control!$A$3,"Month",""&amp;$A6),NA())</f>
        <v>31043</v>
      </c>
      <c r="H6" s="4">
        <f>IFERROR(GETPIVOTDATA(""&amp;E$1,Control!$A$3,"Month",""&amp;$A6),NA())</f>
        <v>24519</v>
      </c>
      <c r="I6" s="4">
        <f t="shared" si="3"/>
        <v>32492.240000000002</v>
      </c>
      <c r="J6" s="4" t="str">
        <f t="shared" si="4"/>
        <v>31k</v>
      </c>
      <c r="K6" s="25">
        <f>GETPIVOTDATA("Average of Balance",Control!$A$1)</f>
        <v>4465.3265306122448</v>
      </c>
      <c r="L6" s="26">
        <f t="shared" si="5"/>
        <v>0.54894783377542</v>
      </c>
    </row>
    <row r="7" spans="1:16" x14ac:dyDescent="0.3">
      <c r="A7" s="22" t="s">
        <v>106</v>
      </c>
      <c r="B7" s="4" t="str">
        <f t="shared" si="0"/>
        <v>JUN</v>
      </c>
      <c r="C7" s="4">
        <f t="shared" si="1"/>
        <v>1449.24</v>
      </c>
      <c r="D7" s="4">
        <f>GETPIVOTDATA(""&amp;D$1,Control!$A$16,"Month",""&amp;A7)</f>
        <v>31211</v>
      </c>
      <c r="E7" s="4">
        <f>GETPIVOTDATA(""&amp;E$1,Control!$A$16,"Month",""&amp;A11)</f>
        <v>20455</v>
      </c>
      <c r="F7" s="4">
        <f t="shared" si="2"/>
        <v>1449.24</v>
      </c>
      <c r="G7" s="4">
        <f>IFERROR(GETPIVOTDATA(""&amp;D$1,Control!$A$3,"Month",""&amp;$A7),NA())</f>
        <v>31211</v>
      </c>
      <c r="H7" s="4">
        <f>IFERROR(GETPIVOTDATA(""&amp;E$1,Control!$A$3,"Month",""&amp;$A7),NA())</f>
        <v>24837</v>
      </c>
      <c r="I7" s="4">
        <f t="shared" si="3"/>
        <v>32660.240000000002</v>
      </c>
      <c r="J7" s="4" t="str">
        <f t="shared" si="4"/>
        <v>31k</v>
      </c>
      <c r="L7" s="26">
        <f t="shared" si="5"/>
        <v>0.60409166569891226</v>
      </c>
    </row>
    <row r="8" spans="1:16" x14ac:dyDescent="0.3">
      <c r="A8" s="22" t="s">
        <v>107</v>
      </c>
      <c r="B8" s="4" t="str">
        <f t="shared" si="0"/>
        <v>JUL</v>
      </c>
      <c r="C8" s="4">
        <f t="shared" si="1"/>
        <v>1449.24</v>
      </c>
      <c r="D8" s="4">
        <f>GETPIVOTDATA(""&amp;D$1,Control!$A$16,"Month",""&amp;A8)</f>
        <v>30268</v>
      </c>
      <c r="E8" s="4">
        <f>GETPIVOTDATA(""&amp;E$1,Control!$A$16,"Month",""&amp;A12)</f>
        <v>26772</v>
      </c>
      <c r="F8" s="4">
        <f t="shared" si="2"/>
        <v>1449.24</v>
      </c>
      <c r="G8" s="4">
        <f>IFERROR(GETPIVOTDATA(""&amp;D$1,Control!$A$3,"Month",""&amp;$A8),NA())</f>
        <v>30268</v>
      </c>
      <c r="H8" s="4">
        <f>IFERROR(GETPIVOTDATA(""&amp;E$1,Control!$A$3,"Month",""&amp;$A8),NA())</f>
        <v>21183</v>
      </c>
      <c r="I8" s="4">
        <f t="shared" si="3"/>
        <v>31717.24</v>
      </c>
      <c r="J8" s="4" t="str">
        <f t="shared" si="4"/>
        <v>30k</v>
      </c>
      <c r="L8" s="26">
        <f t="shared" si="5"/>
        <v>0.53064516129032258</v>
      </c>
    </row>
    <row r="9" spans="1:16" x14ac:dyDescent="0.3">
      <c r="A9" s="22" t="s">
        <v>108</v>
      </c>
      <c r="B9" s="4" t="str">
        <f t="shared" si="0"/>
        <v>AUG</v>
      </c>
      <c r="C9" s="4">
        <f t="shared" si="1"/>
        <v>1449.24</v>
      </c>
      <c r="D9" s="4">
        <f>GETPIVOTDATA(""&amp;D$1,Control!$A$16,"Month",""&amp;A9)</f>
        <v>35419</v>
      </c>
      <c r="E9" s="4">
        <f>GETPIVOTDATA(""&amp;E$1,Control!$A$16,"Month",""&amp;A13)</f>
        <v>24419</v>
      </c>
      <c r="F9" s="4">
        <f t="shared" si="2"/>
        <v>1449.24</v>
      </c>
      <c r="G9" s="4">
        <f>IFERROR(GETPIVOTDATA(""&amp;D$1,Control!$A$3,"Month",""&amp;$A9),NA())</f>
        <v>35419</v>
      </c>
      <c r="H9" s="4">
        <f>IFERROR(GETPIVOTDATA(""&amp;E$1,Control!$A$3,"Month",""&amp;$A9),NA())</f>
        <v>22263</v>
      </c>
      <c r="I9" s="4">
        <f t="shared" si="3"/>
        <v>36868.239999999998</v>
      </c>
      <c r="J9" s="4" t="str">
        <f t="shared" si="4"/>
        <v>35k</v>
      </c>
      <c r="L9" s="26">
        <f t="shared" si="5"/>
        <v>0.59191483672582634</v>
      </c>
    </row>
    <row r="10" spans="1:16" x14ac:dyDescent="0.3">
      <c r="A10" s="22" t="s">
        <v>109</v>
      </c>
      <c r="B10" s="4" t="str">
        <f t="shared" si="0"/>
        <v>SEP</v>
      </c>
      <c r="C10" s="4">
        <f t="shared" si="1"/>
        <v>1449.24</v>
      </c>
      <c r="D10" s="4">
        <f>GETPIVOTDATA(""&amp;D$1,Control!$A$16,"Month",""&amp;A10)</f>
        <v>35296</v>
      </c>
      <c r="E10" s="4">
        <f>GETPIVOTDATA(""&amp;E$1,Control!$A$16,"Month",""&amp;A10)</f>
        <v>25507</v>
      </c>
      <c r="F10" s="4">
        <f t="shared" si="2"/>
        <v>1449.24</v>
      </c>
      <c r="G10" s="4">
        <f>IFERROR(GETPIVOTDATA(""&amp;D$1,Control!$A$3,"Month",""&amp;$A10),NA())</f>
        <v>35296</v>
      </c>
      <c r="H10" s="4">
        <f>IFERROR(GETPIVOTDATA(""&amp;E$1,Control!$A$3,"Month",""&amp;$A10),NA())</f>
        <v>25507</v>
      </c>
      <c r="I10" s="4">
        <f t="shared" si="3"/>
        <v>36745.24</v>
      </c>
      <c r="J10" s="4" t="str">
        <f t="shared" si="4"/>
        <v>35k</v>
      </c>
      <c r="L10" s="26">
        <f t="shared" si="5"/>
        <v>0.58049767281219677</v>
      </c>
    </row>
    <row r="11" spans="1:16" x14ac:dyDescent="0.3">
      <c r="A11" s="22" t="s">
        <v>110</v>
      </c>
      <c r="B11" s="4" t="str">
        <f t="shared" si="0"/>
        <v>OCT</v>
      </c>
      <c r="C11" s="4">
        <f t="shared" si="1"/>
        <v>1449.24</v>
      </c>
      <c r="D11" s="4">
        <f>GETPIVOTDATA(""&amp;D$1,Control!$A$16,"Month",""&amp;A11)</f>
        <v>33397</v>
      </c>
      <c r="E11" s="4">
        <f>GETPIVOTDATA(""&amp;E$1,Control!$A$16,"Month",""&amp;A11)</f>
        <v>20455</v>
      </c>
      <c r="F11" s="4">
        <f t="shared" si="2"/>
        <v>1449.24</v>
      </c>
      <c r="G11" s="4">
        <f>IFERROR(GETPIVOTDATA(""&amp;D$1,Control!$A$3,"Month",""&amp;$A11),NA())</f>
        <v>33397</v>
      </c>
      <c r="H11" s="4">
        <f>IFERROR(GETPIVOTDATA(""&amp;E$1,Control!$A$3,"Month",""&amp;$A11),NA())</f>
        <v>20455</v>
      </c>
      <c r="I11" s="4">
        <f t="shared" si="3"/>
        <v>34846.239999999998</v>
      </c>
      <c r="J11" s="4" t="str">
        <f t="shared" si="4"/>
        <v>33k</v>
      </c>
      <c r="L11" s="26">
        <f t="shared" si="5"/>
        <v>0.62016266805318276</v>
      </c>
    </row>
    <row r="12" spans="1:16" x14ac:dyDescent="0.3">
      <c r="A12" s="22" t="s">
        <v>111</v>
      </c>
      <c r="B12" s="4" t="str">
        <f t="shared" si="0"/>
        <v>NOV</v>
      </c>
      <c r="C12" s="4">
        <f t="shared" si="1"/>
        <v>1449.24</v>
      </c>
      <c r="D12" s="4">
        <f>GETPIVOTDATA(""&amp;D$1,Control!$A$16,"Month",""&amp;A12)</f>
        <v>33613</v>
      </c>
      <c r="E12" s="4">
        <f>GETPIVOTDATA(""&amp;E$1,Control!$A$16,"Month",""&amp;A12)</f>
        <v>26772</v>
      </c>
      <c r="F12" s="4">
        <f t="shared" si="2"/>
        <v>1449.24</v>
      </c>
      <c r="G12" s="4" t="e">
        <f>IFERROR(GETPIVOTDATA(""&amp;D$1,Control!$A$3,"Month",""&amp;$A12),NA())</f>
        <v>#N/A</v>
      </c>
      <c r="H12" s="4" t="e">
        <f>IFERROR(GETPIVOTDATA(""&amp;E$1,Control!$A$3,"Month",""&amp;$A12),NA())</f>
        <v>#N/A</v>
      </c>
      <c r="I12" s="4" t="e">
        <f t="shared" si="3"/>
        <v>#N/A</v>
      </c>
      <c r="J12" s="4" t="e">
        <f t="shared" si="4"/>
        <v>#N/A</v>
      </c>
      <c r="L12" s="26">
        <f t="shared" si="5"/>
        <v>0.55664486213463604</v>
      </c>
    </row>
    <row r="13" spans="1:16" x14ac:dyDescent="0.3">
      <c r="A13" s="22" t="s">
        <v>112</v>
      </c>
      <c r="B13" s="4" t="str">
        <f t="shared" si="0"/>
        <v>DEC</v>
      </c>
      <c r="C13" s="4">
        <f t="shared" si="1"/>
        <v>1449.24</v>
      </c>
      <c r="D13" s="4">
        <f>GETPIVOTDATA(""&amp;D$1,Control!$A$16,"Month",""&amp;A13)</f>
        <v>36231</v>
      </c>
      <c r="E13" s="4">
        <f>GETPIVOTDATA(""&amp;E$1,Control!$A$16,"Month",""&amp;A13)</f>
        <v>24419</v>
      </c>
      <c r="F13" s="4">
        <f t="shared" si="2"/>
        <v>1449.24</v>
      </c>
      <c r="G13" s="4" t="e">
        <f>IFERROR(GETPIVOTDATA(""&amp;D$1,Control!$A$3,"Month",""&amp;$A13),NA())</f>
        <v>#N/A</v>
      </c>
      <c r="H13" s="4" t="e">
        <f>IFERROR(GETPIVOTDATA(""&amp;E$1,Control!$A$3,"Month",""&amp;$A13),NA())</f>
        <v>#N/A</v>
      </c>
      <c r="I13" s="4" t="e">
        <f t="shared" si="3"/>
        <v>#N/A</v>
      </c>
      <c r="J13" s="4" t="e">
        <f t="shared" si="4"/>
        <v>#N/A</v>
      </c>
      <c r="L13" s="26">
        <f t="shared" si="5"/>
        <v>0.59737840065952186</v>
      </c>
    </row>
    <row r="14" spans="1:16" x14ac:dyDescent="0.3">
      <c r="C14" s="20">
        <f>MAX(D2:E13)*4%</f>
        <v>1449.24</v>
      </c>
      <c r="D14" s="25">
        <f>GETPIVOTDATA("Sum of Income",Control!$A$1)</f>
        <v>244388</v>
      </c>
      <c r="E14" s="25">
        <f>GETPIVOTDATA("Sum of Expenses",Control!$A$1)</f>
        <v>180477</v>
      </c>
    </row>
    <row r="16" spans="1:16" x14ac:dyDescent="0.3">
      <c r="A16" s="23" t="s">
        <v>158</v>
      </c>
      <c r="B16" s="25">
        <f>B17-A27</f>
        <v>64083</v>
      </c>
    </row>
    <row r="17" spans="1:16" x14ac:dyDescent="0.3">
      <c r="A17" s="23" t="s">
        <v>137</v>
      </c>
      <c r="B17" s="25">
        <v>300000</v>
      </c>
      <c r="E17" s="4" t="s">
        <v>146</v>
      </c>
      <c r="N17" s="4" t="s">
        <v>173</v>
      </c>
      <c r="O17" s="72" t="s">
        <v>172</v>
      </c>
    </row>
    <row r="18" spans="1:16" x14ac:dyDescent="0.3">
      <c r="A18" s="23" t="s">
        <v>37</v>
      </c>
      <c r="B18" s="25">
        <f>GETPIVOTDATA(""&amp;A18,Control!$A$1)</f>
        <v>86966</v>
      </c>
      <c r="C18" s="26">
        <f>B18/SUM(B24:B25)</f>
        <v>0.20469090181587093</v>
      </c>
      <c r="E18" s="26">
        <f>TRANSPOSE(C18)</f>
        <v>0.20469090181587093</v>
      </c>
      <c r="F18" s="26">
        <f>TRANSPOSE(C19)</f>
        <v>0.6641814618723727</v>
      </c>
      <c r="G18" s="26">
        <f>TRANSPOSE(C20)</f>
        <v>8.8385722523625157E-2</v>
      </c>
      <c r="H18" s="26">
        <f>TRANSPOSE(C21)</f>
        <v>0.15312393348475398</v>
      </c>
      <c r="I18" s="26">
        <f>TRANSPOSE(C22)</f>
        <v>0.21105292269309076</v>
      </c>
      <c r="J18" s="26">
        <f>TRANSPOSE(C23)</f>
        <v>6.0609840772951409E-2</v>
      </c>
      <c r="N18" s="23" t="s">
        <v>90</v>
      </c>
      <c r="O18" s="27">
        <v>0.03</v>
      </c>
      <c r="P18" s="73">
        <f>GETPIVOTDATA(""&amp;N18,Control!$A$1)</f>
        <v>28842.857142857141</v>
      </c>
    </row>
    <row r="19" spans="1:16" x14ac:dyDescent="0.3">
      <c r="A19" s="23" t="s">
        <v>38</v>
      </c>
      <c r="B19" s="25">
        <f>GETPIVOTDATA(""&amp;A19,Control!$A$1)</f>
        <v>119870</v>
      </c>
      <c r="C19" s="26">
        <f t="shared" ref="C19" si="6">B19/SUM(B25:B26)</f>
        <v>0.6641814618723727</v>
      </c>
      <c r="E19" s="27">
        <f>E18</f>
        <v>0.20469090181587093</v>
      </c>
      <c r="F19" s="27">
        <f t="shared" ref="F19:J20" si="7">F18</f>
        <v>0.6641814618723727</v>
      </c>
      <c r="G19" s="27">
        <f t="shared" si="7"/>
        <v>8.8385722523625157E-2</v>
      </c>
      <c r="H19" s="27">
        <f t="shared" si="7"/>
        <v>0.15312393348475398</v>
      </c>
      <c r="I19" s="27">
        <f t="shared" si="7"/>
        <v>0.21105292269309076</v>
      </c>
      <c r="J19" s="27">
        <f t="shared" si="7"/>
        <v>6.0609840772951409E-2</v>
      </c>
      <c r="N19" s="23" t="s">
        <v>91</v>
      </c>
      <c r="O19" s="27">
        <v>0.1</v>
      </c>
      <c r="P19" s="73">
        <f>GETPIVOTDATA(""&amp;N19,Control!$A$1)</f>
        <v>12336.734693877552</v>
      </c>
    </row>
    <row r="20" spans="1:16" x14ac:dyDescent="0.3">
      <c r="A20" s="23" t="s">
        <v>39</v>
      </c>
      <c r="B20" s="25">
        <f>GETPIVOTDATA(""&amp;A20,Control!$A$1)</f>
        <v>37552</v>
      </c>
      <c r="C20" s="26">
        <f>B20/SUM(B24:B25)</f>
        <v>8.8385722523625157E-2</v>
      </c>
      <c r="E20" s="27">
        <f>E19</f>
        <v>0.20469090181587093</v>
      </c>
      <c r="F20" s="27">
        <f t="shared" si="7"/>
        <v>0.6641814618723727</v>
      </c>
      <c r="G20" s="27">
        <f t="shared" si="7"/>
        <v>8.8385722523625157E-2</v>
      </c>
      <c r="H20" s="27">
        <f t="shared" si="7"/>
        <v>0.15312393348475398</v>
      </c>
      <c r="I20" s="27">
        <f t="shared" si="7"/>
        <v>0.21105292269309076</v>
      </c>
      <c r="J20" s="27">
        <f t="shared" si="7"/>
        <v>6.0609840772951409E-2</v>
      </c>
      <c r="N20" s="23" t="s">
        <v>92</v>
      </c>
      <c r="O20" s="27">
        <v>0.05</v>
      </c>
      <c r="P20" s="73">
        <f>GETPIVOTDATA(""&amp;N20,Control!$A$1)</f>
        <v>8681.4408163265307</v>
      </c>
    </row>
    <row r="21" spans="1:16" x14ac:dyDescent="0.3">
      <c r="A21" s="23" t="s">
        <v>40</v>
      </c>
      <c r="B21" s="25">
        <f>GETPIVOTDATA(""&amp;A21,Control!$A$1)</f>
        <v>65057</v>
      </c>
      <c r="C21" s="26">
        <f>B21/SUM(B24:B25)</f>
        <v>0.15312393348475398</v>
      </c>
      <c r="N21" s="23" t="s">
        <v>93</v>
      </c>
      <c r="O21" s="27">
        <v>7.0000000000000007E-2</v>
      </c>
      <c r="P21" s="73">
        <f>GETPIVOTDATA(""&amp;N21,Control!$A$1)</f>
        <v>18122.673469387755</v>
      </c>
    </row>
    <row r="22" spans="1:16" x14ac:dyDescent="0.3">
      <c r="A22" s="23" t="s">
        <v>41</v>
      </c>
      <c r="B22" s="25">
        <f>GETPIVOTDATA(""&amp;A22,Control!$A$1)</f>
        <v>89669</v>
      </c>
      <c r="C22" s="26">
        <f>B22/SUM(B24:B25)</f>
        <v>0.21105292269309076</v>
      </c>
      <c r="E22" s="72" t="s">
        <v>159</v>
      </c>
      <c r="F22" s="4" t="s">
        <v>165</v>
      </c>
      <c r="G22" s="25">
        <f>SUM(F23:F27)</f>
        <v>103614.83289795916</v>
      </c>
      <c r="L22" s="4" t="s">
        <v>166</v>
      </c>
      <c r="P22" s="74">
        <f>SUM(P18:P21)</f>
        <v>67983.706122448973</v>
      </c>
    </row>
    <row r="23" spans="1:16" x14ac:dyDescent="0.3">
      <c r="A23" s="23" t="s">
        <v>42</v>
      </c>
      <c r="B23" s="25">
        <f>GETPIVOTDATA(""&amp;A23,Control!$A$1)</f>
        <v>25751</v>
      </c>
      <c r="C23" s="26">
        <f>B23/SUM(B24:B25)</f>
        <v>6.0609840772951409E-2</v>
      </c>
      <c r="E23" s="23" t="s">
        <v>85</v>
      </c>
      <c r="F23" s="4">
        <f>GETPIVOTDATA(""&amp;E23,Control!$A$1)</f>
        <v>31085.597224489771</v>
      </c>
      <c r="G23" s="26">
        <f>F23/G22</f>
        <v>0.30001107327078502</v>
      </c>
      <c r="H23" s="27">
        <f>G23</f>
        <v>0.30001107327078502</v>
      </c>
      <c r="I23" s="27">
        <f t="shared" ref="I23:K23" si="8">H23</f>
        <v>0.30001107327078502</v>
      </c>
      <c r="J23" s="27">
        <f t="shared" si="8"/>
        <v>0.30001107327078502</v>
      </c>
      <c r="K23" s="27">
        <f t="shared" si="8"/>
        <v>0.30001107327078502</v>
      </c>
      <c r="L23" s="4" t="s">
        <v>167</v>
      </c>
    </row>
    <row r="24" spans="1:16" x14ac:dyDescent="0.3">
      <c r="A24" s="23" t="s">
        <v>144</v>
      </c>
      <c r="B24" s="25">
        <f>B18+B19+B20</f>
        <v>244388</v>
      </c>
      <c r="E24" s="23" t="s">
        <v>86</v>
      </c>
      <c r="F24" s="4">
        <f>GETPIVOTDATA(""&amp;E24,Control!$A$1)</f>
        <v>19526.086938775523</v>
      </c>
      <c r="G24" s="26">
        <f>F24/G22</f>
        <v>0.18844876155911955</v>
      </c>
      <c r="H24" s="27">
        <f t="shared" ref="H24:K27" si="9">G24</f>
        <v>0.18844876155911955</v>
      </c>
      <c r="I24" s="27">
        <f t="shared" si="9"/>
        <v>0.18844876155911955</v>
      </c>
      <c r="J24" s="27">
        <f t="shared" si="9"/>
        <v>0.18844876155911955</v>
      </c>
      <c r="K24" s="27">
        <f t="shared" si="9"/>
        <v>0.18844876155911955</v>
      </c>
      <c r="L24" s="4" t="s">
        <v>168</v>
      </c>
    </row>
    <row r="25" spans="1:16" x14ac:dyDescent="0.3">
      <c r="A25" s="23" t="s">
        <v>145</v>
      </c>
      <c r="B25" s="25">
        <f>B21+B22+B23</f>
        <v>180477</v>
      </c>
      <c r="E25" s="23" t="s">
        <v>87</v>
      </c>
      <c r="F25" s="4">
        <f>GETPIVOTDATA(""&amp;E25,Control!$A$1)</f>
        <v>17897.979224489794</v>
      </c>
      <c r="G25" s="26">
        <f>F25/G22</f>
        <v>0.17273568584640664</v>
      </c>
      <c r="H25" s="27">
        <f t="shared" si="9"/>
        <v>0.17273568584640664</v>
      </c>
      <c r="I25" s="27">
        <f t="shared" si="9"/>
        <v>0.17273568584640664</v>
      </c>
      <c r="J25" s="27">
        <f t="shared" si="9"/>
        <v>0.17273568584640664</v>
      </c>
      <c r="K25" s="27">
        <f t="shared" si="9"/>
        <v>0.17273568584640664</v>
      </c>
      <c r="L25" s="4" t="s">
        <v>170</v>
      </c>
    </row>
    <row r="26" spans="1:16" x14ac:dyDescent="0.3">
      <c r="A26" s="23" t="s">
        <v>157</v>
      </c>
      <c r="B26" s="26">
        <f>SUM(E2:INDEX(E2:E13,K2))/B17</f>
        <v>0.78639000000000003</v>
      </c>
      <c r="C26" s="27">
        <f>1-B26</f>
        <v>0.21360999999999997</v>
      </c>
      <c r="E26" s="23" t="s">
        <v>88</v>
      </c>
      <c r="F26" s="4">
        <f>GETPIVOTDATA(""&amp;E26,Control!$A$1)</f>
        <v>16561.590285714279</v>
      </c>
      <c r="G26" s="26">
        <f>F26/G22</f>
        <v>0.15983802533392383</v>
      </c>
      <c r="H26" s="27">
        <f t="shared" si="9"/>
        <v>0.15983802533392383</v>
      </c>
      <c r="I26" s="27">
        <f t="shared" si="9"/>
        <v>0.15983802533392383</v>
      </c>
      <c r="J26" s="27">
        <f t="shared" si="9"/>
        <v>0.15983802533392383</v>
      </c>
      <c r="K26" s="27">
        <f t="shared" si="9"/>
        <v>0.15983802533392383</v>
      </c>
      <c r="L26" s="4" t="s">
        <v>171</v>
      </c>
    </row>
    <row r="27" spans="1:16" x14ac:dyDescent="0.3">
      <c r="A27" s="71">
        <f>B17*B26</f>
        <v>235917</v>
      </c>
      <c r="E27" s="23" t="s">
        <v>89</v>
      </c>
      <c r="F27" s="4">
        <f>GETPIVOTDATA(""&amp;E27,Control!$A$1)</f>
        <v>18543.579224489793</v>
      </c>
      <c r="G27" s="26">
        <f>F27/G22</f>
        <v>0.17896645398976496</v>
      </c>
      <c r="H27" s="27">
        <f t="shared" si="9"/>
        <v>0.17896645398976496</v>
      </c>
      <c r="I27" s="27">
        <f t="shared" si="9"/>
        <v>0.17896645398976496</v>
      </c>
      <c r="J27" s="27">
        <f t="shared" si="9"/>
        <v>0.17896645398976496</v>
      </c>
      <c r="K27" s="27">
        <f t="shared" si="9"/>
        <v>0.17896645398976496</v>
      </c>
      <c r="L27" s="4" t="s">
        <v>169</v>
      </c>
    </row>
    <row r="28" spans="1:16" x14ac:dyDescent="0.3">
      <c r="G28" s="27">
        <v>1</v>
      </c>
      <c r="H28" s="27">
        <v>1</v>
      </c>
      <c r="I28" s="27">
        <v>1</v>
      </c>
      <c r="J28" s="27">
        <v>1</v>
      </c>
      <c r="K28" s="27">
        <v>1</v>
      </c>
    </row>
    <row r="30" spans="1:16" x14ac:dyDescent="0.3">
      <c r="A30" s="23" t="s">
        <v>178</v>
      </c>
      <c r="B30" s="75" t="s">
        <v>94</v>
      </c>
      <c r="C30" s="75" t="s">
        <v>95</v>
      </c>
      <c r="D30" s="75" t="s">
        <v>96</v>
      </c>
      <c r="E30" s="75" t="s">
        <v>97</v>
      </c>
      <c r="F30" s="4" t="s">
        <v>189</v>
      </c>
    </row>
    <row r="31" spans="1:16" x14ac:dyDescent="0.3">
      <c r="A31" s="20" t="s">
        <v>179</v>
      </c>
      <c r="B31" s="4">
        <f>GETPIVOTDATA(""&amp;B30,Control!$A$1)</f>
        <v>47748.546938775507</v>
      </c>
      <c r="C31" s="4">
        <f>GETPIVOTDATA(""&amp;C30,Control!$A$1)</f>
        <v>29041.216326530612</v>
      </c>
      <c r="D31" s="4">
        <f>GETPIVOTDATA(""&amp;D30,Control!$A$1)</f>
        <v>21960.6</v>
      </c>
      <c r="E31" s="4">
        <f>GETPIVOTDATA(""&amp;E30,Control!$A$1)</f>
        <v>13628.910204081632</v>
      </c>
      <c r="F31" s="25">
        <f>SUM(B31:E31)</f>
        <v>112379.27346938774</v>
      </c>
    </row>
    <row r="32" spans="1:16" x14ac:dyDescent="0.3">
      <c r="A32" s="20" t="s">
        <v>180</v>
      </c>
      <c r="B32" s="4">
        <f>B33-B31</f>
        <v>29251.453061224493</v>
      </c>
      <c r="C32" s="4">
        <f t="shared" ref="C32:E32" si="10">C33-C31</f>
        <v>35958.783673469385</v>
      </c>
      <c r="D32" s="4">
        <f t="shared" si="10"/>
        <v>36039.4</v>
      </c>
      <c r="E32" s="4">
        <f t="shared" si="10"/>
        <v>16371.089795918368</v>
      </c>
      <c r="F32" s="25">
        <f t="shared" ref="F32:F33" si="11">SUM(B32:E32)</f>
        <v>117620.72653061224</v>
      </c>
    </row>
    <row r="33" spans="1:9" x14ac:dyDescent="0.3">
      <c r="A33" s="20" t="s">
        <v>181</v>
      </c>
      <c r="B33" s="4">
        <v>77000</v>
      </c>
      <c r="C33" s="4">
        <v>65000</v>
      </c>
      <c r="D33" s="4">
        <v>58000</v>
      </c>
      <c r="E33" s="4">
        <v>30000</v>
      </c>
      <c r="F33" s="25">
        <f t="shared" si="11"/>
        <v>230000</v>
      </c>
    </row>
    <row r="34" spans="1:9" x14ac:dyDescent="0.3">
      <c r="A34" s="20" t="s">
        <v>184</v>
      </c>
      <c r="B34" s="26">
        <f>B31/B33</f>
        <v>0.62011099920487667</v>
      </c>
      <c r="C34" s="26">
        <f t="shared" ref="C34:E34" si="12">C31/C33</f>
        <v>0.44678794348508633</v>
      </c>
      <c r="D34" s="26">
        <f t="shared" si="12"/>
        <v>0.37863103448275859</v>
      </c>
      <c r="E34" s="26">
        <f t="shared" si="12"/>
        <v>0.45429700680272106</v>
      </c>
      <c r="F34" s="26">
        <f>F31/F33</f>
        <v>0.48860553682342495</v>
      </c>
    </row>
    <row r="35" spans="1:9" x14ac:dyDescent="0.3">
      <c r="A35" s="20" t="s">
        <v>183</v>
      </c>
      <c r="B35" s="26">
        <f>B33/B36</f>
        <v>1</v>
      </c>
      <c r="C35" s="26">
        <f>C33/B36</f>
        <v>0.8441558441558441</v>
      </c>
      <c r="D35" s="26">
        <f>D33/B36</f>
        <v>0.75324675324675328</v>
      </c>
      <c r="E35" s="26">
        <f>E33/B36</f>
        <v>0.38961038961038963</v>
      </c>
      <c r="F35" s="26">
        <f>1-F34</f>
        <v>0.511394463176575</v>
      </c>
    </row>
    <row r="36" spans="1:9" x14ac:dyDescent="0.3">
      <c r="A36" s="20" t="s">
        <v>182</v>
      </c>
      <c r="B36" s="4">
        <f>MAX(B33:E33)</f>
        <v>77000</v>
      </c>
    </row>
    <row r="38" spans="1:9" x14ac:dyDescent="0.3">
      <c r="B38" s="75" t="s">
        <v>97</v>
      </c>
      <c r="D38" s="75" t="s">
        <v>96</v>
      </c>
      <c r="F38" s="75" t="s">
        <v>95</v>
      </c>
      <c r="H38" s="75" t="s">
        <v>94</v>
      </c>
      <c r="I38" s="4" t="s">
        <v>193</v>
      </c>
    </row>
    <row r="39" spans="1:9" x14ac:dyDescent="0.3">
      <c r="A39" s="13" t="s">
        <v>179</v>
      </c>
      <c r="B39" s="26">
        <f>(100%-SUM(B41:B42))*INDEX(B34:E34,1,B43)</f>
        <v>0.13274912536443151</v>
      </c>
      <c r="C39" s="26">
        <f>(100%-SUM(C41:C42))*INDEX(B34:E34,1,C43)</f>
        <v>0.13274912536443151</v>
      </c>
      <c r="D39" s="26">
        <f>(100%-SUM(D41:D42))*INDEX(B34:E34,1,D43)</f>
        <v>0.21390194805194804</v>
      </c>
      <c r="E39" s="26">
        <f>(100%-SUM(E41:E42))*INDEX(B34:E34,1,E43)</f>
        <v>0.21390194805194804</v>
      </c>
      <c r="F39" s="26">
        <f>(100%-SUM(F41:F42))*INDEX(B34:E34,1,F43)</f>
        <v>0.28286899019347994</v>
      </c>
      <c r="G39" s="26">
        <f>(100%-SUM(G41:G42))*INDEX(B34:E34,1,G43)</f>
        <v>0.28286899019347994</v>
      </c>
      <c r="H39" s="26">
        <f>(100%-SUM(H41:H42))*INDEX(B34:E34,1,H43)</f>
        <v>0.46508324940365753</v>
      </c>
      <c r="I39" s="27">
        <v>0.75</v>
      </c>
    </row>
    <row r="40" spans="1:9" x14ac:dyDescent="0.3">
      <c r="A40" s="13" t="s">
        <v>190</v>
      </c>
      <c r="B40" s="26">
        <f>100%-SUM(B41:B42)-B39</f>
        <v>0.15945866684336074</v>
      </c>
      <c r="C40" s="26">
        <f t="shared" ref="C40:H40" si="13">100%-SUM(C41:C42)-C39</f>
        <v>0.15945866684336074</v>
      </c>
      <c r="D40" s="26">
        <f t="shared" si="13"/>
        <v>0.35103311688311689</v>
      </c>
      <c r="E40" s="26">
        <f t="shared" si="13"/>
        <v>0.35103311688311689</v>
      </c>
      <c r="F40" s="26">
        <f t="shared" si="13"/>
        <v>0.35024789292340314</v>
      </c>
      <c r="G40" s="26">
        <f t="shared" si="13"/>
        <v>0.35024789292340314</v>
      </c>
      <c r="H40" s="26">
        <f t="shared" si="13"/>
        <v>0.28491675059634247</v>
      </c>
      <c r="I40" s="27">
        <v>0</v>
      </c>
    </row>
    <row r="41" spans="1:9" x14ac:dyDescent="0.3">
      <c r="A41" s="13" t="s">
        <v>191</v>
      </c>
      <c r="B41" s="26">
        <f>(100%-INDEX(B35:E35,1,B43))*I39</f>
        <v>0.45779220779220775</v>
      </c>
      <c r="C41" s="26">
        <f>(100%-INDEX(B35:E35,1,C43))*I39</f>
        <v>0.45779220779220775</v>
      </c>
      <c r="D41" s="26">
        <f>(100%-INDEX(B35:E35,1,D43))*I39</f>
        <v>0.18506493506493504</v>
      </c>
      <c r="E41" s="26">
        <f>(100%-INDEX(B35:E35,1,E43))*I39</f>
        <v>0.18506493506493504</v>
      </c>
      <c r="F41" s="26">
        <f>(100%-INDEX(B35:E35,1,F43))*I39</f>
        <v>0.11688311688311692</v>
      </c>
      <c r="G41" s="26">
        <f>(100%-INDEX(B35:E35,1,G43))*I39</f>
        <v>0.11688311688311692</v>
      </c>
      <c r="H41" s="26">
        <f>(100%-INDEX(B35:E35,1,H43))*I39</f>
        <v>0</v>
      </c>
      <c r="I41" s="27">
        <v>0</v>
      </c>
    </row>
    <row r="42" spans="1:9" x14ac:dyDescent="0.3">
      <c r="A42" s="13" t="s">
        <v>192</v>
      </c>
      <c r="B42" s="27">
        <f>I42</f>
        <v>0.25</v>
      </c>
      <c r="C42" s="27">
        <f>I42</f>
        <v>0.25</v>
      </c>
      <c r="D42" s="27">
        <f>I42</f>
        <v>0.25</v>
      </c>
      <c r="E42" s="27">
        <f>I42</f>
        <v>0.25</v>
      </c>
      <c r="F42" s="27">
        <f>I42</f>
        <v>0.25</v>
      </c>
      <c r="G42" s="27">
        <f>I42</f>
        <v>0.25</v>
      </c>
      <c r="H42" s="27">
        <f>I42</f>
        <v>0.25</v>
      </c>
      <c r="I42" s="27">
        <v>0.25</v>
      </c>
    </row>
    <row r="43" spans="1:9" x14ac:dyDescent="0.3">
      <c r="B43" s="4">
        <v>4</v>
      </c>
      <c r="C43" s="4">
        <v>4</v>
      </c>
      <c r="D43" s="4">
        <v>3</v>
      </c>
      <c r="E43" s="4">
        <v>3</v>
      </c>
      <c r="F43" s="4">
        <v>2</v>
      </c>
      <c r="G43" s="4">
        <v>2</v>
      </c>
      <c r="H43" s="4">
        <v>1</v>
      </c>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C3E63-3C73-4DF0-A068-0230E332625B}">
  <dimension ref="A1:X29"/>
  <sheetViews>
    <sheetView topLeftCell="Q1" workbookViewId="0">
      <selection activeCell="X3" sqref="X3"/>
    </sheetView>
  </sheetViews>
  <sheetFormatPr defaultRowHeight="14.4" x14ac:dyDescent="0.3"/>
  <cols>
    <col min="1" max="1" width="12.5546875" bestFit="1" customWidth="1"/>
    <col min="2" max="2" width="15" bestFit="1" customWidth="1"/>
    <col min="3" max="3" width="13.88671875" bestFit="1" customWidth="1"/>
    <col min="4" max="4" width="17.33203125" bestFit="1" customWidth="1"/>
    <col min="5" max="5" width="15.21875" bestFit="1" customWidth="1"/>
    <col min="6" max="6" width="22.109375" bestFit="1" customWidth="1"/>
    <col min="7" max="7" width="17.77734375" bestFit="1" customWidth="1"/>
    <col min="8" max="8" width="19.21875" bestFit="1" customWidth="1"/>
    <col min="9" max="9" width="20.33203125" bestFit="1" customWidth="1"/>
    <col min="10" max="10" width="16.77734375" bestFit="1" customWidth="1"/>
    <col min="11" max="11" width="16.44140625" bestFit="1" customWidth="1"/>
    <col min="12" max="12" width="28.88671875" bestFit="1" customWidth="1"/>
    <col min="13" max="13" width="29.88671875" bestFit="1" customWidth="1"/>
    <col min="14" max="14" width="35" bestFit="1" customWidth="1"/>
    <col min="15" max="15" width="31" bestFit="1" customWidth="1"/>
    <col min="16" max="16" width="25.6640625" bestFit="1" customWidth="1"/>
    <col min="17" max="17" width="19" bestFit="1" customWidth="1"/>
    <col min="18" max="18" width="20.21875" bestFit="1" customWidth="1"/>
    <col min="19" max="19" width="24.88671875" bestFit="1" customWidth="1"/>
    <col min="20" max="20" width="20.109375" bestFit="1" customWidth="1"/>
    <col min="21" max="24" width="15.88671875" bestFit="1" customWidth="1"/>
  </cols>
  <sheetData>
    <row r="1" spans="1:24" x14ac:dyDescent="0.3">
      <c r="A1" s="12" t="s">
        <v>100</v>
      </c>
      <c r="B1" t="s">
        <v>130</v>
      </c>
      <c r="C1" t="s">
        <v>114</v>
      </c>
      <c r="D1" t="s">
        <v>136</v>
      </c>
      <c r="E1" t="s">
        <v>115</v>
      </c>
      <c r="F1" t="s">
        <v>138</v>
      </c>
      <c r="G1" t="s">
        <v>139</v>
      </c>
      <c r="H1" t="s">
        <v>140</v>
      </c>
      <c r="I1" t="s">
        <v>141</v>
      </c>
      <c r="J1" t="s">
        <v>142</v>
      </c>
      <c r="K1" t="s">
        <v>143</v>
      </c>
      <c r="L1" t="s">
        <v>160</v>
      </c>
      <c r="M1" t="s">
        <v>161</v>
      </c>
      <c r="N1" t="s">
        <v>162</v>
      </c>
      <c r="O1" t="s">
        <v>163</v>
      </c>
      <c r="P1" t="s">
        <v>164</v>
      </c>
      <c r="Q1" t="s">
        <v>174</v>
      </c>
      <c r="R1" t="s">
        <v>175</v>
      </c>
      <c r="S1" t="s">
        <v>176</v>
      </c>
      <c r="T1" t="s">
        <v>177</v>
      </c>
      <c r="U1" t="s">
        <v>185</v>
      </c>
      <c r="V1" t="s">
        <v>186</v>
      </c>
      <c r="W1" t="s">
        <v>187</v>
      </c>
      <c r="X1" t="s">
        <v>188</v>
      </c>
    </row>
    <row r="2" spans="1:24" x14ac:dyDescent="0.3">
      <c r="A2" s="13" t="s">
        <v>103</v>
      </c>
      <c r="B2">
        <v>3</v>
      </c>
      <c r="C2">
        <v>22196</v>
      </c>
      <c r="D2">
        <v>4874.7419354838712</v>
      </c>
      <c r="E2">
        <v>22099</v>
      </c>
      <c r="F2">
        <v>7857</v>
      </c>
      <c r="G2">
        <v>11024</v>
      </c>
      <c r="H2">
        <v>3315</v>
      </c>
      <c r="I2">
        <v>8658</v>
      </c>
      <c r="J2">
        <v>10469</v>
      </c>
      <c r="K2">
        <v>2972</v>
      </c>
      <c r="L2" s="5">
        <v>37933.062903225808</v>
      </c>
      <c r="M2" s="5">
        <v>22967.649677419358</v>
      </c>
      <c r="N2" s="5">
        <v>21537.712903225813</v>
      </c>
      <c r="O2" s="5">
        <v>19901.928064516131</v>
      </c>
      <c r="P2" s="5">
        <v>24838.400967741934</v>
      </c>
      <c r="Q2" s="5">
        <v>41080.645161290326</v>
      </c>
      <c r="R2" s="5">
        <v>14354.838709677419</v>
      </c>
      <c r="S2" s="5">
        <v>8967.1290322580644</v>
      </c>
      <c r="T2" s="5">
        <v>21415.064516129034</v>
      </c>
      <c r="U2" s="5">
        <v>30623</v>
      </c>
      <c r="V2" s="5">
        <v>8722</v>
      </c>
      <c r="W2" s="5">
        <v>6172</v>
      </c>
      <c r="X2" s="5">
        <v>2143</v>
      </c>
    </row>
    <row r="3" spans="1:24" x14ac:dyDescent="0.3">
      <c r="A3" s="13" t="s">
        <v>104</v>
      </c>
      <c r="B3">
        <v>4</v>
      </c>
      <c r="C3">
        <v>25558</v>
      </c>
      <c r="D3">
        <v>4806.666666666667</v>
      </c>
      <c r="E3">
        <v>19614</v>
      </c>
      <c r="F3">
        <v>9817</v>
      </c>
      <c r="G3">
        <v>11804</v>
      </c>
      <c r="H3">
        <v>3937</v>
      </c>
      <c r="I3">
        <v>6727</v>
      </c>
      <c r="J3">
        <v>10377</v>
      </c>
      <c r="K3">
        <v>2510</v>
      </c>
      <c r="L3" s="5">
        <v>28170.174333333332</v>
      </c>
      <c r="M3" s="5">
        <v>18431.366666666672</v>
      </c>
      <c r="N3" s="5">
        <v>17129.156999999999</v>
      </c>
      <c r="O3" s="5">
        <v>14639.856333333333</v>
      </c>
      <c r="P3" s="5">
        <v>14968.850333333334</v>
      </c>
      <c r="Q3" s="5">
        <v>37633.333333333336</v>
      </c>
      <c r="R3" s="5">
        <v>14791.666666666666</v>
      </c>
      <c r="S3" s="5">
        <v>10260.799999999999</v>
      </c>
      <c r="T3" s="5">
        <v>21284.6</v>
      </c>
      <c r="U3" s="5">
        <v>35764</v>
      </c>
      <c r="V3" s="5">
        <v>13723</v>
      </c>
      <c r="W3" s="5">
        <v>8643</v>
      </c>
      <c r="X3" s="5">
        <v>5764</v>
      </c>
    </row>
    <row r="4" spans="1:24" x14ac:dyDescent="0.3">
      <c r="A4" s="13" t="s">
        <v>105</v>
      </c>
      <c r="B4">
        <v>5</v>
      </c>
      <c r="C4">
        <v>31043</v>
      </c>
      <c r="D4">
        <v>4125.9032258064517</v>
      </c>
      <c r="E4">
        <v>24519</v>
      </c>
      <c r="F4">
        <v>10953</v>
      </c>
      <c r="G4">
        <v>15158</v>
      </c>
      <c r="H4">
        <v>4932</v>
      </c>
      <c r="I4">
        <v>9137</v>
      </c>
      <c r="J4">
        <v>11921</v>
      </c>
      <c r="K4">
        <v>3461</v>
      </c>
      <c r="L4" s="5">
        <v>26294.359354838718</v>
      </c>
      <c r="M4" s="5">
        <v>17321.329354838708</v>
      </c>
      <c r="N4" s="5">
        <v>15817.025161290321</v>
      </c>
      <c r="O4" s="5">
        <v>13975.720645161291</v>
      </c>
      <c r="P4" s="5">
        <v>15784.787419354836</v>
      </c>
      <c r="Q4" s="5">
        <v>34080.645161290326</v>
      </c>
      <c r="R4" s="5">
        <v>15000</v>
      </c>
      <c r="S4" s="5">
        <v>11477.096774193549</v>
      </c>
      <c r="T4" s="5">
        <v>21792.096774193549</v>
      </c>
      <c r="U4" s="5">
        <v>41565</v>
      </c>
      <c r="V4" s="5">
        <v>18624</v>
      </c>
      <c r="W4" s="5">
        <v>12724</v>
      </c>
      <c r="X4" s="5">
        <v>9545</v>
      </c>
    </row>
    <row r="5" spans="1:24" x14ac:dyDescent="0.3">
      <c r="A5" s="13" t="s">
        <v>106</v>
      </c>
      <c r="B5">
        <v>6</v>
      </c>
      <c r="C5">
        <v>31211</v>
      </c>
      <c r="D5">
        <v>4497.9666666666662</v>
      </c>
      <c r="E5">
        <v>24837</v>
      </c>
      <c r="F5">
        <v>11590</v>
      </c>
      <c r="G5">
        <v>15003</v>
      </c>
      <c r="H5">
        <v>4618</v>
      </c>
      <c r="I5">
        <v>9032</v>
      </c>
      <c r="J5">
        <v>12075</v>
      </c>
      <c r="K5">
        <v>3730</v>
      </c>
      <c r="L5" s="5">
        <v>31848.221333333335</v>
      </c>
      <c r="M5" s="5">
        <v>20281.182666666668</v>
      </c>
      <c r="N5" s="5">
        <v>18021.42766666667</v>
      </c>
      <c r="O5" s="5">
        <v>16422.948000000004</v>
      </c>
      <c r="P5" s="5">
        <v>19640.417666666668</v>
      </c>
      <c r="Q5" s="5">
        <v>30633.333333333332</v>
      </c>
      <c r="R5" s="5">
        <v>12875</v>
      </c>
      <c r="S5" s="5">
        <v>8324.2999999999993</v>
      </c>
      <c r="T5" s="5">
        <v>19086.466666666667</v>
      </c>
      <c r="U5" s="5">
        <v>48286</v>
      </c>
      <c r="V5" s="5">
        <v>22765</v>
      </c>
      <c r="W5" s="5">
        <v>21425</v>
      </c>
      <c r="X5" s="5">
        <v>11977</v>
      </c>
    </row>
    <row r="6" spans="1:24" x14ac:dyDescent="0.3">
      <c r="A6" s="13" t="s">
        <v>107</v>
      </c>
      <c r="B6">
        <v>7</v>
      </c>
      <c r="C6">
        <v>30268</v>
      </c>
      <c r="D6">
        <v>4569.8064516129034</v>
      </c>
      <c r="E6">
        <v>21183</v>
      </c>
      <c r="F6">
        <v>10675</v>
      </c>
      <c r="G6">
        <v>14573</v>
      </c>
      <c r="H6">
        <v>5020</v>
      </c>
      <c r="I6">
        <v>7342</v>
      </c>
      <c r="J6">
        <v>10596</v>
      </c>
      <c r="K6">
        <v>3245</v>
      </c>
      <c r="L6" s="5">
        <v>25897.293548387093</v>
      </c>
      <c r="M6" s="5">
        <v>16191.412580645161</v>
      </c>
      <c r="N6" s="5">
        <v>15279.436774193548</v>
      </c>
      <c r="O6" s="5">
        <v>13726.175483870966</v>
      </c>
      <c r="P6" s="5">
        <v>14619.659032258063</v>
      </c>
      <c r="Q6" s="5">
        <v>27080.645161290322</v>
      </c>
      <c r="R6" s="5">
        <v>11693.548387096775</v>
      </c>
      <c r="S6" s="5">
        <v>7517.6129032258068</v>
      </c>
      <c r="T6" s="5">
        <v>16256.258064516129</v>
      </c>
      <c r="U6" s="5">
        <v>49237</v>
      </c>
      <c r="V6" s="5">
        <v>30576</v>
      </c>
      <c r="W6" s="5">
        <v>23946</v>
      </c>
      <c r="X6" s="5">
        <v>13866</v>
      </c>
    </row>
    <row r="7" spans="1:24" x14ac:dyDescent="0.3">
      <c r="A7" s="13" t="s">
        <v>108</v>
      </c>
      <c r="B7">
        <v>8</v>
      </c>
      <c r="C7">
        <v>35419</v>
      </c>
      <c r="D7">
        <v>4312.5161290322585</v>
      </c>
      <c r="E7">
        <v>22263</v>
      </c>
      <c r="F7">
        <v>11695</v>
      </c>
      <c r="G7">
        <v>18781</v>
      </c>
      <c r="H7">
        <v>4943</v>
      </c>
      <c r="I7">
        <v>8546</v>
      </c>
      <c r="J7">
        <v>10831</v>
      </c>
      <c r="K7">
        <v>2886</v>
      </c>
      <c r="L7" s="5">
        <v>29516.518387096781</v>
      </c>
      <c r="M7" s="5">
        <v>19705.898709677418</v>
      </c>
      <c r="N7" s="5">
        <v>15960.212258064515</v>
      </c>
      <c r="O7" s="5">
        <v>15341.458709677412</v>
      </c>
      <c r="P7" s="5">
        <v>18038.057741935485</v>
      </c>
      <c r="Q7" s="5">
        <v>23580.645161290322</v>
      </c>
      <c r="R7" s="5">
        <v>11250</v>
      </c>
      <c r="S7" s="5">
        <v>8178.8387096774195</v>
      </c>
      <c r="T7" s="5">
        <v>17385.096774193549</v>
      </c>
      <c r="U7" s="5">
        <v>51528</v>
      </c>
      <c r="V7" s="5">
        <v>40447</v>
      </c>
      <c r="W7" s="5">
        <v>28127</v>
      </c>
      <c r="X7" s="5">
        <v>18319</v>
      </c>
    </row>
    <row r="8" spans="1:24" x14ac:dyDescent="0.3">
      <c r="A8" s="13" t="s">
        <v>109</v>
      </c>
      <c r="B8">
        <v>9</v>
      </c>
      <c r="C8">
        <v>35296</v>
      </c>
      <c r="D8">
        <v>4022.3</v>
      </c>
      <c r="E8">
        <v>25507</v>
      </c>
      <c r="F8">
        <v>11859</v>
      </c>
      <c r="G8">
        <v>17735</v>
      </c>
      <c r="H8">
        <v>5702</v>
      </c>
      <c r="I8">
        <v>8852</v>
      </c>
      <c r="J8">
        <v>12996</v>
      </c>
      <c r="K8">
        <v>3659</v>
      </c>
      <c r="L8" s="5">
        <v>36384.66333333333</v>
      </c>
      <c r="M8" s="5">
        <v>21206.625666666667</v>
      </c>
      <c r="N8" s="5">
        <v>20620.794999999998</v>
      </c>
      <c r="O8" s="5">
        <v>19382.436999999998</v>
      </c>
      <c r="P8" s="5">
        <v>21802.00266666666</v>
      </c>
      <c r="Q8" s="5">
        <v>20133.333333333332</v>
      </c>
      <c r="R8" s="5">
        <v>10000</v>
      </c>
      <c r="S8" s="5">
        <v>7571.833333333333</v>
      </c>
      <c r="T8" s="5">
        <v>13266.533333333333</v>
      </c>
      <c r="U8" s="5">
        <v>60889</v>
      </c>
      <c r="V8" s="5">
        <v>47668</v>
      </c>
      <c r="W8" s="5">
        <v>34859</v>
      </c>
      <c r="X8" s="5">
        <v>23168</v>
      </c>
    </row>
    <row r="9" spans="1:24" x14ac:dyDescent="0.3">
      <c r="A9" s="13" t="s">
        <v>110</v>
      </c>
      <c r="B9">
        <v>10</v>
      </c>
      <c r="C9">
        <v>33397</v>
      </c>
      <c r="D9">
        <v>4510.4838709677415</v>
      </c>
      <c r="E9">
        <v>20455</v>
      </c>
      <c r="F9">
        <v>12520</v>
      </c>
      <c r="G9">
        <v>15792</v>
      </c>
      <c r="H9">
        <v>5085</v>
      </c>
      <c r="I9">
        <v>6763</v>
      </c>
      <c r="J9">
        <v>10404</v>
      </c>
      <c r="K9">
        <v>3288</v>
      </c>
      <c r="L9" s="5">
        <v>32741.977096774193</v>
      </c>
      <c r="M9" s="5">
        <v>20146.485483870969</v>
      </c>
      <c r="N9" s="5">
        <v>18885.081290322581</v>
      </c>
      <c r="O9" s="5">
        <v>19126.72935483871</v>
      </c>
      <c r="P9" s="5">
        <v>18681.636451612903</v>
      </c>
      <c r="Q9" s="5">
        <v>16580.645161290322</v>
      </c>
      <c r="R9" s="5">
        <v>8750</v>
      </c>
      <c r="S9" s="5">
        <v>7157.5483870967746</v>
      </c>
      <c r="T9" s="5">
        <v>14471.709677419354</v>
      </c>
      <c r="U9" s="5">
        <v>64151</v>
      </c>
      <c r="V9" s="5">
        <v>49709</v>
      </c>
      <c r="W9" s="5">
        <v>39758</v>
      </c>
      <c r="X9" s="5">
        <v>24250</v>
      </c>
    </row>
    <row r="10" spans="1:24" x14ac:dyDescent="0.3">
      <c r="A10" s="13" t="s">
        <v>113</v>
      </c>
      <c r="B10">
        <v>10</v>
      </c>
      <c r="C10">
        <v>244388</v>
      </c>
      <c r="D10">
        <v>4465.3265306122448</v>
      </c>
      <c r="E10">
        <v>180477</v>
      </c>
      <c r="F10">
        <v>86966</v>
      </c>
      <c r="G10">
        <v>119870</v>
      </c>
      <c r="H10">
        <v>37552</v>
      </c>
      <c r="I10">
        <v>65057</v>
      </c>
      <c r="J10">
        <v>89669</v>
      </c>
      <c r="K10">
        <v>25751</v>
      </c>
      <c r="L10" s="5">
        <v>31085.597224489771</v>
      </c>
      <c r="M10" s="5">
        <v>19526.086938775523</v>
      </c>
      <c r="N10" s="5">
        <v>17897.979224489794</v>
      </c>
      <c r="O10" s="5">
        <v>16561.590285714279</v>
      </c>
      <c r="P10" s="5">
        <v>18543.579224489793</v>
      </c>
      <c r="Q10" s="5">
        <v>28842.857142857141</v>
      </c>
      <c r="R10" s="5">
        <v>12336.734693877552</v>
      </c>
      <c r="S10" s="5">
        <v>8681.4408163265307</v>
      </c>
      <c r="T10" s="5">
        <v>18122.673469387755</v>
      </c>
      <c r="U10" s="5">
        <v>47748.546938775507</v>
      </c>
      <c r="V10" s="5">
        <v>29041.216326530612</v>
      </c>
      <c r="W10" s="5">
        <v>21960.6</v>
      </c>
      <c r="X10" s="5">
        <v>13628.910204081632</v>
      </c>
    </row>
    <row r="16" spans="1:24" x14ac:dyDescent="0.3">
      <c r="A16" s="12" t="s">
        <v>100</v>
      </c>
      <c r="B16" t="s">
        <v>114</v>
      </c>
      <c r="C16" t="s">
        <v>115</v>
      </c>
    </row>
    <row r="17" spans="1:3" x14ac:dyDescent="0.3">
      <c r="A17" s="13" t="s">
        <v>101</v>
      </c>
      <c r="B17">
        <v>18166</v>
      </c>
      <c r="C17">
        <v>20397</v>
      </c>
    </row>
    <row r="18" spans="1:3" x14ac:dyDescent="0.3">
      <c r="A18" s="13" t="s">
        <v>102</v>
      </c>
      <c r="B18">
        <v>19801</v>
      </c>
      <c r="C18">
        <v>26548</v>
      </c>
    </row>
    <row r="19" spans="1:3" x14ac:dyDescent="0.3">
      <c r="A19" s="13" t="s">
        <v>103</v>
      </c>
      <c r="B19">
        <v>22196</v>
      </c>
      <c r="C19">
        <v>22099</v>
      </c>
    </row>
    <row r="20" spans="1:3" x14ac:dyDescent="0.3">
      <c r="A20" s="13" t="s">
        <v>104</v>
      </c>
      <c r="B20">
        <v>25558</v>
      </c>
      <c r="C20">
        <v>19614</v>
      </c>
    </row>
    <row r="21" spans="1:3" x14ac:dyDescent="0.3">
      <c r="A21" s="13" t="s">
        <v>105</v>
      </c>
      <c r="B21">
        <v>31043</v>
      </c>
      <c r="C21">
        <v>24519</v>
      </c>
    </row>
    <row r="22" spans="1:3" x14ac:dyDescent="0.3">
      <c r="A22" s="13" t="s">
        <v>106</v>
      </c>
      <c r="B22">
        <v>31211</v>
      </c>
      <c r="C22">
        <v>24837</v>
      </c>
    </row>
    <row r="23" spans="1:3" x14ac:dyDescent="0.3">
      <c r="A23" s="13" t="s">
        <v>107</v>
      </c>
      <c r="B23">
        <v>30268</v>
      </c>
      <c r="C23">
        <v>21183</v>
      </c>
    </row>
    <row r="24" spans="1:3" x14ac:dyDescent="0.3">
      <c r="A24" s="13" t="s">
        <v>108</v>
      </c>
      <c r="B24">
        <v>35419</v>
      </c>
      <c r="C24">
        <v>22263</v>
      </c>
    </row>
    <row r="25" spans="1:3" x14ac:dyDescent="0.3">
      <c r="A25" s="13" t="s">
        <v>109</v>
      </c>
      <c r="B25">
        <v>35296</v>
      </c>
      <c r="C25">
        <v>25507</v>
      </c>
    </row>
    <row r="26" spans="1:3" x14ac:dyDescent="0.3">
      <c r="A26" s="13" t="s">
        <v>110</v>
      </c>
      <c r="B26">
        <v>33397</v>
      </c>
      <c r="C26">
        <v>20455</v>
      </c>
    </row>
    <row r="27" spans="1:3" x14ac:dyDescent="0.3">
      <c r="A27" s="13" t="s">
        <v>111</v>
      </c>
      <c r="B27">
        <v>33613</v>
      </c>
      <c r="C27">
        <v>26772</v>
      </c>
    </row>
    <row r="28" spans="1:3" x14ac:dyDescent="0.3">
      <c r="A28" s="13" t="s">
        <v>112</v>
      </c>
      <c r="B28">
        <v>36231</v>
      </c>
      <c r="C28">
        <v>24419</v>
      </c>
    </row>
    <row r="29" spans="1:3" x14ac:dyDescent="0.3">
      <c r="A29" s="13" t="s">
        <v>113</v>
      </c>
      <c r="B29">
        <v>352199</v>
      </c>
      <c r="C29">
        <v>278613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BF466-6D7C-46D2-9BD0-01383B38277B}">
  <dimension ref="A1:BP367"/>
  <sheetViews>
    <sheetView topLeftCell="BD1" workbookViewId="0">
      <selection activeCell="BK1" sqref="BK1:BN1"/>
    </sheetView>
  </sheetViews>
  <sheetFormatPr defaultRowHeight="14.4" x14ac:dyDescent="0.3"/>
  <cols>
    <col min="1" max="1" width="10.33203125" style="6" bestFit="1" customWidth="1"/>
    <col min="2" max="2" width="8.88671875" style="6"/>
    <col min="3" max="3" width="10.44140625" style="6" customWidth="1"/>
    <col min="4" max="4" width="9.21875" style="6" customWidth="1"/>
    <col min="5" max="5" width="10.5546875" style="6" customWidth="1"/>
    <col min="6" max="6" width="17.21875" style="6" customWidth="1"/>
    <col min="7" max="7" width="15.44140625" style="6" customWidth="1"/>
    <col min="8" max="8" width="14.44140625" style="6" customWidth="1"/>
    <col min="9" max="9" width="15.5546875" style="6" customWidth="1"/>
    <col min="10" max="10" width="13.6640625" style="6" customWidth="1"/>
    <col min="11" max="11" width="12.33203125" style="6" customWidth="1"/>
    <col min="12" max="12" width="23.109375" style="6" customWidth="1"/>
    <col min="13" max="13" width="21.44140625" style="6" customWidth="1"/>
    <col min="14" max="14" width="25.44140625" style="6" customWidth="1"/>
    <col min="15" max="15" width="17.33203125" style="6" customWidth="1"/>
    <col min="16" max="16" width="27.77734375" style="6" customWidth="1"/>
    <col min="17" max="17" width="24.77734375" style="6" customWidth="1"/>
    <col min="18" max="18" width="25.6640625" style="6" customWidth="1"/>
    <col min="19" max="19" width="28.21875" style="6" customWidth="1"/>
    <col min="20" max="20" width="24.33203125" style="6" bestFit="1" customWidth="1"/>
    <col min="21" max="21" width="30.6640625" style="6" customWidth="1"/>
    <col min="22" max="22" width="7.77734375" style="6" customWidth="1"/>
    <col min="23" max="23" width="16.44140625" style="6" customWidth="1"/>
    <col min="24" max="24" width="21.77734375" style="6" customWidth="1"/>
    <col min="25" max="25" width="18.6640625" style="6" customWidth="1"/>
    <col min="26" max="26" width="7.109375" style="6" customWidth="1"/>
    <col min="27" max="27" width="16.6640625" style="6" customWidth="1"/>
    <col min="28" max="28" width="14.21875" style="6" customWidth="1"/>
    <col min="29" max="29" width="20.5546875" style="6" customWidth="1"/>
    <col min="30" max="30" width="19.21875" style="6" customWidth="1"/>
    <col min="31" max="31" width="21.44140625" style="6" customWidth="1"/>
    <col min="32" max="32" width="10.109375" style="6" customWidth="1"/>
    <col min="33" max="33" width="19.88671875" style="6" customWidth="1"/>
    <col min="34" max="34" width="6.77734375" style="6" customWidth="1"/>
    <col min="35" max="35" width="17.5546875" style="6" customWidth="1"/>
    <col min="36" max="36" width="13.21875" style="6" customWidth="1"/>
    <col min="37" max="37" width="12.21875" style="6" customWidth="1"/>
    <col min="38" max="38" width="19.88671875" style="6" customWidth="1"/>
    <col min="39" max="39" width="6.33203125" style="6" customWidth="1"/>
    <col min="40" max="40" width="12.33203125" style="6" customWidth="1"/>
    <col min="41" max="41" width="9.21875" style="6" customWidth="1"/>
    <col min="42" max="42" width="10.109375" style="6" customWidth="1"/>
    <col min="43" max="43" width="11.109375" style="6" customWidth="1"/>
    <col min="44" max="44" width="10" style="6" customWidth="1"/>
    <col min="45" max="45" width="11.6640625" style="6" customWidth="1"/>
    <col min="46" max="46" width="12.77734375" style="6" customWidth="1"/>
    <col min="47" max="47" width="8.88671875" style="6"/>
    <col min="48" max="48" width="21.44140625" style="6" customWidth="1"/>
    <col min="49" max="49" width="18.44140625" style="6" customWidth="1"/>
    <col min="50" max="50" width="9.21875" style="6" customWidth="1"/>
    <col min="51" max="51" width="8.88671875" style="6"/>
    <col min="52" max="52" width="21.109375" style="6" customWidth="1"/>
    <col min="53" max="53" width="25.5546875" style="6" customWidth="1"/>
    <col min="54" max="54" width="20.77734375" style="6" customWidth="1"/>
    <col min="55" max="55" width="21.6640625" style="6" customWidth="1"/>
    <col min="56" max="56" width="26.6640625" style="6" customWidth="1"/>
    <col min="57" max="57" width="22.77734375" style="6" customWidth="1"/>
    <col min="58" max="58" width="17.5546875" style="6" customWidth="1"/>
    <col min="59" max="59" width="11.109375" style="6" customWidth="1"/>
    <col min="60" max="60" width="12.33203125" style="6" customWidth="1"/>
    <col min="61" max="61" width="16.88671875" style="6" customWidth="1"/>
    <col min="62" max="62" width="12.21875" style="6" customWidth="1"/>
    <col min="63" max="66" width="8.88671875" style="6"/>
    <col min="67" max="67" width="14.21875" style="6" customWidth="1"/>
    <col min="68" max="68" width="9.44140625" style="6" customWidth="1"/>
    <col min="69" max="16384" width="8.88671875" style="6"/>
  </cols>
  <sheetData>
    <row r="1" spans="1:68" s="18" customFormat="1" x14ac:dyDescent="0.3">
      <c r="A1" s="14" t="s">
        <v>32</v>
      </c>
      <c r="B1" s="14" t="s">
        <v>33</v>
      </c>
      <c r="C1" s="14" t="s">
        <v>34</v>
      </c>
      <c r="D1" s="14" t="s">
        <v>35</v>
      </c>
      <c r="E1" s="14" t="s">
        <v>36</v>
      </c>
      <c r="F1" s="15" t="s">
        <v>37</v>
      </c>
      <c r="G1" s="15" t="s">
        <v>38</v>
      </c>
      <c r="H1" s="15" t="s">
        <v>39</v>
      </c>
      <c r="I1" s="15" t="s">
        <v>40</v>
      </c>
      <c r="J1" s="15" t="s">
        <v>41</v>
      </c>
      <c r="K1" s="15" t="s">
        <v>42</v>
      </c>
      <c r="L1" s="15" t="s">
        <v>43</v>
      </c>
      <c r="M1" s="15" t="s">
        <v>44</v>
      </c>
      <c r="N1" s="15" t="s">
        <v>45</v>
      </c>
      <c r="O1" s="15" t="s">
        <v>46</v>
      </c>
      <c r="P1" s="15" t="s">
        <v>47</v>
      </c>
      <c r="Q1" s="15" t="s">
        <v>48</v>
      </c>
      <c r="R1" s="15" t="s">
        <v>49</v>
      </c>
      <c r="S1" s="15" t="s">
        <v>50</v>
      </c>
      <c r="T1" s="15" t="s">
        <v>51</v>
      </c>
      <c r="U1" s="15" t="s">
        <v>52</v>
      </c>
      <c r="V1" s="15" t="s">
        <v>53</v>
      </c>
      <c r="W1" s="15" t="s">
        <v>54</v>
      </c>
      <c r="X1" s="15" t="s">
        <v>55</v>
      </c>
      <c r="Y1" s="15" t="s">
        <v>56</v>
      </c>
      <c r="Z1" s="15" t="s">
        <v>57</v>
      </c>
      <c r="AA1" s="15" t="s">
        <v>58</v>
      </c>
      <c r="AB1" s="15" t="s">
        <v>59</v>
      </c>
      <c r="AC1" s="15" t="s">
        <v>60</v>
      </c>
      <c r="AD1" s="15" t="s">
        <v>61</v>
      </c>
      <c r="AE1" s="15" t="s">
        <v>62</v>
      </c>
      <c r="AF1" s="15" t="s">
        <v>63</v>
      </c>
      <c r="AG1" s="15" t="s">
        <v>64</v>
      </c>
      <c r="AH1" s="15" t="s">
        <v>65</v>
      </c>
      <c r="AI1" s="15" t="s">
        <v>66</v>
      </c>
      <c r="AJ1" s="15" t="s">
        <v>67</v>
      </c>
      <c r="AK1" s="15" t="s">
        <v>68</v>
      </c>
      <c r="AL1" s="15" t="s">
        <v>69</v>
      </c>
      <c r="AM1" s="15" t="s">
        <v>70</v>
      </c>
      <c r="AN1" s="15" t="s">
        <v>71</v>
      </c>
      <c r="AO1" s="15" t="s">
        <v>72</v>
      </c>
      <c r="AP1" s="15" t="s">
        <v>73</v>
      </c>
      <c r="AQ1" s="15" t="s">
        <v>74</v>
      </c>
      <c r="AR1" s="15" t="s">
        <v>75</v>
      </c>
      <c r="AS1" s="15" t="s">
        <v>76</v>
      </c>
      <c r="AT1" s="15" t="s">
        <v>77</v>
      </c>
      <c r="AU1" s="15" t="s">
        <v>78</v>
      </c>
      <c r="AV1" s="15" t="s">
        <v>79</v>
      </c>
      <c r="AW1" s="15" t="s">
        <v>80</v>
      </c>
      <c r="AX1" s="15" t="s">
        <v>81</v>
      </c>
      <c r="AY1" s="15" t="s">
        <v>82</v>
      </c>
      <c r="AZ1" s="15" t="s">
        <v>83</v>
      </c>
      <c r="BA1" s="15" t="s">
        <v>84</v>
      </c>
      <c r="BB1" s="15" t="s">
        <v>85</v>
      </c>
      <c r="BC1" s="15" t="s">
        <v>86</v>
      </c>
      <c r="BD1" s="15" t="s">
        <v>87</v>
      </c>
      <c r="BE1" s="15" t="s">
        <v>88</v>
      </c>
      <c r="BF1" s="15" t="s">
        <v>89</v>
      </c>
      <c r="BG1" s="15" t="s">
        <v>90</v>
      </c>
      <c r="BH1" s="15" t="s">
        <v>91</v>
      </c>
      <c r="BI1" s="15" t="s">
        <v>92</v>
      </c>
      <c r="BJ1" s="15" t="s">
        <v>93</v>
      </c>
      <c r="BK1" s="16" t="s">
        <v>94</v>
      </c>
      <c r="BL1" s="16" t="s">
        <v>95</v>
      </c>
      <c r="BM1" s="16" t="s">
        <v>96</v>
      </c>
      <c r="BN1" s="16" t="s">
        <v>97</v>
      </c>
      <c r="BO1" s="17" t="s">
        <v>98</v>
      </c>
      <c r="BP1" s="14" t="s">
        <v>99</v>
      </c>
    </row>
    <row r="2" spans="1:68" x14ac:dyDescent="0.3">
      <c r="A2" s="7">
        <v>45292</v>
      </c>
      <c r="B2" s="7" t="str">
        <f t="shared" ref="B2:B65" si="0">CHOOSE(C2,
"JANUARY",
"FEBRUARY",
"MARCH",
"APRIL",
"MAY",
"JUNE",
"JULY",
"AUGUST",
"SEPTEMBER",
"OCTOBER",
"NOVEMBER",
"DECEMBER")</f>
        <v>JANUARY</v>
      </c>
      <c r="C2" s="8">
        <f>MONTH(Data!$A2)</f>
        <v>1</v>
      </c>
      <c r="D2" s="9">
        <v>496</v>
      </c>
      <c r="E2" s="9">
        <v>575</v>
      </c>
      <c r="F2" s="9">
        <v>243</v>
      </c>
      <c r="G2" s="9">
        <v>189</v>
      </c>
      <c r="H2" s="9">
        <v>64</v>
      </c>
      <c r="I2" s="9">
        <v>172</v>
      </c>
      <c r="J2" s="9">
        <v>271</v>
      </c>
      <c r="K2" s="9">
        <v>132</v>
      </c>
      <c r="L2" s="9">
        <v>104</v>
      </c>
      <c r="M2" s="9">
        <v>58</v>
      </c>
      <c r="N2" s="9">
        <v>27</v>
      </c>
      <c r="O2" s="9">
        <v>46</v>
      </c>
      <c r="P2" s="9">
        <v>9</v>
      </c>
      <c r="Q2" s="9">
        <v>82</v>
      </c>
      <c r="R2" s="9">
        <v>62</v>
      </c>
      <c r="S2" s="9">
        <v>22</v>
      </c>
      <c r="T2" s="9">
        <v>24</v>
      </c>
      <c r="U2" s="9">
        <v>62</v>
      </c>
      <c r="V2" s="9">
        <v>46</v>
      </c>
      <c r="W2" s="9">
        <v>0</v>
      </c>
      <c r="X2" s="9">
        <v>23</v>
      </c>
      <c r="Y2" s="9">
        <v>11</v>
      </c>
      <c r="Z2" s="9">
        <v>34</v>
      </c>
      <c r="AA2" s="9">
        <v>34</v>
      </c>
      <c r="AB2" s="9">
        <v>11</v>
      </c>
      <c r="AC2" s="9">
        <v>5</v>
      </c>
      <c r="AD2" s="9">
        <v>28</v>
      </c>
      <c r="AE2" s="9">
        <v>0</v>
      </c>
      <c r="AF2" s="9">
        <v>0</v>
      </c>
      <c r="AG2" s="9">
        <v>5</v>
      </c>
      <c r="AH2" s="9">
        <v>5</v>
      </c>
      <c r="AI2" s="9">
        <v>17</v>
      </c>
      <c r="AJ2" s="9">
        <v>17</v>
      </c>
      <c r="AK2" s="9">
        <v>23</v>
      </c>
      <c r="AL2" s="9">
        <v>34</v>
      </c>
      <c r="AM2" s="9">
        <v>11</v>
      </c>
      <c r="AN2" s="9">
        <v>17</v>
      </c>
      <c r="AO2" s="9">
        <v>0</v>
      </c>
      <c r="AP2" s="9">
        <v>0</v>
      </c>
      <c r="AQ2" s="9">
        <v>17</v>
      </c>
      <c r="AR2" s="9">
        <v>51</v>
      </c>
      <c r="AS2" s="9">
        <v>5</v>
      </c>
      <c r="AT2" s="9">
        <v>17</v>
      </c>
      <c r="AU2" s="9">
        <v>11</v>
      </c>
      <c r="AV2" s="9">
        <v>5</v>
      </c>
      <c r="AW2" s="9">
        <v>17</v>
      </c>
      <c r="AX2" s="9">
        <v>0</v>
      </c>
      <c r="AY2" s="9">
        <v>17</v>
      </c>
      <c r="AZ2" s="9">
        <v>114</v>
      </c>
      <c r="BA2" s="10">
        <v>0</v>
      </c>
      <c r="BB2" s="11">
        <v>0</v>
      </c>
      <c r="BC2" s="11">
        <v>0</v>
      </c>
      <c r="BD2" s="11">
        <v>0</v>
      </c>
      <c r="BE2" s="11">
        <v>0</v>
      </c>
      <c r="BF2" s="11">
        <v>0</v>
      </c>
      <c r="BG2" s="11">
        <v>50000</v>
      </c>
      <c r="BH2" s="11">
        <v>20000</v>
      </c>
      <c r="BI2" s="11">
        <v>8000</v>
      </c>
      <c r="BJ2" s="11">
        <v>25000</v>
      </c>
      <c r="BK2" s="11">
        <v>11891</v>
      </c>
      <c r="BL2" s="11">
        <v>3480</v>
      </c>
      <c r="BM2" s="11">
        <v>4930</v>
      </c>
      <c r="BN2" s="11">
        <v>1741</v>
      </c>
      <c r="BO2" s="9">
        <v>29000</v>
      </c>
      <c r="BP2" s="9">
        <v>3796</v>
      </c>
    </row>
    <row r="3" spans="1:68" x14ac:dyDescent="0.3">
      <c r="A3" s="7">
        <v>45293</v>
      </c>
      <c r="B3" s="7" t="str">
        <f t="shared" si="0"/>
        <v>JANUARY</v>
      </c>
      <c r="C3" s="8">
        <f>MONTH(Data!$A3)</f>
        <v>1</v>
      </c>
      <c r="D3" s="9">
        <v>516</v>
      </c>
      <c r="E3" s="9">
        <v>585</v>
      </c>
      <c r="F3" s="9">
        <v>268</v>
      </c>
      <c r="G3" s="9">
        <v>218</v>
      </c>
      <c r="H3" s="9">
        <v>30</v>
      </c>
      <c r="I3" s="9">
        <v>286</v>
      </c>
      <c r="J3" s="9">
        <v>259</v>
      </c>
      <c r="K3" s="9">
        <v>40</v>
      </c>
      <c r="L3" s="9">
        <v>118</v>
      </c>
      <c r="M3" s="9">
        <v>19</v>
      </c>
      <c r="N3" s="9">
        <v>38</v>
      </c>
      <c r="O3" s="9">
        <v>19</v>
      </c>
      <c r="P3" s="9">
        <v>6</v>
      </c>
      <c r="Q3" s="9">
        <v>88</v>
      </c>
      <c r="R3" s="9">
        <v>27</v>
      </c>
      <c r="S3" s="9">
        <v>19</v>
      </c>
      <c r="T3" s="9">
        <v>29</v>
      </c>
      <c r="U3" s="9">
        <v>153</v>
      </c>
      <c r="V3" s="9">
        <v>76</v>
      </c>
      <c r="W3" s="9">
        <v>17</v>
      </c>
      <c r="X3" s="9">
        <v>29</v>
      </c>
      <c r="Y3" s="9">
        <v>0</v>
      </c>
      <c r="Z3" s="9">
        <v>46</v>
      </c>
      <c r="AA3" s="9">
        <v>29</v>
      </c>
      <c r="AB3" s="9">
        <v>0</v>
      </c>
      <c r="AC3" s="9">
        <v>17</v>
      </c>
      <c r="AD3" s="9">
        <v>29</v>
      </c>
      <c r="AE3" s="9">
        <v>11</v>
      </c>
      <c r="AF3" s="9">
        <v>5</v>
      </c>
      <c r="AG3" s="9">
        <v>23</v>
      </c>
      <c r="AH3" s="9">
        <v>11</v>
      </c>
      <c r="AI3" s="9">
        <v>0</v>
      </c>
      <c r="AJ3" s="9">
        <v>0</v>
      </c>
      <c r="AK3" s="9">
        <v>23</v>
      </c>
      <c r="AL3" s="9">
        <v>23</v>
      </c>
      <c r="AM3" s="9">
        <v>5</v>
      </c>
      <c r="AN3" s="9">
        <v>11</v>
      </c>
      <c r="AO3" s="9">
        <v>5</v>
      </c>
      <c r="AP3" s="9">
        <v>17</v>
      </c>
      <c r="AQ3" s="9">
        <v>17</v>
      </c>
      <c r="AR3" s="9">
        <v>64</v>
      </c>
      <c r="AS3" s="9">
        <v>17</v>
      </c>
      <c r="AT3" s="9">
        <v>40</v>
      </c>
      <c r="AU3" s="9">
        <v>29</v>
      </c>
      <c r="AV3" s="9">
        <v>0</v>
      </c>
      <c r="AW3" s="9">
        <v>23</v>
      </c>
      <c r="AX3" s="9">
        <v>11</v>
      </c>
      <c r="AY3" s="9">
        <v>5</v>
      </c>
      <c r="AZ3" s="9">
        <v>2</v>
      </c>
      <c r="BA3" s="10">
        <v>0</v>
      </c>
      <c r="BB3" s="11">
        <v>0</v>
      </c>
      <c r="BC3" s="11">
        <v>0</v>
      </c>
      <c r="BD3" s="11">
        <v>0</v>
      </c>
      <c r="BE3" s="11">
        <v>0</v>
      </c>
      <c r="BF3" s="11">
        <v>0</v>
      </c>
      <c r="BG3" s="11">
        <v>50000</v>
      </c>
      <c r="BH3" s="11">
        <v>20000</v>
      </c>
      <c r="BI3" s="11">
        <v>8000</v>
      </c>
      <c r="BJ3" s="11">
        <v>25000</v>
      </c>
      <c r="BK3" s="11">
        <v>11891</v>
      </c>
      <c r="BL3" s="11">
        <v>3480</v>
      </c>
      <c r="BM3" s="11">
        <v>4930</v>
      </c>
      <c r="BN3" s="11">
        <v>1741</v>
      </c>
      <c r="BO3" s="9">
        <v>29000</v>
      </c>
      <c r="BP3" s="9">
        <v>4881</v>
      </c>
    </row>
    <row r="4" spans="1:68" x14ac:dyDescent="0.3">
      <c r="A4" s="7">
        <v>45294</v>
      </c>
      <c r="B4" s="7" t="str">
        <f t="shared" si="0"/>
        <v>JANUARY</v>
      </c>
      <c r="C4" s="8">
        <f>MONTH(Data!$A4)</f>
        <v>1</v>
      </c>
      <c r="D4" s="9">
        <v>539</v>
      </c>
      <c r="E4" s="9">
        <v>610</v>
      </c>
      <c r="F4" s="9">
        <v>285</v>
      </c>
      <c r="G4" s="9">
        <v>131</v>
      </c>
      <c r="H4" s="9">
        <v>123</v>
      </c>
      <c r="I4" s="9">
        <v>244</v>
      </c>
      <c r="J4" s="9">
        <v>318</v>
      </c>
      <c r="K4" s="9">
        <v>48</v>
      </c>
      <c r="L4" s="9">
        <v>177</v>
      </c>
      <c r="M4" s="9">
        <v>106</v>
      </c>
      <c r="N4" s="9">
        <v>23</v>
      </c>
      <c r="O4" s="9">
        <v>16</v>
      </c>
      <c r="P4" s="9">
        <v>20</v>
      </c>
      <c r="Q4" s="9">
        <v>83</v>
      </c>
      <c r="R4" s="9">
        <v>18</v>
      </c>
      <c r="S4" s="9">
        <v>28</v>
      </c>
      <c r="T4" s="9">
        <v>28</v>
      </c>
      <c r="U4" s="9">
        <v>40</v>
      </c>
      <c r="V4" s="9">
        <v>61</v>
      </c>
      <c r="W4" s="9">
        <v>6</v>
      </c>
      <c r="X4" s="9">
        <v>36</v>
      </c>
      <c r="Y4" s="9">
        <v>6</v>
      </c>
      <c r="Z4" s="9">
        <v>61</v>
      </c>
      <c r="AA4" s="9">
        <v>48</v>
      </c>
      <c r="AB4" s="9">
        <v>0</v>
      </c>
      <c r="AC4" s="9">
        <v>18</v>
      </c>
      <c r="AD4" s="9">
        <v>36</v>
      </c>
      <c r="AE4" s="9">
        <v>6</v>
      </c>
      <c r="AF4" s="9">
        <v>6</v>
      </c>
      <c r="AG4" s="9">
        <v>24</v>
      </c>
      <c r="AH4" s="9">
        <v>12</v>
      </c>
      <c r="AI4" s="9">
        <v>12</v>
      </c>
      <c r="AJ4" s="9">
        <v>12</v>
      </c>
      <c r="AK4" s="9">
        <v>54</v>
      </c>
      <c r="AL4" s="9">
        <v>30</v>
      </c>
      <c r="AM4" s="9">
        <v>30</v>
      </c>
      <c r="AN4" s="9">
        <v>18</v>
      </c>
      <c r="AO4" s="9">
        <v>6</v>
      </c>
      <c r="AP4" s="9">
        <v>6</v>
      </c>
      <c r="AQ4" s="9">
        <v>24</v>
      </c>
      <c r="AR4" s="9">
        <v>0</v>
      </c>
      <c r="AS4" s="9">
        <v>18</v>
      </c>
      <c r="AT4" s="9">
        <v>14</v>
      </c>
      <c r="AU4" s="9">
        <v>24</v>
      </c>
      <c r="AV4" s="9">
        <v>0</v>
      </c>
      <c r="AW4" s="9">
        <v>30</v>
      </c>
      <c r="AX4" s="9">
        <v>12</v>
      </c>
      <c r="AY4" s="9">
        <v>0</v>
      </c>
      <c r="AZ4" s="9">
        <v>0</v>
      </c>
      <c r="BA4" s="10">
        <v>0</v>
      </c>
      <c r="BB4" s="11">
        <v>0</v>
      </c>
      <c r="BC4" s="11">
        <v>0</v>
      </c>
      <c r="BD4" s="11">
        <v>0</v>
      </c>
      <c r="BE4" s="11">
        <v>0</v>
      </c>
      <c r="BF4" s="11">
        <v>0</v>
      </c>
      <c r="BG4" s="11">
        <v>50000</v>
      </c>
      <c r="BH4" s="11">
        <v>20000</v>
      </c>
      <c r="BI4" s="11">
        <v>8000</v>
      </c>
      <c r="BJ4" s="11">
        <v>25000</v>
      </c>
      <c r="BK4" s="11">
        <v>11891</v>
      </c>
      <c r="BL4" s="11">
        <v>3480</v>
      </c>
      <c r="BM4" s="11">
        <v>4930</v>
      </c>
      <c r="BN4" s="11">
        <v>1741</v>
      </c>
      <c r="BO4" s="9">
        <v>29000</v>
      </c>
      <c r="BP4" s="9">
        <v>4766</v>
      </c>
    </row>
    <row r="5" spans="1:68" x14ac:dyDescent="0.3">
      <c r="A5" s="7">
        <v>45295</v>
      </c>
      <c r="B5" s="7" t="str">
        <f t="shared" si="0"/>
        <v>JANUARY</v>
      </c>
      <c r="C5" s="8">
        <f>MONTH(Data!$A5)</f>
        <v>1</v>
      </c>
      <c r="D5" s="9">
        <v>557</v>
      </c>
      <c r="E5" s="9">
        <v>641</v>
      </c>
      <c r="F5" s="9">
        <v>150</v>
      </c>
      <c r="G5" s="9">
        <v>307</v>
      </c>
      <c r="H5" s="9">
        <v>100</v>
      </c>
      <c r="I5" s="9">
        <v>262</v>
      </c>
      <c r="J5" s="9">
        <v>219</v>
      </c>
      <c r="K5" s="9">
        <v>160</v>
      </c>
      <c r="L5" s="9">
        <v>176</v>
      </c>
      <c r="M5" s="9">
        <v>69</v>
      </c>
      <c r="N5" s="9">
        <v>31</v>
      </c>
      <c r="O5" s="9">
        <v>24</v>
      </c>
      <c r="P5" s="9">
        <v>31</v>
      </c>
      <c r="Q5" s="9">
        <v>103</v>
      </c>
      <c r="R5" s="9">
        <v>52</v>
      </c>
      <c r="S5" s="9">
        <v>27</v>
      </c>
      <c r="T5" s="9">
        <v>29</v>
      </c>
      <c r="U5" s="9">
        <v>15</v>
      </c>
      <c r="V5" s="9">
        <v>44</v>
      </c>
      <c r="W5" s="9">
        <v>12</v>
      </c>
      <c r="X5" s="9">
        <v>38</v>
      </c>
      <c r="Y5" s="9">
        <v>6</v>
      </c>
      <c r="Z5" s="9">
        <v>44</v>
      </c>
      <c r="AA5" s="9">
        <v>57</v>
      </c>
      <c r="AB5" s="9">
        <v>19</v>
      </c>
      <c r="AC5" s="9">
        <v>0</v>
      </c>
      <c r="AD5" s="9">
        <v>38</v>
      </c>
      <c r="AE5" s="9">
        <v>6</v>
      </c>
      <c r="AF5" s="9">
        <v>0</v>
      </c>
      <c r="AG5" s="9">
        <v>19</v>
      </c>
      <c r="AH5" s="9">
        <v>19</v>
      </c>
      <c r="AI5" s="9">
        <v>19</v>
      </c>
      <c r="AJ5" s="9">
        <v>0</v>
      </c>
      <c r="AK5" s="9">
        <v>38</v>
      </c>
      <c r="AL5" s="9">
        <v>19</v>
      </c>
      <c r="AM5" s="9">
        <v>32</v>
      </c>
      <c r="AN5" s="9">
        <v>12</v>
      </c>
      <c r="AO5" s="9">
        <v>6</v>
      </c>
      <c r="AP5" s="9">
        <v>12</v>
      </c>
      <c r="AQ5" s="9">
        <v>6</v>
      </c>
      <c r="AR5" s="9">
        <v>57</v>
      </c>
      <c r="AS5" s="9">
        <v>19</v>
      </c>
      <c r="AT5" s="9">
        <v>25</v>
      </c>
      <c r="AU5" s="9">
        <v>19</v>
      </c>
      <c r="AV5" s="9">
        <v>6</v>
      </c>
      <c r="AW5" s="9">
        <v>19</v>
      </c>
      <c r="AX5" s="9">
        <v>19</v>
      </c>
      <c r="AY5" s="9">
        <v>19</v>
      </c>
      <c r="AZ5" s="9">
        <v>12</v>
      </c>
      <c r="BA5" s="10">
        <v>0</v>
      </c>
      <c r="BB5" s="11">
        <v>0</v>
      </c>
      <c r="BC5" s="11">
        <v>0</v>
      </c>
      <c r="BD5" s="11">
        <v>0</v>
      </c>
      <c r="BE5" s="11">
        <v>0</v>
      </c>
      <c r="BF5" s="11">
        <v>0</v>
      </c>
      <c r="BG5" s="11">
        <v>50000</v>
      </c>
      <c r="BH5" s="11">
        <v>20000</v>
      </c>
      <c r="BI5" s="11">
        <v>8000</v>
      </c>
      <c r="BJ5" s="11">
        <v>25000</v>
      </c>
      <c r="BK5" s="11">
        <v>11891</v>
      </c>
      <c r="BL5" s="11">
        <v>3480</v>
      </c>
      <c r="BM5" s="11">
        <v>4930</v>
      </c>
      <c r="BN5" s="11">
        <v>1741</v>
      </c>
      <c r="BO5" s="9">
        <v>29000</v>
      </c>
      <c r="BP5" s="9">
        <v>788</v>
      </c>
    </row>
    <row r="6" spans="1:68" x14ac:dyDescent="0.3">
      <c r="A6" s="7">
        <v>45296</v>
      </c>
      <c r="B6" s="7" t="str">
        <f t="shared" si="0"/>
        <v>JANUARY</v>
      </c>
      <c r="C6" s="8">
        <f>MONTH(Data!$A6)</f>
        <v>1</v>
      </c>
      <c r="D6" s="9">
        <v>575</v>
      </c>
      <c r="E6" s="9">
        <v>667</v>
      </c>
      <c r="F6" s="9">
        <v>132</v>
      </c>
      <c r="G6" s="9">
        <v>415</v>
      </c>
      <c r="H6" s="9">
        <v>28</v>
      </c>
      <c r="I6" s="9">
        <v>153</v>
      </c>
      <c r="J6" s="9">
        <v>374</v>
      </c>
      <c r="K6" s="9">
        <v>140</v>
      </c>
      <c r="L6" s="9">
        <v>171</v>
      </c>
      <c r="M6" s="9">
        <v>99</v>
      </c>
      <c r="N6" s="9">
        <v>42</v>
      </c>
      <c r="O6" s="9">
        <v>35</v>
      </c>
      <c r="P6" s="9">
        <v>21</v>
      </c>
      <c r="Q6" s="9">
        <v>93</v>
      </c>
      <c r="R6" s="9">
        <v>43</v>
      </c>
      <c r="S6" s="9">
        <v>24</v>
      </c>
      <c r="T6" s="9">
        <v>21</v>
      </c>
      <c r="U6" s="9">
        <v>26</v>
      </c>
      <c r="V6" s="9">
        <v>60</v>
      </c>
      <c r="W6" s="9">
        <v>0</v>
      </c>
      <c r="X6" s="9">
        <v>46</v>
      </c>
      <c r="Y6" s="9">
        <v>20</v>
      </c>
      <c r="Z6" s="9">
        <v>93</v>
      </c>
      <c r="AA6" s="9">
        <v>53</v>
      </c>
      <c r="AB6" s="9">
        <v>20</v>
      </c>
      <c r="AC6" s="9">
        <v>0</v>
      </c>
      <c r="AD6" s="9">
        <v>13</v>
      </c>
      <c r="AE6" s="9">
        <v>20</v>
      </c>
      <c r="AF6" s="9">
        <v>0</v>
      </c>
      <c r="AG6" s="9">
        <v>6</v>
      </c>
      <c r="AH6" s="9">
        <v>13</v>
      </c>
      <c r="AI6" s="9">
        <v>0</v>
      </c>
      <c r="AJ6" s="9">
        <v>0</v>
      </c>
      <c r="AK6" s="9">
        <v>26</v>
      </c>
      <c r="AL6" s="9">
        <v>46</v>
      </c>
      <c r="AM6" s="9">
        <v>13</v>
      </c>
      <c r="AN6" s="9">
        <v>0</v>
      </c>
      <c r="AO6" s="9">
        <v>0</v>
      </c>
      <c r="AP6" s="9">
        <v>26</v>
      </c>
      <c r="AQ6" s="9">
        <v>20</v>
      </c>
      <c r="AR6" s="9">
        <v>73</v>
      </c>
      <c r="AS6" s="9">
        <v>6</v>
      </c>
      <c r="AT6" s="9">
        <v>20</v>
      </c>
      <c r="AU6" s="9">
        <v>20</v>
      </c>
      <c r="AV6" s="9">
        <v>0</v>
      </c>
      <c r="AW6" s="9">
        <v>26</v>
      </c>
      <c r="AX6" s="9">
        <v>0</v>
      </c>
      <c r="AY6" s="9">
        <v>20</v>
      </c>
      <c r="AZ6" s="9">
        <v>27</v>
      </c>
      <c r="BA6" s="10">
        <v>104.17550000000001</v>
      </c>
      <c r="BB6" s="11">
        <v>0</v>
      </c>
      <c r="BC6" s="11">
        <v>0</v>
      </c>
      <c r="BD6" s="11">
        <v>0</v>
      </c>
      <c r="BE6" s="11">
        <v>0</v>
      </c>
      <c r="BF6" s="11">
        <v>0</v>
      </c>
      <c r="BG6" s="11">
        <v>50000</v>
      </c>
      <c r="BH6" s="11">
        <v>20000</v>
      </c>
      <c r="BI6" s="11">
        <v>8000</v>
      </c>
      <c r="BJ6" s="11">
        <v>23668</v>
      </c>
      <c r="BK6" s="11">
        <v>11891</v>
      </c>
      <c r="BL6" s="11">
        <v>3480</v>
      </c>
      <c r="BM6" s="11">
        <v>4930</v>
      </c>
      <c r="BN6" s="11">
        <v>1741</v>
      </c>
      <c r="BO6" s="9">
        <v>29000</v>
      </c>
      <c r="BP6" s="9">
        <v>4853</v>
      </c>
    </row>
    <row r="7" spans="1:68" x14ac:dyDescent="0.3">
      <c r="A7" s="7">
        <v>45297</v>
      </c>
      <c r="B7" s="7" t="str">
        <f t="shared" si="0"/>
        <v>JANUARY</v>
      </c>
      <c r="C7" s="8">
        <f>MONTH(Data!$A7)</f>
        <v>1</v>
      </c>
      <c r="D7" s="9">
        <v>586</v>
      </c>
      <c r="E7" s="9">
        <v>685</v>
      </c>
      <c r="F7" s="9">
        <v>175</v>
      </c>
      <c r="G7" s="9">
        <v>335</v>
      </c>
      <c r="H7" s="9">
        <v>76</v>
      </c>
      <c r="I7" s="9">
        <v>212</v>
      </c>
      <c r="J7" s="9">
        <v>336</v>
      </c>
      <c r="K7" s="9">
        <v>137</v>
      </c>
      <c r="L7" s="9">
        <v>134</v>
      </c>
      <c r="M7" s="9">
        <v>21</v>
      </c>
      <c r="N7" s="9">
        <v>47</v>
      </c>
      <c r="O7" s="9">
        <v>29</v>
      </c>
      <c r="P7" s="9">
        <v>14</v>
      </c>
      <c r="Q7" s="9">
        <v>120</v>
      </c>
      <c r="R7" s="9">
        <v>77</v>
      </c>
      <c r="S7" s="9">
        <v>28</v>
      </c>
      <c r="T7" s="9">
        <v>11</v>
      </c>
      <c r="U7" s="9">
        <v>105</v>
      </c>
      <c r="V7" s="9">
        <v>75</v>
      </c>
      <c r="W7" s="9">
        <v>6</v>
      </c>
      <c r="X7" s="9">
        <v>34</v>
      </c>
      <c r="Y7" s="9">
        <v>13</v>
      </c>
      <c r="Z7" s="9">
        <v>63</v>
      </c>
      <c r="AA7" s="9">
        <v>47</v>
      </c>
      <c r="AB7" s="9">
        <v>20</v>
      </c>
      <c r="AC7" s="9">
        <v>0</v>
      </c>
      <c r="AD7" s="9">
        <v>34</v>
      </c>
      <c r="AE7" s="9">
        <v>6</v>
      </c>
      <c r="AF7" s="9">
        <v>0</v>
      </c>
      <c r="AG7" s="9">
        <v>27</v>
      </c>
      <c r="AH7" s="9">
        <v>0</v>
      </c>
      <c r="AI7" s="9">
        <v>6</v>
      </c>
      <c r="AJ7" s="9">
        <v>13</v>
      </c>
      <c r="AK7" s="9">
        <v>47</v>
      </c>
      <c r="AL7" s="9">
        <v>47</v>
      </c>
      <c r="AM7" s="9">
        <v>27</v>
      </c>
      <c r="AN7" s="9">
        <v>6</v>
      </c>
      <c r="AO7" s="9">
        <v>0</v>
      </c>
      <c r="AP7" s="9">
        <v>6</v>
      </c>
      <c r="AQ7" s="9">
        <v>13</v>
      </c>
      <c r="AR7" s="9">
        <v>68</v>
      </c>
      <c r="AS7" s="9">
        <v>13</v>
      </c>
      <c r="AT7" s="9">
        <v>34</v>
      </c>
      <c r="AU7" s="9">
        <v>13</v>
      </c>
      <c r="AV7" s="9">
        <v>6</v>
      </c>
      <c r="AW7" s="9">
        <v>41</v>
      </c>
      <c r="AX7" s="9">
        <v>0</v>
      </c>
      <c r="AY7" s="9">
        <v>20</v>
      </c>
      <c r="AZ7" s="9">
        <v>0</v>
      </c>
      <c r="BA7" s="10">
        <v>100.9205</v>
      </c>
      <c r="BB7" s="11">
        <v>0</v>
      </c>
      <c r="BC7" s="11">
        <v>0</v>
      </c>
      <c r="BD7" s="11">
        <v>0</v>
      </c>
      <c r="BE7" s="11">
        <v>0</v>
      </c>
      <c r="BF7" s="11">
        <v>0</v>
      </c>
      <c r="BG7" s="11">
        <v>50000</v>
      </c>
      <c r="BH7" s="11">
        <v>20000</v>
      </c>
      <c r="BI7" s="11">
        <v>8000</v>
      </c>
      <c r="BJ7" s="11">
        <v>23668</v>
      </c>
      <c r="BK7" s="11">
        <v>11891</v>
      </c>
      <c r="BL7" s="11">
        <v>3480</v>
      </c>
      <c r="BM7" s="11">
        <v>4930</v>
      </c>
      <c r="BN7" s="11">
        <v>1741</v>
      </c>
      <c r="BO7" s="9">
        <v>29000</v>
      </c>
      <c r="BP7" s="9">
        <v>3534</v>
      </c>
    </row>
    <row r="8" spans="1:68" x14ac:dyDescent="0.3">
      <c r="A8" s="7">
        <v>45298</v>
      </c>
      <c r="B8" s="7" t="str">
        <f t="shared" si="0"/>
        <v>JANUARY</v>
      </c>
      <c r="C8" s="8">
        <f>MONTH(Data!$A8)</f>
        <v>1</v>
      </c>
      <c r="D8" s="9">
        <v>597</v>
      </c>
      <c r="E8" s="9">
        <v>690</v>
      </c>
      <c r="F8" s="9">
        <v>310</v>
      </c>
      <c r="G8" s="9">
        <v>162</v>
      </c>
      <c r="H8" s="9">
        <v>125</v>
      </c>
      <c r="I8" s="9">
        <v>282</v>
      </c>
      <c r="J8" s="9">
        <v>353</v>
      </c>
      <c r="K8" s="9">
        <v>55</v>
      </c>
      <c r="L8" s="9">
        <v>166</v>
      </c>
      <c r="M8" s="9">
        <v>122</v>
      </c>
      <c r="N8" s="9">
        <v>37</v>
      </c>
      <c r="O8" s="9">
        <v>22</v>
      </c>
      <c r="P8" s="9">
        <v>18</v>
      </c>
      <c r="Q8" s="9">
        <v>77</v>
      </c>
      <c r="R8" s="9">
        <v>74</v>
      </c>
      <c r="S8" s="9">
        <v>27</v>
      </c>
      <c r="T8" s="9">
        <v>34</v>
      </c>
      <c r="U8" s="9">
        <v>20</v>
      </c>
      <c r="V8" s="9">
        <v>75</v>
      </c>
      <c r="W8" s="9">
        <v>0</v>
      </c>
      <c r="X8" s="9">
        <v>27</v>
      </c>
      <c r="Y8" s="9">
        <v>6</v>
      </c>
      <c r="Z8" s="9">
        <v>75</v>
      </c>
      <c r="AA8" s="9">
        <v>48</v>
      </c>
      <c r="AB8" s="9">
        <v>6</v>
      </c>
      <c r="AC8" s="9">
        <v>13</v>
      </c>
      <c r="AD8" s="9">
        <v>41</v>
      </c>
      <c r="AE8" s="9">
        <v>20</v>
      </c>
      <c r="AF8" s="9">
        <v>0</v>
      </c>
      <c r="AG8" s="9">
        <v>6</v>
      </c>
      <c r="AH8" s="9">
        <v>20</v>
      </c>
      <c r="AI8" s="9">
        <v>0</v>
      </c>
      <c r="AJ8" s="9">
        <v>13</v>
      </c>
      <c r="AK8" s="9">
        <v>48</v>
      </c>
      <c r="AL8" s="9">
        <v>6</v>
      </c>
      <c r="AM8" s="9">
        <v>6</v>
      </c>
      <c r="AN8" s="9">
        <v>0</v>
      </c>
      <c r="AO8" s="9">
        <v>0</v>
      </c>
      <c r="AP8" s="9">
        <v>13</v>
      </c>
      <c r="AQ8" s="9">
        <v>6</v>
      </c>
      <c r="AR8" s="9">
        <v>55</v>
      </c>
      <c r="AS8" s="9">
        <v>6</v>
      </c>
      <c r="AT8" s="9">
        <v>48</v>
      </c>
      <c r="AU8" s="9">
        <v>6</v>
      </c>
      <c r="AV8" s="9">
        <v>6</v>
      </c>
      <c r="AW8" s="9">
        <v>20</v>
      </c>
      <c r="AX8" s="9">
        <v>0</v>
      </c>
      <c r="AY8" s="9">
        <v>0</v>
      </c>
      <c r="AZ8" s="9">
        <v>120</v>
      </c>
      <c r="BA8" s="10">
        <v>97.510499999999993</v>
      </c>
      <c r="BB8" s="11">
        <v>0</v>
      </c>
      <c r="BC8" s="11">
        <v>0</v>
      </c>
      <c r="BD8" s="11">
        <v>0</v>
      </c>
      <c r="BE8" s="11">
        <v>0</v>
      </c>
      <c r="BF8" s="11">
        <v>0</v>
      </c>
      <c r="BG8" s="11">
        <v>50000</v>
      </c>
      <c r="BH8" s="11">
        <v>20000</v>
      </c>
      <c r="BI8" s="11">
        <v>8000</v>
      </c>
      <c r="BJ8" s="11">
        <v>23668</v>
      </c>
      <c r="BK8" s="11">
        <v>11891</v>
      </c>
      <c r="BL8" s="11">
        <v>3480</v>
      </c>
      <c r="BM8" s="11">
        <v>4930</v>
      </c>
      <c r="BN8" s="11">
        <v>1741</v>
      </c>
      <c r="BO8" s="9">
        <v>29000</v>
      </c>
      <c r="BP8" s="9">
        <v>7918</v>
      </c>
    </row>
    <row r="9" spans="1:68" x14ac:dyDescent="0.3">
      <c r="A9" s="7">
        <v>45299</v>
      </c>
      <c r="B9" s="7" t="str">
        <f t="shared" si="0"/>
        <v>JANUARY</v>
      </c>
      <c r="C9" s="8">
        <f>MONTH(Data!$A9)</f>
        <v>1</v>
      </c>
      <c r="D9" s="9">
        <v>604</v>
      </c>
      <c r="E9" s="9">
        <v>684</v>
      </c>
      <c r="F9" s="9">
        <v>217</v>
      </c>
      <c r="G9" s="9">
        <v>273</v>
      </c>
      <c r="H9" s="9">
        <v>114</v>
      </c>
      <c r="I9" s="9">
        <v>307</v>
      </c>
      <c r="J9" s="9">
        <v>316</v>
      </c>
      <c r="K9" s="9">
        <v>61</v>
      </c>
      <c r="L9" s="9">
        <v>149</v>
      </c>
      <c r="M9" s="9">
        <v>101</v>
      </c>
      <c r="N9" s="9">
        <v>48</v>
      </c>
      <c r="O9" s="9">
        <v>37</v>
      </c>
      <c r="P9" s="9">
        <v>7</v>
      </c>
      <c r="Q9" s="9">
        <v>126</v>
      </c>
      <c r="R9" s="9">
        <v>59</v>
      </c>
      <c r="S9" s="9">
        <v>25</v>
      </c>
      <c r="T9" s="9">
        <v>11</v>
      </c>
      <c r="U9" s="9">
        <v>41</v>
      </c>
      <c r="V9" s="9">
        <v>54</v>
      </c>
      <c r="W9" s="9">
        <v>13</v>
      </c>
      <c r="X9" s="9">
        <v>47</v>
      </c>
      <c r="Y9" s="9">
        <v>13</v>
      </c>
      <c r="Z9" s="9">
        <v>9</v>
      </c>
      <c r="AA9" s="9">
        <v>54</v>
      </c>
      <c r="AB9" s="9">
        <v>13</v>
      </c>
      <c r="AC9" s="9">
        <v>20</v>
      </c>
      <c r="AD9" s="9">
        <v>13</v>
      </c>
      <c r="AE9" s="9">
        <v>13</v>
      </c>
      <c r="AF9" s="9">
        <v>0</v>
      </c>
      <c r="AG9" s="9">
        <v>34</v>
      </c>
      <c r="AH9" s="9">
        <v>20</v>
      </c>
      <c r="AI9" s="9">
        <v>6</v>
      </c>
      <c r="AJ9" s="9">
        <v>20</v>
      </c>
      <c r="AK9" s="9">
        <v>41</v>
      </c>
      <c r="AL9" s="9">
        <v>34</v>
      </c>
      <c r="AM9" s="9">
        <v>34</v>
      </c>
      <c r="AN9" s="9">
        <v>20</v>
      </c>
      <c r="AO9" s="9">
        <v>6</v>
      </c>
      <c r="AP9" s="9">
        <v>13</v>
      </c>
      <c r="AQ9" s="9">
        <v>13</v>
      </c>
      <c r="AR9" s="9">
        <v>61</v>
      </c>
      <c r="AS9" s="9">
        <v>13</v>
      </c>
      <c r="AT9" s="9">
        <v>27</v>
      </c>
      <c r="AU9" s="9">
        <v>34</v>
      </c>
      <c r="AV9" s="9">
        <v>6</v>
      </c>
      <c r="AW9" s="9">
        <v>41</v>
      </c>
      <c r="AX9" s="9">
        <v>6</v>
      </c>
      <c r="AY9" s="9">
        <v>6</v>
      </c>
      <c r="AZ9" s="9">
        <v>0</v>
      </c>
      <c r="BA9" s="10">
        <v>96.611500000000007</v>
      </c>
      <c r="BB9" s="11">
        <v>0</v>
      </c>
      <c r="BC9" s="11">
        <v>0</v>
      </c>
      <c r="BD9" s="11">
        <v>0</v>
      </c>
      <c r="BE9" s="11">
        <v>0</v>
      </c>
      <c r="BF9" s="11">
        <v>0</v>
      </c>
      <c r="BG9" s="11">
        <v>50000</v>
      </c>
      <c r="BH9" s="11">
        <v>20000</v>
      </c>
      <c r="BI9" s="11">
        <v>8000</v>
      </c>
      <c r="BJ9" s="11">
        <v>23668</v>
      </c>
      <c r="BK9" s="11">
        <v>11891</v>
      </c>
      <c r="BL9" s="11">
        <v>3480</v>
      </c>
      <c r="BM9" s="11">
        <v>4930</v>
      </c>
      <c r="BN9" s="11">
        <v>1741</v>
      </c>
      <c r="BO9" s="9">
        <v>29000</v>
      </c>
      <c r="BP9" s="9">
        <v>520</v>
      </c>
    </row>
    <row r="10" spans="1:68" x14ac:dyDescent="0.3">
      <c r="A10" s="7">
        <v>45300</v>
      </c>
      <c r="B10" s="7" t="str">
        <f t="shared" si="0"/>
        <v>JANUARY</v>
      </c>
      <c r="C10" s="8">
        <f>MONTH(Data!$A10)</f>
        <v>1</v>
      </c>
      <c r="D10" s="9">
        <v>606</v>
      </c>
      <c r="E10" s="9">
        <v>664</v>
      </c>
      <c r="F10" s="9">
        <v>284</v>
      </c>
      <c r="G10" s="9">
        <v>262</v>
      </c>
      <c r="H10" s="9">
        <v>60</v>
      </c>
      <c r="I10" s="9">
        <v>232</v>
      </c>
      <c r="J10" s="9">
        <v>346</v>
      </c>
      <c r="K10" s="9">
        <v>86</v>
      </c>
      <c r="L10" s="9">
        <v>157</v>
      </c>
      <c r="M10" s="9">
        <v>127</v>
      </c>
      <c r="N10" s="9">
        <v>56</v>
      </c>
      <c r="O10" s="9">
        <v>26</v>
      </c>
      <c r="P10" s="9">
        <v>33</v>
      </c>
      <c r="Q10" s="9">
        <v>89</v>
      </c>
      <c r="R10" s="9">
        <v>64</v>
      </c>
      <c r="S10" s="9">
        <v>20</v>
      </c>
      <c r="T10" s="9">
        <v>34</v>
      </c>
      <c r="U10" s="9">
        <v>0</v>
      </c>
      <c r="V10" s="9">
        <v>86</v>
      </c>
      <c r="W10" s="9">
        <v>0</v>
      </c>
      <c r="X10" s="9">
        <v>19</v>
      </c>
      <c r="Y10" s="9">
        <v>19</v>
      </c>
      <c r="Z10" s="9">
        <v>59</v>
      </c>
      <c r="AA10" s="9">
        <v>59</v>
      </c>
      <c r="AB10" s="9">
        <v>19</v>
      </c>
      <c r="AC10" s="9">
        <v>6</v>
      </c>
      <c r="AD10" s="9">
        <v>39</v>
      </c>
      <c r="AE10" s="9">
        <v>0</v>
      </c>
      <c r="AF10" s="9">
        <v>0</v>
      </c>
      <c r="AG10" s="9">
        <v>19</v>
      </c>
      <c r="AH10" s="9">
        <v>19</v>
      </c>
      <c r="AI10" s="9">
        <v>19</v>
      </c>
      <c r="AJ10" s="9">
        <v>6</v>
      </c>
      <c r="AK10" s="9">
        <v>46</v>
      </c>
      <c r="AL10" s="9">
        <v>6</v>
      </c>
      <c r="AM10" s="9">
        <v>26</v>
      </c>
      <c r="AN10" s="9">
        <v>0</v>
      </c>
      <c r="AO10" s="9">
        <v>6</v>
      </c>
      <c r="AP10" s="9">
        <v>19</v>
      </c>
      <c r="AQ10" s="9">
        <v>13</v>
      </c>
      <c r="AR10" s="9">
        <v>66</v>
      </c>
      <c r="AS10" s="9">
        <v>19</v>
      </c>
      <c r="AT10" s="9">
        <v>19</v>
      </c>
      <c r="AU10" s="9">
        <v>13</v>
      </c>
      <c r="AV10" s="9">
        <v>0</v>
      </c>
      <c r="AW10" s="9">
        <v>13</v>
      </c>
      <c r="AX10" s="9">
        <v>19</v>
      </c>
      <c r="AY10" s="9">
        <v>0</v>
      </c>
      <c r="AZ10" s="9">
        <v>30</v>
      </c>
      <c r="BA10" s="10">
        <v>95.743500000000012</v>
      </c>
      <c r="BB10" s="11">
        <v>0</v>
      </c>
      <c r="BC10" s="11">
        <v>0</v>
      </c>
      <c r="BD10" s="11">
        <v>0</v>
      </c>
      <c r="BE10" s="11">
        <v>0</v>
      </c>
      <c r="BF10" s="11">
        <v>0</v>
      </c>
      <c r="BG10" s="11">
        <v>50000</v>
      </c>
      <c r="BH10" s="11">
        <v>20000</v>
      </c>
      <c r="BI10" s="11">
        <v>8000</v>
      </c>
      <c r="BJ10" s="11">
        <v>23668</v>
      </c>
      <c r="BK10" s="11">
        <v>11891</v>
      </c>
      <c r="BL10" s="11">
        <v>3480</v>
      </c>
      <c r="BM10" s="11">
        <v>4930</v>
      </c>
      <c r="BN10" s="11">
        <v>1741</v>
      </c>
      <c r="BO10" s="9">
        <v>29000</v>
      </c>
      <c r="BP10" s="9">
        <v>6207</v>
      </c>
    </row>
    <row r="11" spans="1:68" x14ac:dyDescent="0.3">
      <c r="A11" s="7">
        <v>45301</v>
      </c>
      <c r="B11" s="7" t="str">
        <f t="shared" si="0"/>
        <v>JANUARY</v>
      </c>
      <c r="C11" s="8">
        <f>MONTH(Data!$A11)</f>
        <v>1</v>
      </c>
      <c r="D11" s="9">
        <v>602</v>
      </c>
      <c r="E11" s="9">
        <v>625</v>
      </c>
      <c r="F11" s="9">
        <v>258</v>
      </c>
      <c r="G11" s="9">
        <v>314</v>
      </c>
      <c r="H11" s="9">
        <v>30</v>
      </c>
      <c r="I11" s="9">
        <v>131</v>
      </c>
      <c r="J11" s="9">
        <v>451</v>
      </c>
      <c r="K11" s="9">
        <v>43</v>
      </c>
      <c r="L11" s="9">
        <v>160</v>
      </c>
      <c r="M11" s="9">
        <v>97</v>
      </c>
      <c r="N11" s="9">
        <v>52</v>
      </c>
      <c r="O11" s="9">
        <v>18</v>
      </c>
      <c r="P11" s="9">
        <v>14</v>
      </c>
      <c r="Q11" s="9">
        <v>86</v>
      </c>
      <c r="R11" s="9">
        <v>16</v>
      </c>
      <c r="S11" s="9">
        <v>18</v>
      </c>
      <c r="T11" s="9">
        <v>13</v>
      </c>
      <c r="U11" s="9">
        <v>128</v>
      </c>
      <c r="V11" s="9">
        <v>25</v>
      </c>
      <c r="W11" s="9">
        <v>0</v>
      </c>
      <c r="X11" s="9">
        <v>43</v>
      </c>
      <c r="Y11" s="9">
        <v>18</v>
      </c>
      <c r="Z11" s="9">
        <v>75</v>
      </c>
      <c r="AA11" s="9">
        <v>56</v>
      </c>
      <c r="AB11" s="9">
        <v>18</v>
      </c>
      <c r="AC11" s="9">
        <v>0</v>
      </c>
      <c r="AD11" s="9">
        <v>12</v>
      </c>
      <c r="AE11" s="9">
        <v>0</v>
      </c>
      <c r="AF11" s="9">
        <v>0</v>
      </c>
      <c r="AG11" s="9">
        <v>6</v>
      </c>
      <c r="AH11" s="9">
        <v>6</v>
      </c>
      <c r="AI11" s="9">
        <v>0</v>
      </c>
      <c r="AJ11" s="9">
        <v>6</v>
      </c>
      <c r="AK11" s="9">
        <v>43</v>
      </c>
      <c r="AL11" s="9">
        <v>43</v>
      </c>
      <c r="AM11" s="9">
        <v>6</v>
      </c>
      <c r="AN11" s="9">
        <v>12</v>
      </c>
      <c r="AO11" s="9">
        <v>0</v>
      </c>
      <c r="AP11" s="9">
        <v>12</v>
      </c>
      <c r="AQ11" s="9">
        <v>18</v>
      </c>
      <c r="AR11" s="9">
        <v>62</v>
      </c>
      <c r="AS11" s="9">
        <v>12</v>
      </c>
      <c r="AT11" s="9">
        <v>50</v>
      </c>
      <c r="AU11" s="9">
        <v>31</v>
      </c>
      <c r="AV11" s="9">
        <v>0</v>
      </c>
      <c r="AW11" s="9">
        <v>25</v>
      </c>
      <c r="AX11" s="9">
        <v>0</v>
      </c>
      <c r="AY11" s="9">
        <v>12</v>
      </c>
      <c r="AZ11" s="9">
        <v>34</v>
      </c>
      <c r="BA11" s="10">
        <v>96.332499999999996</v>
      </c>
      <c r="BB11" s="11">
        <v>0</v>
      </c>
      <c r="BC11" s="11">
        <v>0</v>
      </c>
      <c r="BD11" s="11">
        <v>0</v>
      </c>
      <c r="BE11" s="11">
        <v>0</v>
      </c>
      <c r="BF11" s="11">
        <v>0</v>
      </c>
      <c r="BG11" s="11">
        <v>50000</v>
      </c>
      <c r="BH11" s="11">
        <v>20000</v>
      </c>
      <c r="BI11" s="11">
        <v>8000</v>
      </c>
      <c r="BJ11" s="11">
        <v>23668</v>
      </c>
      <c r="BK11" s="11">
        <v>11891</v>
      </c>
      <c r="BL11" s="11">
        <v>3480</v>
      </c>
      <c r="BM11" s="11">
        <v>4930</v>
      </c>
      <c r="BN11" s="11">
        <v>1741</v>
      </c>
      <c r="BO11" s="9">
        <v>29000</v>
      </c>
      <c r="BP11" s="9">
        <v>4999</v>
      </c>
    </row>
    <row r="12" spans="1:68" x14ac:dyDescent="0.3">
      <c r="A12" s="7">
        <v>45302</v>
      </c>
      <c r="B12" s="7" t="str">
        <f t="shared" si="0"/>
        <v>JANUARY</v>
      </c>
      <c r="C12" s="8">
        <f>MONTH(Data!$A12)</f>
        <v>1</v>
      </c>
      <c r="D12" s="9">
        <v>584</v>
      </c>
      <c r="E12" s="9">
        <v>588</v>
      </c>
      <c r="F12" s="9">
        <v>186</v>
      </c>
      <c r="G12" s="9">
        <v>334</v>
      </c>
      <c r="H12" s="9">
        <v>64</v>
      </c>
      <c r="I12" s="9">
        <v>158</v>
      </c>
      <c r="J12" s="9">
        <v>313</v>
      </c>
      <c r="K12" s="9">
        <v>117</v>
      </c>
      <c r="L12" s="9">
        <v>188</v>
      </c>
      <c r="M12" s="9">
        <v>86</v>
      </c>
      <c r="N12" s="9">
        <v>36</v>
      </c>
      <c r="O12" s="9">
        <v>18</v>
      </c>
      <c r="P12" s="9">
        <v>18</v>
      </c>
      <c r="Q12" s="9">
        <v>79</v>
      </c>
      <c r="R12" s="9">
        <v>17</v>
      </c>
      <c r="S12" s="9">
        <v>33</v>
      </c>
      <c r="T12" s="9">
        <v>19</v>
      </c>
      <c r="U12" s="9">
        <v>90</v>
      </c>
      <c r="V12" s="9">
        <v>58</v>
      </c>
      <c r="W12" s="9">
        <v>0</v>
      </c>
      <c r="X12" s="9">
        <v>35</v>
      </c>
      <c r="Y12" s="9">
        <v>17</v>
      </c>
      <c r="Z12" s="9">
        <v>23</v>
      </c>
      <c r="AA12" s="9">
        <v>35</v>
      </c>
      <c r="AB12" s="9">
        <v>11</v>
      </c>
      <c r="AC12" s="9">
        <v>5</v>
      </c>
      <c r="AD12" s="9">
        <v>17</v>
      </c>
      <c r="AE12" s="9">
        <v>17</v>
      </c>
      <c r="AF12" s="9">
        <v>5</v>
      </c>
      <c r="AG12" s="9">
        <v>17</v>
      </c>
      <c r="AH12" s="9">
        <v>5</v>
      </c>
      <c r="AI12" s="9">
        <v>5</v>
      </c>
      <c r="AJ12" s="9">
        <v>17</v>
      </c>
      <c r="AK12" s="9">
        <v>52</v>
      </c>
      <c r="AL12" s="9">
        <v>23</v>
      </c>
      <c r="AM12" s="9">
        <v>23</v>
      </c>
      <c r="AN12" s="9">
        <v>11</v>
      </c>
      <c r="AO12" s="9">
        <v>0</v>
      </c>
      <c r="AP12" s="9">
        <v>23</v>
      </c>
      <c r="AQ12" s="9">
        <v>17</v>
      </c>
      <c r="AR12" s="9">
        <v>41</v>
      </c>
      <c r="AS12" s="9">
        <v>5</v>
      </c>
      <c r="AT12" s="9">
        <v>52</v>
      </c>
      <c r="AU12" s="9">
        <v>11</v>
      </c>
      <c r="AV12" s="9">
        <v>0</v>
      </c>
      <c r="AW12" s="9">
        <v>29</v>
      </c>
      <c r="AX12" s="9">
        <v>17</v>
      </c>
      <c r="AY12" s="9">
        <v>17</v>
      </c>
      <c r="AZ12" s="9">
        <v>0</v>
      </c>
      <c r="BA12" s="10">
        <v>98.657500000000013</v>
      </c>
      <c r="BB12" s="11">
        <v>0</v>
      </c>
      <c r="BC12" s="11">
        <v>0</v>
      </c>
      <c r="BD12" s="11">
        <v>0</v>
      </c>
      <c r="BE12" s="11">
        <v>0</v>
      </c>
      <c r="BF12" s="11">
        <v>0</v>
      </c>
      <c r="BG12" s="11">
        <v>50000</v>
      </c>
      <c r="BH12" s="11">
        <v>20000</v>
      </c>
      <c r="BI12" s="11">
        <v>8000</v>
      </c>
      <c r="BJ12" s="11">
        <v>23668</v>
      </c>
      <c r="BK12" s="11">
        <v>11891</v>
      </c>
      <c r="BL12" s="11">
        <v>3480</v>
      </c>
      <c r="BM12" s="11">
        <v>4930</v>
      </c>
      <c r="BN12" s="11">
        <v>1741</v>
      </c>
      <c r="BO12" s="9">
        <v>29000</v>
      </c>
      <c r="BP12" s="9">
        <v>1124</v>
      </c>
    </row>
    <row r="13" spans="1:68" x14ac:dyDescent="0.3">
      <c r="A13" s="7">
        <v>45303</v>
      </c>
      <c r="B13" s="7" t="str">
        <f t="shared" si="0"/>
        <v>JANUARY</v>
      </c>
      <c r="C13" s="8">
        <f>MONTH(Data!$A13)</f>
        <v>1</v>
      </c>
      <c r="D13" s="9">
        <v>560</v>
      </c>
      <c r="E13" s="9">
        <v>575</v>
      </c>
      <c r="F13" s="9">
        <v>123</v>
      </c>
      <c r="G13" s="9">
        <v>348</v>
      </c>
      <c r="H13" s="9">
        <v>89</v>
      </c>
      <c r="I13" s="9">
        <v>149</v>
      </c>
      <c r="J13" s="9">
        <v>369</v>
      </c>
      <c r="K13" s="9">
        <v>57</v>
      </c>
      <c r="L13" s="9">
        <v>156</v>
      </c>
      <c r="M13" s="9">
        <v>27</v>
      </c>
      <c r="N13" s="9">
        <v>34</v>
      </c>
      <c r="O13" s="9">
        <v>24</v>
      </c>
      <c r="P13" s="9">
        <v>24</v>
      </c>
      <c r="Q13" s="9">
        <v>85</v>
      </c>
      <c r="R13" s="9">
        <v>36</v>
      </c>
      <c r="S13" s="9">
        <v>19</v>
      </c>
      <c r="T13" s="9">
        <v>29</v>
      </c>
      <c r="U13" s="9">
        <v>126</v>
      </c>
      <c r="V13" s="9">
        <v>63</v>
      </c>
      <c r="W13" s="9">
        <v>17</v>
      </c>
      <c r="X13" s="9">
        <v>40</v>
      </c>
      <c r="Y13" s="9">
        <v>5</v>
      </c>
      <c r="Z13" s="9">
        <v>33</v>
      </c>
      <c r="AA13" s="9">
        <v>51</v>
      </c>
      <c r="AB13" s="9">
        <v>17</v>
      </c>
      <c r="AC13" s="9">
        <v>17</v>
      </c>
      <c r="AD13" s="9">
        <v>11</v>
      </c>
      <c r="AE13" s="9">
        <v>5</v>
      </c>
      <c r="AF13" s="9">
        <v>0</v>
      </c>
      <c r="AG13" s="9">
        <v>17</v>
      </c>
      <c r="AH13" s="9">
        <v>11</v>
      </c>
      <c r="AI13" s="9">
        <v>17</v>
      </c>
      <c r="AJ13" s="9">
        <v>0</v>
      </c>
      <c r="AK13" s="9">
        <v>28</v>
      </c>
      <c r="AL13" s="9">
        <v>23</v>
      </c>
      <c r="AM13" s="9">
        <v>28</v>
      </c>
      <c r="AN13" s="9">
        <v>0</v>
      </c>
      <c r="AO13" s="9">
        <v>0</v>
      </c>
      <c r="AP13" s="9">
        <v>5</v>
      </c>
      <c r="AQ13" s="9">
        <v>17</v>
      </c>
      <c r="AR13" s="9">
        <v>40</v>
      </c>
      <c r="AS13" s="9">
        <v>17</v>
      </c>
      <c r="AT13" s="9">
        <v>51</v>
      </c>
      <c r="AU13" s="9">
        <v>11</v>
      </c>
      <c r="AV13" s="9">
        <v>0</v>
      </c>
      <c r="AW13" s="9">
        <v>11</v>
      </c>
      <c r="AX13" s="9">
        <v>17</v>
      </c>
      <c r="AY13" s="9">
        <v>23</v>
      </c>
      <c r="AZ13" s="9">
        <v>0</v>
      </c>
      <c r="BA13" s="10">
        <v>104.06699999999999</v>
      </c>
      <c r="BB13" s="11">
        <v>0</v>
      </c>
      <c r="BC13" s="11">
        <v>0</v>
      </c>
      <c r="BD13" s="11">
        <v>0</v>
      </c>
      <c r="BE13" s="11">
        <v>0</v>
      </c>
      <c r="BF13" s="11">
        <v>0</v>
      </c>
      <c r="BG13" s="11">
        <v>50000</v>
      </c>
      <c r="BH13" s="11">
        <v>10000</v>
      </c>
      <c r="BI13" s="11">
        <v>5000</v>
      </c>
      <c r="BJ13" s="11">
        <v>12386</v>
      </c>
      <c r="BK13" s="11">
        <v>11891</v>
      </c>
      <c r="BL13" s="11">
        <v>3480</v>
      </c>
      <c r="BM13" s="11">
        <v>4930</v>
      </c>
      <c r="BN13" s="11">
        <v>1741</v>
      </c>
      <c r="BO13" s="9">
        <v>29000</v>
      </c>
      <c r="BP13" s="9">
        <v>5206</v>
      </c>
    </row>
    <row r="14" spans="1:68" x14ac:dyDescent="0.3">
      <c r="A14" s="7">
        <v>45304</v>
      </c>
      <c r="B14" s="7" t="str">
        <f t="shared" si="0"/>
        <v>JANUARY</v>
      </c>
      <c r="C14" s="8">
        <f>MONTH(Data!$A14)</f>
        <v>1</v>
      </c>
      <c r="D14" s="9">
        <v>535</v>
      </c>
      <c r="E14" s="9">
        <v>570</v>
      </c>
      <c r="F14" s="9">
        <v>133</v>
      </c>
      <c r="G14" s="9">
        <v>301</v>
      </c>
      <c r="H14" s="9">
        <v>101</v>
      </c>
      <c r="I14" s="9">
        <v>159</v>
      </c>
      <c r="J14" s="9">
        <v>286</v>
      </c>
      <c r="K14" s="9">
        <v>125</v>
      </c>
      <c r="L14" s="9">
        <v>159</v>
      </c>
      <c r="M14" s="9">
        <v>79</v>
      </c>
      <c r="N14" s="9">
        <v>39</v>
      </c>
      <c r="O14" s="9">
        <v>16</v>
      </c>
      <c r="P14" s="9">
        <v>33</v>
      </c>
      <c r="Q14" s="9">
        <v>95</v>
      </c>
      <c r="R14" s="9">
        <v>67</v>
      </c>
      <c r="S14" s="9">
        <v>24</v>
      </c>
      <c r="T14" s="9">
        <v>16</v>
      </c>
      <c r="U14" s="9">
        <v>7</v>
      </c>
      <c r="V14" s="9">
        <v>39</v>
      </c>
      <c r="W14" s="9">
        <v>17</v>
      </c>
      <c r="X14" s="9">
        <v>34</v>
      </c>
      <c r="Y14" s="9">
        <v>11</v>
      </c>
      <c r="Z14" s="9">
        <v>62</v>
      </c>
      <c r="AA14" s="9">
        <v>34</v>
      </c>
      <c r="AB14" s="9">
        <v>17</v>
      </c>
      <c r="AC14" s="9">
        <v>0</v>
      </c>
      <c r="AD14" s="9">
        <v>11</v>
      </c>
      <c r="AE14" s="9">
        <v>11</v>
      </c>
      <c r="AF14" s="9">
        <v>0</v>
      </c>
      <c r="AG14" s="9">
        <v>5</v>
      </c>
      <c r="AH14" s="9">
        <v>0</v>
      </c>
      <c r="AI14" s="9">
        <v>17</v>
      </c>
      <c r="AJ14" s="9">
        <v>11</v>
      </c>
      <c r="AK14" s="9">
        <v>34</v>
      </c>
      <c r="AL14" s="9">
        <v>11</v>
      </c>
      <c r="AM14" s="9">
        <v>22</v>
      </c>
      <c r="AN14" s="9">
        <v>17</v>
      </c>
      <c r="AO14" s="9">
        <v>0</v>
      </c>
      <c r="AP14" s="9">
        <v>22</v>
      </c>
      <c r="AQ14" s="9">
        <v>17</v>
      </c>
      <c r="AR14" s="9">
        <v>39</v>
      </c>
      <c r="AS14" s="9">
        <v>5</v>
      </c>
      <c r="AT14" s="9">
        <v>17</v>
      </c>
      <c r="AU14" s="9">
        <v>17</v>
      </c>
      <c r="AV14" s="9">
        <v>0</v>
      </c>
      <c r="AW14" s="9">
        <v>34</v>
      </c>
      <c r="AX14" s="9">
        <v>17</v>
      </c>
      <c r="AY14" s="9">
        <v>22</v>
      </c>
      <c r="AZ14" s="9">
        <v>27</v>
      </c>
      <c r="BA14" s="10">
        <v>112.53</v>
      </c>
      <c r="BB14" s="11">
        <v>0</v>
      </c>
      <c r="BC14" s="11">
        <v>0</v>
      </c>
      <c r="BD14" s="11">
        <v>0</v>
      </c>
      <c r="BE14" s="11">
        <v>0</v>
      </c>
      <c r="BF14" s="11">
        <v>0</v>
      </c>
      <c r="BG14" s="11">
        <v>50000</v>
      </c>
      <c r="BH14" s="11">
        <v>10000</v>
      </c>
      <c r="BI14" s="11">
        <v>5000</v>
      </c>
      <c r="BJ14" s="11">
        <v>12386</v>
      </c>
      <c r="BK14" s="11">
        <v>11891</v>
      </c>
      <c r="BL14" s="11">
        <v>3480</v>
      </c>
      <c r="BM14" s="11">
        <v>4930</v>
      </c>
      <c r="BN14" s="11">
        <v>1741</v>
      </c>
      <c r="BO14" s="9">
        <v>29000</v>
      </c>
      <c r="BP14" s="9">
        <v>2777</v>
      </c>
    </row>
    <row r="15" spans="1:68" x14ac:dyDescent="0.3">
      <c r="A15" s="7">
        <v>45305</v>
      </c>
      <c r="B15" s="7" t="str">
        <f t="shared" si="0"/>
        <v>JANUARY</v>
      </c>
      <c r="C15" s="8">
        <f>MONTH(Data!$A15)</f>
        <v>1</v>
      </c>
      <c r="D15" s="9">
        <v>523</v>
      </c>
      <c r="E15" s="9">
        <v>571</v>
      </c>
      <c r="F15" s="9">
        <v>261</v>
      </c>
      <c r="G15" s="9">
        <v>184</v>
      </c>
      <c r="H15" s="9">
        <v>78</v>
      </c>
      <c r="I15" s="9">
        <v>279</v>
      </c>
      <c r="J15" s="9">
        <v>264</v>
      </c>
      <c r="K15" s="9">
        <v>28</v>
      </c>
      <c r="L15" s="9">
        <v>110</v>
      </c>
      <c r="M15" s="9">
        <v>100</v>
      </c>
      <c r="N15" s="9">
        <v>25</v>
      </c>
      <c r="O15" s="9">
        <v>45</v>
      </c>
      <c r="P15" s="9">
        <v>29</v>
      </c>
      <c r="Q15" s="9">
        <v>83</v>
      </c>
      <c r="R15" s="9">
        <v>39</v>
      </c>
      <c r="S15" s="9">
        <v>17</v>
      </c>
      <c r="T15" s="9">
        <v>17</v>
      </c>
      <c r="U15" s="9">
        <v>58</v>
      </c>
      <c r="V15" s="9">
        <v>39</v>
      </c>
      <c r="W15" s="9">
        <v>5</v>
      </c>
      <c r="X15" s="9">
        <v>17</v>
      </c>
      <c r="Y15" s="9">
        <v>11</v>
      </c>
      <c r="Z15" s="9">
        <v>79</v>
      </c>
      <c r="AA15" s="9">
        <v>45</v>
      </c>
      <c r="AB15" s="9">
        <v>0</v>
      </c>
      <c r="AC15" s="9">
        <v>0</v>
      </c>
      <c r="AD15" s="9">
        <v>11</v>
      </c>
      <c r="AE15" s="9">
        <v>5</v>
      </c>
      <c r="AF15" s="9">
        <v>0</v>
      </c>
      <c r="AG15" s="9">
        <v>28</v>
      </c>
      <c r="AH15" s="9">
        <v>0</v>
      </c>
      <c r="AI15" s="9">
        <v>17</v>
      </c>
      <c r="AJ15" s="9">
        <v>5</v>
      </c>
      <c r="AK15" s="9">
        <v>57</v>
      </c>
      <c r="AL15" s="9">
        <v>5</v>
      </c>
      <c r="AM15" s="9">
        <v>17</v>
      </c>
      <c r="AN15" s="9">
        <v>11</v>
      </c>
      <c r="AO15" s="9">
        <v>0</v>
      </c>
      <c r="AP15" s="9">
        <v>11</v>
      </c>
      <c r="AQ15" s="9">
        <v>17</v>
      </c>
      <c r="AR15" s="9">
        <v>57</v>
      </c>
      <c r="AS15" s="9">
        <v>11</v>
      </c>
      <c r="AT15" s="9">
        <v>45</v>
      </c>
      <c r="AU15" s="9">
        <v>11</v>
      </c>
      <c r="AV15" s="9">
        <v>5</v>
      </c>
      <c r="AW15" s="9">
        <v>22</v>
      </c>
      <c r="AX15" s="9">
        <v>5</v>
      </c>
      <c r="AY15" s="9">
        <v>0</v>
      </c>
      <c r="AZ15" s="9">
        <v>35</v>
      </c>
      <c r="BA15" s="10">
        <v>120.14050000000002</v>
      </c>
      <c r="BB15" s="11">
        <v>0</v>
      </c>
      <c r="BC15" s="11">
        <v>0</v>
      </c>
      <c r="BD15" s="11">
        <v>0</v>
      </c>
      <c r="BE15" s="11">
        <v>0</v>
      </c>
      <c r="BF15" s="11">
        <v>0</v>
      </c>
      <c r="BG15" s="11">
        <v>50000</v>
      </c>
      <c r="BH15" s="11">
        <v>10000</v>
      </c>
      <c r="BI15" s="11">
        <v>5000</v>
      </c>
      <c r="BJ15" s="11">
        <v>12386</v>
      </c>
      <c r="BK15" s="11">
        <v>11891</v>
      </c>
      <c r="BL15" s="11">
        <v>3480</v>
      </c>
      <c r="BM15" s="11">
        <v>4930</v>
      </c>
      <c r="BN15" s="11">
        <v>1741</v>
      </c>
      <c r="BO15" s="9">
        <v>29000</v>
      </c>
      <c r="BP15" s="9">
        <v>2650</v>
      </c>
    </row>
    <row r="16" spans="1:68" x14ac:dyDescent="0.3">
      <c r="A16" s="7">
        <v>45306</v>
      </c>
      <c r="B16" s="7" t="str">
        <f t="shared" si="0"/>
        <v>JANUARY</v>
      </c>
      <c r="C16" s="8">
        <f>MONTH(Data!$A16)</f>
        <v>1</v>
      </c>
      <c r="D16" s="9">
        <v>521</v>
      </c>
      <c r="E16" s="9">
        <v>585</v>
      </c>
      <c r="F16" s="9">
        <v>166</v>
      </c>
      <c r="G16" s="9">
        <v>303</v>
      </c>
      <c r="H16" s="9">
        <v>52</v>
      </c>
      <c r="I16" s="9">
        <v>204</v>
      </c>
      <c r="J16" s="9">
        <v>264</v>
      </c>
      <c r="K16" s="9">
        <v>117</v>
      </c>
      <c r="L16" s="9">
        <v>116</v>
      </c>
      <c r="M16" s="9">
        <v>77</v>
      </c>
      <c r="N16" s="9">
        <v>45</v>
      </c>
      <c r="O16" s="9">
        <v>16</v>
      </c>
      <c r="P16" s="9">
        <v>32</v>
      </c>
      <c r="Q16" s="9">
        <v>108</v>
      </c>
      <c r="R16" s="9">
        <v>31</v>
      </c>
      <c r="S16" s="9">
        <v>15</v>
      </c>
      <c r="T16" s="9">
        <v>13</v>
      </c>
      <c r="U16" s="9">
        <v>68</v>
      </c>
      <c r="V16" s="9">
        <v>76</v>
      </c>
      <c r="W16" s="9">
        <v>5</v>
      </c>
      <c r="X16" s="9">
        <v>17</v>
      </c>
      <c r="Y16" s="9">
        <v>17</v>
      </c>
      <c r="Z16" s="9">
        <v>46</v>
      </c>
      <c r="AA16" s="9">
        <v>52</v>
      </c>
      <c r="AB16" s="9">
        <v>0</v>
      </c>
      <c r="AC16" s="9">
        <v>5</v>
      </c>
      <c r="AD16" s="9">
        <v>11</v>
      </c>
      <c r="AE16" s="9">
        <v>0</v>
      </c>
      <c r="AF16" s="9">
        <v>5</v>
      </c>
      <c r="AG16" s="9">
        <v>17</v>
      </c>
      <c r="AH16" s="9">
        <v>5</v>
      </c>
      <c r="AI16" s="9">
        <v>11</v>
      </c>
      <c r="AJ16" s="9">
        <v>5</v>
      </c>
      <c r="AK16" s="9">
        <v>35</v>
      </c>
      <c r="AL16" s="9">
        <v>23</v>
      </c>
      <c r="AM16" s="9">
        <v>29</v>
      </c>
      <c r="AN16" s="9">
        <v>5</v>
      </c>
      <c r="AO16" s="9">
        <v>5</v>
      </c>
      <c r="AP16" s="9">
        <v>5</v>
      </c>
      <c r="AQ16" s="9">
        <v>5</v>
      </c>
      <c r="AR16" s="9">
        <v>52</v>
      </c>
      <c r="AS16" s="9">
        <v>11</v>
      </c>
      <c r="AT16" s="9">
        <v>17</v>
      </c>
      <c r="AU16" s="9">
        <v>23</v>
      </c>
      <c r="AV16" s="9">
        <v>0</v>
      </c>
      <c r="AW16" s="9">
        <v>5</v>
      </c>
      <c r="AX16" s="9">
        <v>5</v>
      </c>
      <c r="AY16" s="9">
        <v>17</v>
      </c>
      <c r="AZ16" s="9">
        <v>76</v>
      </c>
      <c r="BA16" s="10">
        <v>128.94450000000001</v>
      </c>
      <c r="BB16" s="11">
        <v>0</v>
      </c>
      <c r="BC16" s="11">
        <v>0</v>
      </c>
      <c r="BD16" s="11">
        <v>0</v>
      </c>
      <c r="BE16" s="11">
        <v>0</v>
      </c>
      <c r="BF16" s="11">
        <v>0</v>
      </c>
      <c r="BG16" s="11">
        <v>46500</v>
      </c>
      <c r="BH16" s="11">
        <v>10000</v>
      </c>
      <c r="BI16" s="11">
        <v>8000</v>
      </c>
      <c r="BJ16" s="11">
        <v>12386</v>
      </c>
      <c r="BK16" s="11">
        <v>11891</v>
      </c>
      <c r="BL16" s="11">
        <v>3480</v>
      </c>
      <c r="BM16" s="11">
        <v>4930</v>
      </c>
      <c r="BN16" s="11">
        <v>1741</v>
      </c>
      <c r="BO16" s="9">
        <v>29000</v>
      </c>
      <c r="BP16" s="9">
        <v>380</v>
      </c>
    </row>
    <row r="17" spans="1:68" x14ac:dyDescent="0.3">
      <c r="A17" s="7">
        <v>45307</v>
      </c>
      <c r="B17" s="7" t="str">
        <f t="shared" si="0"/>
        <v>JANUARY</v>
      </c>
      <c r="C17" s="8">
        <f>MONTH(Data!$A17)</f>
        <v>1</v>
      </c>
      <c r="D17" s="9">
        <v>526</v>
      </c>
      <c r="E17" s="9">
        <v>614</v>
      </c>
      <c r="F17" s="9">
        <v>257</v>
      </c>
      <c r="G17" s="9">
        <v>175</v>
      </c>
      <c r="H17" s="9">
        <v>94</v>
      </c>
      <c r="I17" s="9">
        <v>122</v>
      </c>
      <c r="J17" s="9">
        <v>456</v>
      </c>
      <c r="K17" s="9">
        <v>36</v>
      </c>
      <c r="L17" s="9">
        <v>143</v>
      </c>
      <c r="M17" s="9">
        <v>45</v>
      </c>
      <c r="N17" s="9">
        <v>48</v>
      </c>
      <c r="O17" s="9">
        <v>26</v>
      </c>
      <c r="P17" s="9">
        <v>29</v>
      </c>
      <c r="Q17" s="9">
        <v>109</v>
      </c>
      <c r="R17" s="9">
        <v>43</v>
      </c>
      <c r="S17" s="9">
        <v>25</v>
      </c>
      <c r="T17" s="9">
        <v>15</v>
      </c>
      <c r="U17" s="9">
        <v>43</v>
      </c>
      <c r="V17" s="9">
        <v>67</v>
      </c>
      <c r="W17" s="9">
        <v>18</v>
      </c>
      <c r="X17" s="9">
        <v>30</v>
      </c>
      <c r="Y17" s="9">
        <v>18</v>
      </c>
      <c r="Z17" s="9">
        <v>5</v>
      </c>
      <c r="AA17" s="9">
        <v>42</v>
      </c>
      <c r="AB17" s="9">
        <v>0</v>
      </c>
      <c r="AC17" s="9">
        <v>18</v>
      </c>
      <c r="AD17" s="9">
        <v>30</v>
      </c>
      <c r="AE17" s="9">
        <v>12</v>
      </c>
      <c r="AF17" s="9">
        <v>0</v>
      </c>
      <c r="AG17" s="9">
        <v>18</v>
      </c>
      <c r="AH17" s="9">
        <v>12</v>
      </c>
      <c r="AI17" s="9">
        <v>12</v>
      </c>
      <c r="AJ17" s="9">
        <v>0</v>
      </c>
      <c r="AK17" s="9">
        <v>55</v>
      </c>
      <c r="AL17" s="9">
        <v>12</v>
      </c>
      <c r="AM17" s="9">
        <v>30</v>
      </c>
      <c r="AN17" s="9">
        <v>18</v>
      </c>
      <c r="AO17" s="9">
        <v>6</v>
      </c>
      <c r="AP17" s="9">
        <v>12</v>
      </c>
      <c r="AQ17" s="9">
        <v>24</v>
      </c>
      <c r="AR17" s="9">
        <v>49</v>
      </c>
      <c r="AS17" s="9">
        <v>12</v>
      </c>
      <c r="AT17" s="9">
        <v>30</v>
      </c>
      <c r="AU17" s="9">
        <v>30</v>
      </c>
      <c r="AV17" s="9">
        <v>0</v>
      </c>
      <c r="AW17" s="9">
        <v>18</v>
      </c>
      <c r="AX17" s="9">
        <v>12</v>
      </c>
      <c r="AY17" s="9">
        <v>24</v>
      </c>
      <c r="AZ17" s="9">
        <v>0</v>
      </c>
      <c r="BA17" s="10">
        <v>134.24550000000002</v>
      </c>
      <c r="BB17" s="11">
        <v>0</v>
      </c>
      <c r="BC17" s="11">
        <v>0</v>
      </c>
      <c r="BD17" s="11">
        <v>0</v>
      </c>
      <c r="BE17" s="11">
        <v>0</v>
      </c>
      <c r="BF17" s="11">
        <v>0</v>
      </c>
      <c r="BG17" s="11">
        <v>46500</v>
      </c>
      <c r="BH17" s="11">
        <v>10000</v>
      </c>
      <c r="BI17" s="11">
        <v>8000</v>
      </c>
      <c r="BJ17" s="11">
        <v>12386</v>
      </c>
      <c r="BK17" s="11">
        <v>11891</v>
      </c>
      <c r="BL17" s="11">
        <v>3480</v>
      </c>
      <c r="BM17" s="11">
        <v>4930</v>
      </c>
      <c r="BN17" s="11">
        <v>1741</v>
      </c>
      <c r="BO17" s="9">
        <v>29000</v>
      </c>
      <c r="BP17" s="9">
        <v>6166</v>
      </c>
    </row>
    <row r="18" spans="1:68" x14ac:dyDescent="0.3">
      <c r="A18" s="7">
        <v>45308</v>
      </c>
      <c r="B18" s="7" t="str">
        <f t="shared" si="0"/>
        <v>JANUARY</v>
      </c>
      <c r="C18" s="8">
        <f>MONTH(Data!$A18)</f>
        <v>1</v>
      </c>
      <c r="D18" s="9">
        <v>536</v>
      </c>
      <c r="E18" s="9">
        <v>688</v>
      </c>
      <c r="F18" s="9">
        <v>219</v>
      </c>
      <c r="G18" s="9">
        <v>189</v>
      </c>
      <c r="H18" s="9">
        <v>128</v>
      </c>
      <c r="I18" s="9">
        <v>316</v>
      </c>
      <c r="J18" s="9">
        <v>242</v>
      </c>
      <c r="K18" s="9">
        <v>130</v>
      </c>
      <c r="L18" s="9">
        <v>112</v>
      </c>
      <c r="M18" s="9">
        <v>116</v>
      </c>
      <c r="N18" s="9">
        <v>49</v>
      </c>
      <c r="O18" s="9">
        <v>29</v>
      </c>
      <c r="P18" s="9">
        <v>19</v>
      </c>
      <c r="Q18" s="9">
        <v>89</v>
      </c>
      <c r="R18" s="9">
        <v>18</v>
      </c>
      <c r="S18" s="9">
        <v>22</v>
      </c>
      <c r="T18" s="9">
        <v>12</v>
      </c>
      <c r="U18" s="9">
        <v>70</v>
      </c>
      <c r="V18" s="9">
        <v>68</v>
      </c>
      <c r="W18" s="9">
        <v>6</v>
      </c>
      <c r="X18" s="9">
        <v>34</v>
      </c>
      <c r="Y18" s="9">
        <v>6</v>
      </c>
      <c r="Z18" s="9">
        <v>15</v>
      </c>
      <c r="AA18" s="9">
        <v>48</v>
      </c>
      <c r="AB18" s="9">
        <v>13</v>
      </c>
      <c r="AC18" s="9">
        <v>20</v>
      </c>
      <c r="AD18" s="9">
        <v>34</v>
      </c>
      <c r="AE18" s="9">
        <v>20</v>
      </c>
      <c r="AF18" s="9">
        <v>6</v>
      </c>
      <c r="AG18" s="9">
        <v>34</v>
      </c>
      <c r="AH18" s="9">
        <v>13</v>
      </c>
      <c r="AI18" s="9">
        <v>13</v>
      </c>
      <c r="AJ18" s="9">
        <v>6</v>
      </c>
      <c r="AK18" s="9">
        <v>55</v>
      </c>
      <c r="AL18" s="9">
        <v>48</v>
      </c>
      <c r="AM18" s="9">
        <v>34</v>
      </c>
      <c r="AN18" s="9">
        <v>0</v>
      </c>
      <c r="AO18" s="9">
        <v>0</v>
      </c>
      <c r="AP18" s="9">
        <v>27</v>
      </c>
      <c r="AQ18" s="9">
        <v>13</v>
      </c>
      <c r="AR18" s="9">
        <v>75</v>
      </c>
      <c r="AS18" s="9">
        <v>20</v>
      </c>
      <c r="AT18" s="9">
        <v>34</v>
      </c>
      <c r="AU18" s="9">
        <v>27</v>
      </c>
      <c r="AV18" s="9">
        <v>6</v>
      </c>
      <c r="AW18" s="9">
        <v>13</v>
      </c>
      <c r="AX18" s="9">
        <v>0</v>
      </c>
      <c r="AY18" s="9">
        <v>0</v>
      </c>
      <c r="AZ18" s="9">
        <v>0</v>
      </c>
      <c r="BA18" s="10">
        <v>135.6405</v>
      </c>
      <c r="BB18" s="11">
        <v>0</v>
      </c>
      <c r="BC18" s="11">
        <v>0</v>
      </c>
      <c r="BD18" s="11">
        <v>0</v>
      </c>
      <c r="BE18" s="11">
        <v>0</v>
      </c>
      <c r="BF18" s="11">
        <v>0</v>
      </c>
      <c r="BG18" s="11">
        <v>46500</v>
      </c>
      <c r="BH18" s="11">
        <v>10000</v>
      </c>
      <c r="BI18" s="11">
        <v>8000</v>
      </c>
      <c r="BJ18" s="11">
        <v>12386</v>
      </c>
      <c r="BK18" s="11">
        <v>11891</v>
      </c>
      <c r="BL18" s="11">
        <v>3480</v>
      </c>
      <c r="BM18" s="11">
        <v>4930</v>
      </c>
      <c r="BN18" s="11">
        <v>1741</v>
      </c>
      <c r="BO18" s="9">
        <v>29000</v>
      </c>
      <c r="BP18" s="9">
        <v>2706</v>
      </c>
    </row>
    <row r="19" spans="1:68" x14ac:dyDescent="0.3">
      <c r="A19" s="7">
        <v>45309</v>
      </c>
      <c r="B19" s="7" t="str">
        <f t="shared" si="0"/>
        <v>JANUARY</v>
      </c>
      <c r="C19" s="8">
        <f>MONTH(Data!$A19)</f>
        <v>1</v>
      </c>
      <c r="D19" s="9">
        <v>553</v>
      </c>
      <c r="E19" s="9">
        <v>752</v>
      </c>
      <c r="F19" s="9">
        <v>160</v>
      </c>
      <c r="G19" s="9">
        <v>299</v>
      </c>
      <c r="H19" s="9">
        <v>94</v>
      </c>
      <c r="I19" s="9">
        <v>330</v>
      </c>
      <c r="J19" s="9">
        <v>265</v>
      </c>
      <c r="K19" s="9">
        <v>157</v>
      </c>
      <c r="L19" s="9">
        <v>150</v>
      </c>
      <c r="M19" s="9">
        <v>68</v>
      </c>
      <c r="N19" s="9">
        <v>44</v>
      </c>
      <c r="O19" s="9">
        <v>30</v>
      </c>
      <c r="P19" s="9">
        <v>6</v>
      </c>
      <c r="Q19" s="9">
        <v>96</v>
      </c>
      <c r="R19" s="9">
        <v>23</v>
      </c>
      <c r="S19" s="9">
        <v>16</v>
      </c>
      <c r="T19" s="9">
        <v>31</v>
      </c>
      <c r="U19" s="9">
        <v>89</v>
      </c>
      <c r="V19" s="9">
        <v>60</v>
      </c>
      <c r="W19" s="9">
        <v>7</v>
      </c>
      <c r="X19" s="9">
        <v>37</v>
      </c>
      <c r="Y19" s="9">
        <v>22</v>
      </c>
      <c r="Z19" s="9">
        <v>67</v>
      </c>
      <c r="AA19" s="9">
        <v>60</v>
      </c>
      <c r="AB19" s="9">
        <v>0</v>
      </c>
      <c r="AC19" s="9">
        <v>0</v>
      </c>
      <c r="AD19" s="9">
        <v>15</v>
      </c>
      <c r="AE19" s="9">
        <v>22</v>
      </c>
      <c r="AF19" s="9">
        <v>0</v>
      </c>
      <c r="AG19" s="9">
        <v>7</v>
      </c>
      <c r="AH19" s="9">
        <v>7</v>
      </c>
      <c r="AI19" s="9">
        <v>22</v>
      </c>
      <c r="AJ19" s="9">
        <v>0</v>
      </c>
      <c r="AK19" s="9">
        <v>45</v>
      </c>
      <c r="AL19" s="9">
        <v>22</v>
      </c>
      <c r="AM19" s="9">
        <v>15</v>
      </c>
      <c r="AN19" s="9">
        <v>15</v>
      </c>
      <c r="AO19" s="9">
        <v>7</v>
      </c>
      <c r="AP19" s="9">
        <v>30</v>
      </c>
      <c r="AQ19" s="9">
        <v>22</v>
      </c>
      <c r="AR19" s="9">
        <v>52</v>
      </c>
      <c r="AS19" s="9">
        <v>22</v>
      </c>
      <c r="AT19" s="9">
        <v>45</v>
      </c>
      <c r="AU19" s="9">
        <v>15</v>
      </c>
      <c r="AV19" s="9">
        <v>7</v>
      </c>
      <c r="AW19" s="9">
        <v>52</v>
      </c>
      <c r="AX19" s="9">
        <v>22</v>
      </c>
      <c r="AY19" s="9">
        <v>0</v>
      </c>
      <c r="AZ19" s="9">
        <v>55</v>
      </c>
      <c r="BA19" s="10">
        <v>135.6405</v>
      </c>
      <c r="BB19" s="11">
        <v>0</v>
      </c>
      <c r="BC19" s="11">
        <v>0</v>
      </c>
      <c r="BD19" s="11">
        <v>0</v>
      </c>
      <c r="BE19" s="11">
        <v>0</v>
      </c>
      <c r="BF19" s="11">
        <v>0</v>
      </c>
      <c r="BG19" s="11">
        <v>46500</v>
      </c>
      <c r="BH19" s="11">
        <v>20000</v>
      </c>
      <c r="BI19" s="11">
        <v>8000</v>
      </c>
      <c r="BJ19" s="11">
        <v>20895</v>
      </c>
      <c r="BK19" s="11">
        <v>11891</v>
      </c>
      <c r="BL19" s="11">
        <v>3480</v>
      </c>
      <c r="BM19" s="11">
        <v>4930</v>
      </c>
      <c r="BN19" s="11">
        <v>1741</v>
      </c>
      <c r="BO19" s="9">
        <v>29000</v>
      </c>
      <c r="BP19" s="9">
        <v>2768</v>
      </c>
    </row>
    <row r="20" spans="1:68" x14ac:dyDescent="0.3">
      <c r="A20" s="7">
        <v>45310</v>
      </c>
      <c r="B20" s="7" t="str">
        <f t="shared" si="0"/>
        <v>JANUARY</v>
      </c>
      <c r="C20" s="8">
        <f>MONTH(Data!$A20)</f>
        <v>1</v>
      </c>
      <c r="D20" s="9">
        <v>573</v>
      </c>
      <c r="E20" s="9">
        <v>781</v>
      </c>
      <c r="F20" s="9">
        <v>234</v>
      </c>
      <c r="G20" s="9">
        <v>231</v>
      </c>
      <c r="H20" s="9">
        <v>108</v>
      </c>
      <c r="I20" s="9">
        <v>374</v>
      </c>
      <c r="J20" s="9">
        <v>345</v>
      </c>
      <c r="K20" s="9">
        <v>62</v>
      </c>
      <c r="L20" s="9">
        <v>120</v>
      </c>
      <c r="M20" s="9">
        <v>88</v>
      </c>
      <c r="N20" s="9">
        <v>28</v>
      </c>
      <c r="O20" s="9">
        <v>21</v>
      </c>
      <c r="P20" s="9">
        <v>35</v>
      </c>
      <c r="Q20" s="9">
        <v>104</v>
      </c>
      <c r="R20" s="9">
        <v>45</v>
      </c>
      <c r="S20" s="9">
        <v>32</v>
      </c>
      <c r="T20" s="9">
        <v>30</v>
      </c>
      <c r="U20" s="9">
        <v>70</v>
      </c>
      <c r="V20" s="9">
        <v>109</v>
      </c>
      <c r="W20" s="9">
        <v>7</v>
      </c>
      <c r="X20" s="9">
        <v>54</v>
      </c>
      <c r="Y20" s="9">
        <v>23</v>
      </c>
      <c r="Z20" s="9">
        <v>70</v>
      </c>
      <c r="AA20" s="9">
        <v>62</v>
      </c>
      <c r="AB20" s="9">
        <v>23</v>
      </c>
      <c r="AC20" s="9">
        <v>23</v>
      </c>
      <c r="AD20" s="9">
        <v>23</v>
      </c>
      <c r="AE20" s="9">
        <v>23</v>
      </c>
      <c r="AF20" s="9">
        <v>0</v>
      </c>
      <c r="AG20" s="9">
        <v>31</v>
      </c>
      <c r="AH20" s="9">
        <v>15</v>
      </c>
      <c r="AI20" s="9">
        <v>15</v>
      </c>
      <c r="AJ20" s="9">
        <v>23</v>
      </c>
      <c r="AK20" s="9">
        <v>39</v>
      </c>
      <c r="AL20" s="9">
        <v>31</v>
      </c>
      <c r="AM20" s="9">
        <v>15</v>
      </c>
      <c r="AN20" s="9">
        <v>23</v>
      </c>
      <c r="AO20" s="9">
        <v>0</v>
      </c>
      <c r="AP20" s="9">
        <v>31</v>
      </c>
      <c r="AQ20" s="9">
        <v>15</v>
      </c>
      <c r="AR20" s="9">
        <v>0</v>
      </c>
      <c r="AS20" s="9">
        <v>23</v>
      </c>
      <c r="AT20" s="9">
        <v>3</v>
      </c>
      <c r="AU20" s="9">
        <v>23</v>
      </c>
      <c r="AV20" s="9">
        <v>0</v>
      </c>
      <c r="AW20" s="9">
        <v>15</v>
      </c>
      <c r="AX20" s="9">
        <v>31</v>
      </c>
      <c r="AY20" s="9">
        <v>31</v>
      </c>
      <c r="AZ20" s="9">
        <v>0</v>
      </c>
      <c r="BA20" s="10">
        <v>96.332499999999996</v>
      </c>
      <c r="BB20" s="11">
        <v>0</v>
      </c>
      <c r="BC20" s="11">
        <v>0</v>
      </c>
      <c r="BD20" s="11">
        <v>0</v>
      </c>
      <c r="BE20" s="11">
        <v>0</v>
      </c>
      <c r="BF20" s="11">
        <v>0</v>
      </c>
      <c r="BG20" s="11">
        <v>46500</v>
      </c>
      <c r="BH20" s="11">
        <v>20000</v>
      </c>
      <c r="BI20" s="11">
        <v>8000</v>
      </c>
      <c r="BJ20" s="11">
        <v>20895</v>
      </c>
      <c r="BK20" s="11">
        <v>11891</v>
      </c>
      <c r="BL20" s="11">
        <v>3480</v>
      </c>
      <c r="BM20" s="11">
        <v>4930</v>
      </c>
      <c r="BN20" s="11">
        <v>1741</v>
      </c>
      <c r="BO20" s="9">
        <v>29000</v>
      </c>
      <c r="BP20" s="9">
        <v>1607</v>
      </c>
    </row>
    <row r="21" spans="1:68" x14ac:dyDescent="0.3">
      <c r="A21" s="7">
        <v>45311</v>
      </c>
      <c r="B21" s="7" t="str">
        <f t="shared" si="0"/>
        <v>JANUARY</v>
      </c>
      <c r="C21" s="8">
        <f>MONTH(Data!$A21)</f>
        <v>1</v>
      </c>
      <c r="D21" s="9">
        <v>599</v>
      </c>
      <c r="E21" s="9">
        <v>791</v>
      </c>
      <c r="F21" s="9">
        <v>257</v>
      </c>
      <c r="G21" s="9">
        <v>313</v>
      </c>
      <c r="H21" s="9">
        <v>29</v>
      </c>
      <c r="I21" s="9">
        <v>292</v>
      </c>
      <c r="J21" s="9">
        <v>373</v>
      </c>
      <c r="K21" s="9">
        <v>126</v>
      </c>
      <c r="L21" s="9">
        <v>126</v>
      </c>
      <c r="M21" s="9">
        <v>107</v>
      </c>
      <c r="N21" s="9">
        <v>51</v>
      </c>
      <c r="O21" s="9">
        <v>37</v>
      </c>
      <c r="P21" s="9">
        <v>29</v>
      </c>
      <c r="Q21" s="9">
        <v>77</v>
      </c>
      <c r="R21" s="9">
        <v>59</v>
      </c>
      <c r="S21" s="9">
        <v>22</v>
      </c>
      <c r="T21" s="9">
        <v>25</v>
      </c>
      <c r="U21" s="9">
        <v>66</v>
      </c>
      <c r="V21" s="9">
        <v>102</v>
      </c>
      <c r="W21" s="9">
        <v>7</v>
      </c>
      <c r="X21" s="9">
        <v>47</v>
      </c>
      <c r="Y21" s="9">
        <v>0</v>
      </c>
      <c r="Z21" s="9">
        <v>90</v>
      </c>
      <c r="AA21" s="9">
        <v>39</v>
      </c>
      <c r="AB21" s="9">
        <v>15</v>
      </c>
      <c r="AC21" s="9">
        <v>7</v>
      </c>
      <c r="AD21" s="9">
        <v>39</v>
      </c>
      <c r="AE21" s="9">
        <v>15</v>
      </c>
      <c r="AF21" s="9">
        <v>0</v>
      </c>
      <c r="AG21" s="9">
        <v>31</v>
      </c>
      <c r="AH21" s="9">
        <v>23</v>
      </c>
      <c r="AI21" s="9">
        <v>7</v>
      </c>
      <c r="AJ21" s="9">
        <v>23</v>
      </c>
      <c r="AK21" s="9">
        <v>63</v>
      </c>
      <c r="AL21" s="9">
        <v>7</v>
      </c>
      <c r="AM21" s="9">
        <v>39</v>
      </c>
      <c r="AN21" s="9">
        <v>7</v>
      </c>
      <c r="AO21" s="9">
        <v>7</v>
      </c>
      <c r="AP21" s="9">
        <v>7</v>
      </c>
      <c r="AQ21" s="9">
        <v>7</v>
      </c>
      <c r="AR21" s="9">
        <v>55</v>
      </c>
      <c r="AS21" s="9">
        <v>15</v>
      </c>
      <c r="AT21" s="9">
        <v>63</v>
      </c>
      <c r="AU21" s="9">
        <v>31</v>
      </c>
      <c r="AV21" s="9">
        <v>7</v>
      </c>
      <c r="AW21" s="9">
        <v>23</v>
      </c>
      <c r="AX21" s="9">
        <v>15</v>
      </c>
      <c r="AY21" s="9">
        <v>0</v>
      </c>
      <c r="AZ21" s="9">
        <v>0</v>
      </c>
      <c r="BA21" s="10">
        <v>98.657500000000013</v>
      </c>
      <c r="BB21" s="11">
        <v>0</v>
      </c>
      <c r="BC21" s="11">
        <v>0</v>
      </c>
      <c r="BD21" s="11">
        <v>0</v>
      </c>
      <c r="BE21" s="11">
        <v>0</v>
      </c>
      <c r="BF21" s="11">
        <v>0</v>
      </c>
      <c r="BG21" s="11">
        <v>46500</v>
      </c>
      <c r="BH21" s="11">
        <v>20000</v>
      </c>
      <c r="BI21" s="11">
        <v>8000</v>
      </c>
      <c r="BJ21" s="11">
        <v>20895</v>
      </c>
      <c r="BK21" s="11">
        <v>11891</v>
      </c>
      <c r="BL21" s="11">
        <v>3480</v>
      </c>
      <c r="BM21" s="11">
        <v>4930</v>
      </c>
      <c r="BN21" s="11">
        <v>1741</v>
      </c>
      <c r="BO21" s="9">
        <v>29000</v>
      </c>
      <c r="BP21" s="9">
        <v>6991</v>
      </c>
    </row>
    <row r="22" spans="1:68" x14ac:dyDescent="0.3">
      <c r="A22" s="7">
        <v>45312</v>
      </c>
      <c r="B22" s="7" t="str">
        <f t="shared" si="0"/>
        <v>JANUARY</v>
      </c>
      <c r="C22" s="8">
        <f>MONTH(Data!$A22)</f>
        <v>1</v>
      </c>
      <c r="D22" s="9">
        <v>625</v>
      </c>
      <c r="E22" s="9">
        <v>791</v>
      </c>
      <c r="F22" s="9">
        <v>218</v>
      </c>
      <c r="G22" s="9">
        <v>314</v>
      </c>
      <c r="H22" s="9">
        <v>93</v>
      </c>
      <c r="I22" s="9">
        <v>284</v>
      </c>
      <c r="J22" s="9">
        <v>420</v>
      </c>
      <c r="K22" s="9">
        <v>87</v>
      </c>
      <c r="L22" s="9">
        <v>135</v>
      </c>
      <c r="M22" s="9">
        <v>112</v>
      </c>
      <c r="N22" s="9">
        <v>27</v>
      </c>
      <c r="O22" s="9">
        <v>38</v>
      </c>
      <c r="P22" s="9">
        <v>11</v>
      </c>
      <c r="Q22" s="9">
        <v>128</v>
      </c>
      <c r="R22" s="9">
        <v>30</v>
      </c>
      <c r="S22" s="9">
        <v>35</v>
      </c>
      <c r="T22" s="9">
        <v>21</v>
      </c>
      <c r="U22" s="9">
        <v>88</v>
      </c>
      <c r="V22" s="9">
        <v>31</v>
      </c>
      <c r="W22" s="9">
        <v>0</v>
      </c>
      <c r="X22" s="9">
        <v>55</v>
      </c>
      <c r="Y22" s="9">
        <v>23</v>
      </c>
      <c r="Z22" s="9">
        <v>79</v>
      </c>
      <c r="AA22" s="9">
        <v>71</v>
      </c>
      <c r="AB22" s="9">
        <v>15</v>
      </c>
      <c r="AC22" s="9">
        <v>7</v>
      </c>
      <c r="AD22" s="9">
        <v>39</v>
      </c>
      <c r="AE22" s="9">
        <v>0</v>
      </c>
      <c r="AF22" s="9">
        <v>7</v>
      </c>
      <c r="AG22" s="9">
        <v>7</v>
      </c>
      <c r="AH22" s="9">
        <v>7</v>
      </c>
      <c r="AI22" s="9">
        <v>23</v>
      </c>
      <c r="AJ22" s="9">
        <v>15</v>
      </c>
      <c r="AK22" s="9">
        <v>39</v>
      </c>
      <c r="AL22" s="9">
        <v>7</v>
      </c>
      <c r="AM22" s="9">
        <v>31</v>
      </c>
      <c r="AN22" s="9">
        <v>23</v>
      </c>
      <c r="AO22" s="9">
        <v>0</v>
      </c>
      <c r="AP22" s="9">
        <v>15</v>
      </c>
      <c r="AQ22" s="9">
        <v>23</v>
      </c>
      <c r="AR22" s="9">
        <v>87</v>
      </c>
      <c r="AS22" s="9">
        <v>23</v>
      </c>
      <c r="AT22" s="9">
        <v>47</v>
      </c>
      <c r="AU22" s="9">
        <v>7</v>
      </c>
      <c r="AV22" s="9">
        <v>0</v>
      </c>
      <c r="AW22" s="9">
        <v>31</v>
      </c>
      <c r="AX22" s="9">
        <v>0</v>
      </c>
      <c r="AY22" s="9">
        <v>23</v>
      </c>
      <c r="AZ22" s="9">
        <v>56</v>
      </c>
      <c r="BA22" s="10">
        <v>104.06699999999999</v>
      </c>
      <c r="BB22" s="11">
        <v>0</v>
      </c>
      <c r="BC22" s="11">
        <v>0</v>
      </c>
      <c r="BD22" s="11">
        <v>0</v>
      </c>
      <c r="BE22" s="11">
        <v>0</v>
      </c>
      <c r="BF22" s="11">
        <v>0</v>
      </c>
      <c r="BG22" s="11">
        <v>46500</v>
      </c>
      <c r="BH22" s="11">
        <v>20000</v>
      </c>
      <c r="BI22" s="11">
        <v>8000</v>
      </c>
      <c r="BJ22" s="11">
        <v>20895</v>
      </c>
      <c r="BK22" s="11">
        <v>11891</v>
      </c>
      <c r="BL22" s="11">
        <v>3480</v>
      </c>
      <c r="BM22" s="11">
        <v>4930</v>
      </c>
      <c r="BN22" s="11">
        <v>1741</v>
      </c>
      <c r="BO22" s="9">
        <v>29000</v>
      </c>
      <c r="BP22" s="9">
        <v>7777</v>
      </c>
    </row>
    <row r="23" spans="1:68" x14ac:dyDescent="0.3">
      <c r="A23" s="7">
        <v>45313</v>
      </c>
      <c r="B23" s="7" t="str">
        <f t="shared" si="0"/>
        <v>JANUARY</v>
      </c>
      <c r="C23" s="8">
        <f>MONTH(Data!$A23)</f>
        <v>1</v>
      </c>
      <c r="D23" s="9">
        <v>644</v>
      </c>
      <c r="E23" s="9">
        <v>782</v>
      </c>
      <c r="F23" s="9">
        <v>231</v>
      </c>
      <c r="G23" s="9">
        <v>343</v>
      </c>
      <c r="H23" s="9">
        <v>70</v>
      </c>
      <c r="I23" s="9">
        <v>398</v>
      </c>
      <c r="J23" s="9">
        <v>236</v>
      </c>
      <c r="K23" s="9">
        <v>148</v>
      </c>
      <c r="L23" s="9">
        <v>179</v>
      </c>
      <c r="M23" s="9">
        <v>103</v>
      </c>
      <c r="N23" s="9">
        <v>31</v>
      </c>
      <c r="O23" s="9">
        <v>27</v>
      </c>
      <c r="P23" s="9">
        <v>39</v>
      </c>
      <c r="Q23" s="9">
        <v>107</v>
      </c>
      <c r="R23" s="9">
        <v>17</v>
      </c>
      <c r="S23" s="9">
        <v>31</v>
      </c>
      <c r="T23" s="9">
        <v>19</v>
      </c>
      <c r="U23" s="9">
        <v>91</v>
      </c>
      <c r="V23" s="9">
        <v>78</v>
      </c>
      <c r="W23" s="9">
        <v>7</v>
      </c>
      <c r="X23" s="9">
        <v>31</v>
      </c>
      <c r="Y23" s="9">
        <v>0</v>
      </c>
      <c r="Z23" s="9">
        <v>70</v>
      </c>
      <c r="AA23" s="9">
        <v>39</v>
      </c>
      <c r="AB23" s="9">
        <v>15</v>
      </c>
      <c r="AC23" s="9">
        <v>23</v>
      </c>
      <c r="AD23" s="9">
        <v>31</v>
      </c>
      <c r="AE23" s="9">
        <v>0</v>
      </c>
      <c r="AF23" s="9">
        <v>7</v>
      </c>
      <c r="AG23" s="9">
        <v>15</v>
      </c>
      <c r="AH23" s="9">
        <v>15</v>
      </c>
      <c r="AI23" s="9">
        <v>0</v>
      </c>
      <c r="AJ23" s="9">
        <v>0</v>
      </c>
      <c r="AK23" s="9">
        <v>54</v>
      </c>
      <c r="AL23" s="9">
        <v>31</v>
      </c>
      <c r="AM23" s="9">
        <v>39</v>
      </c>
      <c r="AN23" s="9">
        <v>23</v>
      </c>
      <c r="AO23" s="9">
        <v>7</v>
      </c>
      <c r="AP23" s="9">
        <v>7</v>
      </c>
      <c r="AQ23" s="9">
        <v>15</v>
      </c>
      <c r="AR23" s="9">
        <v>78</v>
      </c>
      <c r="AS23" s="9">
        <v>7</v>
      </c>
      <c r="AT23" s="9">
        <v>70</v>
      </c>
      <c r="AU23" s="9">
        <v>23</v>
      </c>
      <c r="AV23" s="9">
        <v>0</v>
      </c>
      <c r="AW23" s="9">
        <v>46</v>
      </c>
      <c r="AX23" s="9">
        <v>0</v>
      </c>
      <c r="AY23" s="9">
        <v>0</v>
      </c>
      <c r="AZ23" s="9">
        <v>51</v>
      </c>
      <c r="BA23" s="10">
        <v>112.53</v>
      </c>
      <c r="BB23" s="11">
        <v>0</v>
      </c>
      <c r="BC23" s="11">
        <v>0</v>
      </c>
      <c r="BD23" s="11">
        <v>0</v>
      </c>
      <c r="BE23" s="11">
        <v>0</v>
      </c>
      <c r="BF23" s="11">
        <v>0</v>
      </c>
      <c r="BG23" s="11">
        <v>46500</v>
      </c>
      <c r="BH23" s="11">
        <v>20000</v>
      </c>
      <c r="BI23" s="11">
        <v>7698</v>
      </c>
      <c r="BJ23" s="11">
        <v>20895</v>
      </c>
      <c r="BK23" s="11">
        <v>11891</v>
      </c>
      <c r="BL23" s="11">
        <v>3480</v>
      </c>
      <c r="BM23" s="11">
        <v>4930</v>
      </c>
      <c r="BN23" s="11">
        <v>1741</v>
      </c>
      <c r="BO23" s="9">
        <v>29000</v>
      </c>
      <c r="BP23" s="9">
        <v>854</v>
      </c>
    </row>
    <row r="24" spans="1:68" x14ac:dyDescent="0.3">
      <c r="A24" s="7">
        <v>45314</v>
      </c>
      <c r="B24" s="7" t="str">
        <f t="shared" si="0"/>
        <v>JANUARY</v>
      </c>
      <c r="C24" s="8">
        <f>MONTH(Data!$A24)</f>
        <v>1</v>
      </c>
      <c r="D24" s="9">
        <v>658</v>
      </c>
      <c r="E24" s="9">
        <v>754</v>
      </c>
      <c r="F24" s="9">
        <v>269</v>
      </c>
      <c r="G24" s="9">
        <v>330</v>
      </c>
      <c r="H24" s="9">
        <v>59</v>
      </c>
      <c r="I24" s="9">
        <v>218</v>
      </c>
      <c r="J24" s="9">
        <v>438</v>
      </c>
      <c r="K24" s="9">
        <v>98</v>
      </c>
      <c r="L24" s="9">
        <v>216</v>
      </c>
      <c r="M24" s="9">
        <v>28</v>
      </c>
      <c r="N24" s="9">
        <v>61</v>
      </c>
      <c r="O24" s="9">
        <v>32</v>
      </c>
      <c r="P24" s="9">
        <v>24</v>
      </c>
      <c r="Q24" s="9">
        <v>115</v>
      </c>
      <c r="R24" s="9">
        <v>80</v>
      </c>
      <c r="S24" s="9">
        <v>37</v>
      </c>
      <c r="T24" s="9">
        <v>32</v>
      </c>
      <c r="U24" s="9">
        <v>33</v>
      </c>
      <c r="V24" s="9">
        <v>45</v>
      </c>
      <c r="W24" s="9">
        <v>0</v>
      </c>
      <c r="X24" s="9">
        <v>22</v>
      </c>
      <c r="Y24" s="9">
        <v>7</v>
      </c>
      <c r="Z24" s="9">
        <v>113</v>
      </c>
      <c r="AA24" s="9">
        <v>52</v>
      </c>
      <c r="AB24" s="9">
        <v>0</v>
      </c>
      <c r="AC24" s="9">
        <v>0</v>
      </c>
      <c r="AD24" s="9">
        <v>30</v>
      </c>
      <c r="AE24" s="9">
        <v>7</v>
      </c>
      <c r="AF24" s="9">
        <v>7</v>
      </c>
      <c r="AG24" s="9">
        <v>7</v>
      </c>
      <c r="AH24" s="9">
        <v>7</v>
      </c>
      <c r="AI24" s="9">
        <v>0</v>
      </c>
      <c r="AJ24" s="9">
        <v>7</v>
      </c>
      <c r="AK24" s="9">
        <v>75</v>
      </c>
      <c r="AL24" s="9">
        <v>30</v>
      </c>
      <c r="AM24" s="9">
        <v>7</v>
      </c>
      <c r="AN24" s="9">
        <v>0</v>
      </c>
      <c r="AO24" s="9">
        <v>7</v>
      </c>
      <c r="AP24" s="9">
        <v>22</v>
      </c>
      <c r="AQ24" s="9">
        <v>7</v>
      </c>
      <c r="AR24" s="9">
        <v>82</v>
      </c>
      <c r="AS24" s="9">
        <v>7</v>
      </c>
      <c r="AT24" s="9">
        <v>52</v>
      </c>
      <c r="AU24" s="9">
        <v>7</v>
      </c>
      <c r="AV24" s="9">
        <v>7</v>
      </c>
      <c r="AW24" s="9">
        <v>22</v>
      </c>
      <c r="AX24" s="9">
        <v>0</v>
      </c>
      <c r="AY24" s="9">
        <v>0</v>
      </c>
      <c r="AZ24" s="9">
        <v>125</v>
      </c>
      <c r="BA24" s="10">
        <v>120.14050000000002</v>
      </c>
      <c r="BB24" s="11">
        <v>0</v>
      </c>
      <c r="BC24" s="11">
        <v>0</v>
      </c>
      <c r="BD24" s="11">
        <v>0</v>
      </c>
      <c r="BE24" s="11">
        <v>0</v>
      </c>
      <c r="BF24" s="11">
        <v>0</v>
      </c>
      <c r="BG24" s="11">
        <v>46500</v>
      </c>
      <c r="BH24" s="11">
        <v>20000</v>
      </c>
      <c r="BI24" s="11">
        <v>7698</v>
      </c>
      <c r="BJ24" s="11">
        <v>20895</v>
      </c>
      <c r="BK24" s="11">
        <v>11891</v>
      </c>
      <c r="BL24" s="11">
        <v>3480</v>
      </c>
      <c r="BM24" s="11">
        <v>4930</v>
      </c>
      <c r="BN24" s="11">
        <v>1741</v>
      </c>
      <c r="BO24" s="9">
        <v>29000</v>
      </c>
      <c r="BP24" s="9">
        <v>3497</v>
      </c>
    </row>
    <row r="25" spans="1:68" x14ac:dyDescent="0.3">
      <c r="A25" s="7">
        <v>45315</v>
      </c>
      <c r="B25" s="7" t="str">
        <f t="shared" si="0"/>
        <v>JANUARY</v>
      </c>
      <c r="C25" s="8">
        <f>MONTH(Data!$A25)</f>
        <v>1</v>
      </c>
      <c r="D25" s="9">
        <v>666</v>
      </c>
      <c r="E25" s="9">
        <v>707</v>
      </c>
      <c r="F25" s="9">
        <v>186</v>
      </c>
      <c r="G25" s="9">
        <v>401</v>
      </c>
      <c r="H25" s="9">
        <v>79</v>
      </c>
      <c r="I25" s="9">
        <v>367</v>
      </c>
      <c r="J25" s="9">
        <v>185</v>
      </c>
      <c r="K25" s="9">
        <v>155</v>
      </c>
      <c r="L25" s="9">
        <v>148</v>
      </c>
      <c r="M25" s="9">
        <v>107</v>
      </c>
      <c r="N25" s="9">
        <v>49</v>
      </c>
      <c r="O25" s="9">
        <v>41</v>
      </c>
      <c r="P25" s="9">
        <v>12</v>
      </c>
      <c r="Q25" s="9">
        <v>136</v>
      </c>
      <c r="R25" s="9">
        <v>73</v>
      </c>
      <c r="S25" s="9">
        <v>32</v>
      </c>
      <c r="T25" s="9">
        <v>20</v>
      </c>
      <c r="U25" s="9">
        <v>48</v>
      </c>
      <c r="V25" s="9">
        <v>42</v>
      </c>
      <c r="W25" s="9">
        <v>21</v>
      </c>
      <c r="X25" s="9">
        <v>35</v>
      </c>
      <c r="Y25" s="9">
        <v>0</v>
      </c>
      <c r="Z25" s="9">
        <v>63</v>
      </c>
      <c r="AA25" s="9">
        <v>35</v>
      </c>
      <c r="AB25" s="9">
        <v>14</v>
      </c>
      <c r="AC25" s="9">
        <v>21</v>
      </c>
      <c r="AD25" s="9">
        <v>42</v>
      </c>
      <c r="AE25" s="9">
        <v>0</v>
      </c>
      <c r="AF25" s="9">
        <v>7</v>
      </c>
      <c r="AG25" s="9">
        <v>7</v>
      </c>
      <c r="AH25" s="9">
        <v>14</v>
      </c>
      <c r="AI25" s="9">
        <v>21</v>
      </c>
      <c r="AJ25" s="9">
        <v>7</v>
      </c>
      <c r="AK25" s="9">
        <v>70</v>
      </c>
      <c r="AL25" s="9">
        <v>14</v>
      </c>
      <c r="AM25" s="9">
        <v>28</v>
      </c>
      <c r="AN25" s="9">
        <v>21</v>
      </c>
      <c r="AO25" s="9">
        <v>7</v>
      </c>
      <c r="AP25" s="9">
        <v>0</v>
      </c>
      <c r="AQ25" s="9">
        <v>28</v>
      </c>
      <c r="AR25" s="9">
        <v>63</v>
      </c>
      <c r="AS25" s="9">
        <v>14</v>
      </c>
      <c r="AT25" s="9">
        <v>42</v>
      </c>
      <c r="AU25" s="9">
        <v>14</v>
      </c>
      <c r="AV25" s="9">
        <v>0</v>
      </c>
      <c r="AW25" s="9">
        <v>14</v>
      </c>
      <c r="AX25" s="9">
        <v>7</v>
      </c>
      <c r="AY25" s="9">
        <v>0</v>
      </c>
      <c r="AZ25" s="9">
        <v>56</v>
      </c>
      <c r="BA25" s="10">
        <v>128.94450000000001</v>
      </c>
      <c r="BB25" s="11">
        <v>0</v>
      </c>
      <c r="BC25" s="11">
        <v>0</v>
      </c>
      <c r="BD25" s="11">
        <v>0</v>
      </c>
      <c r="BE25" s="11">
        <v>0</v>
      </c>
      <c r="BF25" s="11">
        <v>0</v>
      </c>
      <c r="BG25" s="11">
        <v>46500</v>
      </c>
      <c r="BH25" s="11">
        <v>20000</v>
      </c>
      <c r="BI25" s="11">
        <v>7698</v>
      </c>
      <c r="BJ25" s="11">
        <v>25639</v>
      </c>
      <c r="BK25" s="11">
        <v>11891</v>
      </c>
      <c r="BL25" s="11">
        <v>3480</v>
      </c>
      <c r="BM25" s="11">
        <v>4930</v>
      </c>
      <c r="BN25" s="11">
        <v>1741</v>
      </c>
      <c r="BO25" s="9">
        <v>29000</v>
      </c>
      <c r="BP25" s="9">
        <v>4507</v>
      </c>
    </row>
    <row r="26" spans="1:68" x14ac:dyDescent="0.3">
      <c r="A26" s="7">
        <v>45316</v>
      </c>
      <c r="B26" s="7" t="str">
        <f t="shared" si="0"/>
        <v>JANUARY</v>
      </c>
      <c r="C26" s="8">
        <f>MONTH(Data!$A26)</f>
        <v>1</v>
      </c>
      <c r="D26" s="9">
        <v>668</v>
      </c>
      <c r="E26" s="9">
        <v>657</v>
      </c>
      <c r="F26" s="9">
        <v>187</v>
      </c>
      <c r="G26" s="9">
        <v>388</v>
      </c>
      <c r="H26" s="9">
        <v>93</v>
      </c>
      <c r="I26" s="9">
        <v>243</v>
      </c>
      <c r="J26" s="9">
        <v>296</v>
      </c>
      <c r="K26" s="9">
        <v>118</v>
      </c>
      <c r="L26" s="9">
        <v>194</v>
      </c>
      <c r="M26" s="9">
        <v>103</v>
      </c>
      <c r="N26" s="9">
        <v>33</v>
      </c>
      <c r="O26" s="9">
        <v>49</v>
      </c>
      <c r="P26" s="9">
        <v>37</v>
      </c>
      <c r="Q26" s="9">
        <v>116</v>
      </c>
      <c r="R26" s="9">
        <v>73</v>
      </c>
      <c r="S26" s="9">
        <v>20</v>
      </c>
      <c r="T26" s="9">
        <v>17</v>
      </c>
      <c r="U26" s="9">
        <v>26</v>
      </c>
      <c r="V26" s="9">
        <v>65</v>
      </c>
      <c r="W26" s="9">
        <v>13</v>
      </c>
      <c r="X26" s="9">
        <v>45</v>
      </c>
      <c r="Y26" s="9">
        <v>13</v>
      </c>
      <c r="Z26" s="9">
        <v>65</v>
      </c>
      <c r="AA26" s="9">
        <v>52</v>
      </c>
      <c r="AB26" s="9">
        <v>19</v>
      </c>
      <c r="AC26" s="9">
        <v>19</v>
      </c>
      <c r="AD26" s="9">
        <v>26</v>
      </c>
      <c r="AE26" s="9">
        <v>13</v>
      </c>
      <c r="AF26" s="9">
        <v>0</v>
      </c>
      <c r="AG26" s="9">
        <v>6</v>
      </c>
      <c r="AH26" s="9">
        <v>13</v>
      </c>
      <c r="AI26" s="9">
        <v>13</v>
      </c>
      <c r="AJ26" s="9">
        <v>19</v>
      </c>
      <c r="AK26" s="9">
        <v>26</v>
      </c>
      <c r="AL26" s="9">
        <v>45</v>
      </c>
      <c r="AM26" s="9">
        <v>32</v>
      </c>
      <c r="AN26" s="9">
        <v>13</v>
      </c>
      <c r="AO26" s="9">
        <v>6</v>
      </c>
      <c r="AP26" s="9">
        <v>13</v>
      </c>
      <c r="AQ26" s="9">
        <v>19</v>
      </c>
      <c r="AR26" s="9">
        <v>0</v>
      </c>
      <c r="AS26" s="9">
        <v>13</v>
      </c>
      <c r="AT26" s="9">
        <v>52</v>
      </c>
      <c r="AU26" s="9">
        <v>13</v>
      </c>
      <c r="AV26" s="9">
        <v>6</v>
      </c>
      <c r="AW26" s="9">
        <v>19</v>
      </c>
      <c r="AX26" s="9">
        <v>19</v>
      </c>
      <c r="AY26" s="9">
        <v>0</v>
      </c>
      <c r="AZ26" s="9">
        <v>0</v>
      </c>
      <c r="BA26" s="10">
        <v>134.24550000000002</v>
      </c>
      <c r="BB26" s="11">
        <v>0</v>
      </c>
      <c r="BC26" s="11">
        <v>0</v>
      </c>
      <c r="BD26" s="11">
        <v>0</v>
      </c>
      <c r="BE26" s="11">
        <v>0</v>
      </c>
      <c r="BF26" s="11">
        <v>0</v>
      </c>
      <c r="BG26" s="11">
        <v>46500</v>
      </c>
      <c r="BH26" s="11">
        <v>20000</v>
      </c>
      <c r="BI26" s="11">
        <v>7698</v>
      </c>
      <c r="BJ26" s="11">
        <v>25639</v>
      </c>
      <c r="BK26" s="11">
        <v>11891</v>
      </c>
      <c r="BL26" s="11">
        <v>3480</v>
      </c>
      <c r="BM26" s="11">
        <v>4930</v>
      </c>
      <c r="BN26" s="11">
        <v>1741</v>
      </c>
      <c r="BO26" s="9">
        <v>29000</v>
      </c>
      <c r="BP26" s="9">
        <v>3697</v>
      </c>
    </row>
    <row r="27" spans="1:68" x14ac:dyDescent="0.3">
      <c r="A27" s="7">
        <v>45317</v>
      </c>
      <c r="B27" s="7" t="str">
        <f t="shared" si="0"/>
        <v>JANUARY</v>
      </c>
      <c r="C27" s="8">
        <f>MONTH(Data!$A27)</f>
        <v>1</v>
      </c>
      <c r="D27" s="9">
        <v>665</v>
      </c>
      <c r="E27" s="9">
        <v>628</v>
      </c>
      <c r="F27" s="9">
        <v>139</v>
      </c>
      <c r="G27" s="9">
        <v>487</v>
      </c>
      <c r="H27" s="9">
        <v>39</v>
      </c>
      <c r="I27" s="9">
        <v>150</v>
      </c>
      <c r="J27" s="9">
        <v>359</v>
      </c>
      <c r="K27" s="9">
        <v>119</v>
      </c>
      <c r="L27" s="9">
        <v>148</v>
      </c>
      <c r="M27" s="9">
        <v>115</v>
      </c>
      <c r="N27" s="9">
        <v>61</v>
      </c>
      <c r="O27" s="9">
        <v>24</v>
      </c>
      <c r="P27" s="9">
        <v>20</v>
      </c>
      <c r="Q27" s="9">
        <v>121</v>
      </c>
      <c r="R27" s="9">
        <v>25</v>
      </c>
      <c r="S27" s="9">
        <v>32</v>
      </c>
      <c r="T27" s="9">
        <v>25</v>
      </c>
      <c r="U27" s="9">
        <v>94</v>
      </c>
      <c r="V27" s="9">
        <v>87</v>
      </c>
      <c r="W27" s="9">
        <v>6</v>
      </c>
      <c r="X27" s="9">
        <v>25</v>
      </c>
      <c r="Y27" s="9">
        <v>12</v>
      </c>
      <c r="Z27" s="9">
        <v>23</v>
      </c>
      <c r="AA27" s="9">
        <v>50</v>
      </c>
      <c r="AB27" s="9">
        <v>0</v>
      </c>
      <c r="AC27" s="9">
        <v>0</v>
      </c>
      <c r="AD27" s="9">
        <v>31</v>
      </c>
      <c r="AE27" s="9">
        <v>0</v>
      </c>
      <c r="AF27" s="9">
        <v>6</v>
      </c>
      <c r="AG27" s="9">
        <v>31</v>
      </c>
      <c r="AH27" s="9">
        <v>12</v>
      </c>
      <c r="AI27" s="9">
        <v>12</v>
      </c>
      <c r="AJ27" s="9">
        <v>12</v>
      </c>
      <c r="AK27" s="9">
        <v>50</v>
      </c>
      <c r="AL27" s="9">
        <v>43</v>
      </c>
      <c r="AM27" s="9">
        <v>25</v>
      </c>
      <c r="AN27" s="9">
        <v>6</v>
      </c>
      <c r="AO27" s="9">
        <v>0</v>
      </c>
      <c r="AP27" s="9">
        <v>25</v>
      </c>
      <c r="AQ27" s="9">
        <v>12</v>
      </c>
      <c r="AR27" s="9">
        <v>56</v>
      </c>
      <c r="AS27" s="9">
        <v>6</v>
      </c>
      <c r="AT27" s="9">
        <v>37</v>
      </c>
      <c r="AU27" s="9">
        <v>25</v>
      </c>
      <c r="AV27" s="9">
        <v>0</v>
      </c>
      <c r="AW27" s="9">
        <v>18</v>
      </c>
      <c r="AX27" s="9">
        <v>0</v>
      </c>
      <c r="AY27" s="9">
        <v>18</v>
      </c>
      <c r="AZ27" s="9">
        <v>0</v>
      </c>
      <c r="BA27" s="10">
        <v>104.06699999999999</v>
      </c>
      <c r="BB27" s="11">
        <v>0</v>
      </c>
      <c r="BC27" s="11">
        <v>0</v>
      </c>
      <c r="BD27" s="11">
        <v>0</v>
      </c>
      <c r="BE27" s="11">
        <v>0</v>
      </c>
      <c r="BF27" s="11">
        <v>0</v>
      </c>
      <c r="BG27" s="11">
        <v>46500</v>
      </c>
      <c r="BH27" s="11">
        <v>20000</v>
      </c>
      <c r="BI27" s="11">
        <v>7698</v>
      </c>
      <c r="BJ27" s="11">
        <v>25639</v>
      </c>
      <c r="BK27" s="11">
        <v>11891</v>
      </c>
      <c r="BL27" s="11">
        <v>3480</v>
      </c>
      <c r="BM27" s="11">
        <v>4930</v>
      </c>
      <c r="BN27" s="11">
        <v>1741</v>
      </c>
      <c r="BO27" s="9">
        <v>29000</v>
      </c>
      <c r="BP27" s="9">
        <v>6832</v>
      </c>
    </row>
    <row r="28" spans="1:68" x14ac:dyDescent="0.3">
      <c r="A28" s="7">
        <v>45318</v>
      </c>
      <c r="B28" s="7" t="str">
        <f t="shared" si="0"/>
        <v>JANUARY</v>
      </c>
      <c r="C28" s="8">
        <f>MONTH(Data!$A28)</f>
        <v>1</v>
      </c>
      <c r="D28" s="9">
        <v>654</v>
      </c>
      <c r="E28" s="9">
        <v>615</v>
      </c>
      <c r="F28" s="9">
        <v>150</v>
      </c>
      <c r="G28" s="9">
        <v>419</v>
      </c>
      <c r="H28" s="9">
        <v>85</v>
      </c>
      <c r="I28" s="9">
        <v>227</v>
      </c>
      <c r="J28" s="9">
        <v>302</v>
      </c>
      <c r="K28" s="9">
        <v>86</v>
      </c>
      <c r="L28" s="9">
        <v>174</v>
      </c>
      <c r="M28" s="9">
        <v>97</v>
      </c>
      <c r="N28" s="9">
        <v>32</v>
      </c>
      <c r="O28" s="9">
        <v>20</v>
      </c>
      <c r="P28" s="9">
        <v>24</v>
      </c>
      <c r="Q28" s="9">
        <v>104</v>
      </c>
      <c r="R28" s="9">
        <v>59</v>
      </c>
      <c r="S28" s="9">
        <v>29</v>
      </c>
      <c r="T28" s="9">
        <v>34</v>
      </c>
      <c r="U28" s="9">
        <v>81</v>
      </c>
      <c r="V28" s="9">
        <v>79</v>
      </c>
      <c r="W28" s="9">
        <v>0</v>
      </c>
      <c r="X28" s="9">
        <v>18</v>
      </c>
      <c r="Y28" s="9">
        <v>0</v>
      </c>
      <c r="Z28" s="9">
        <v>70</v>
      </c>
      <c r="AA28" s="9">
        <v>43</v>
      </c>
      <c r="AB28" s="9">
        <v>6</v>
      </c>
      <c r="AC28" s="9">
        <v>6</v>
      </c>
      <c r="AD28" s="9">
        <v>30</v>
      </c>
      <c r="AE28" s="9">
        <v>6</v>
      </c>
      <c r="AF28" s="9">
        <v>6</v>
      </c>
      <c r="AG28" s="9">
        <v>30</v>
      </c>
      <c r="AH28" s="9">
        <v>6</v>
      </c>
      <c r="AI28" s="9">
        <v>6</v>
      </c>
      <c r="AJ28" s="9">
        <v>18</v>
      </c>
      <c r="AK28" s="9">
        <v>36</v>
      </c>
      <c r="AL28" s="9">
        <v>43</v>
      </c>
      <c r="AM28" s="9">
        <v>6</v>
      </c>
      <c r="AN28" s="9">
        <v>12</v>
      </c>
      <c r="AO28" s="9">
        <v>6</v>
      </c>
      <c r="AP28" s="9">
        <v>12</v>
      </c>
      <c r="AQ28" s="9">
        <v>12</v>
      </c>
      <c r="AR28" s="9">
        <v>43</v>
      </c>
      <c r="AS28" s="9">
        <v>6</v>
      </c>
      <c r="AT28" s="9">
        <v>55</v>
      </c>
      <c r="AU28" s="9">
        <v>6</v>
      </c>
      <c r="AV28" s="9">
        <v>0</v>
      </c>
      <c r="AW28" s="9">
        <v>12</v>
      </c>
      <c r="AX28" s="9">
        <v>18</v>
      </c>
      <c r="AY28" s="9">
        <v>24</v>
      </c>
      <c r="AZ28" s="9">
        <v>0</v>
      </c>
      <c r="BA28" s="10">
        <v>112.53</v>
      </c>
      <c r="BB28" s="11">
        <v>0</v>
      </c>
      <c r="BC28" s="11">
        <v>0</v>
      </c>
      <c r="BD28" s="11">
        <v>0</v>
      </c>
      <c r="BE28" s="11">
        <v>0</v>
      </c>
      <c r="BF28" s="11">
        <v>0</v>
      </c>
      <c r="BG28" s="11">
        <v>46500</v>
      </c>
      <c r="BH28" s="11">
        <v>20000</v>
      </c>
      <c r="BI28" s="11">
        <v>7698</v>
      </c>
      <c r="BJ28" s="11">
        <v>25639</v>
      </c>
      <c r="BK28" s="11">
        <v>11891</v>
      </c>
      <c r="BL28" s="11">
        <v>3480</v>
      </c>
      <c r="BM28" s="11">
        <v>4930</v>
      </c>
      <c r="BN28" s="11">
        <v>1741</v>
      </c>
      <c r="BO28" s="9">
        <v>29000</v>
      </c>
      <c r="BP28" s="9">
        <v>3926</v>
      </c>
    </row>
    <row r="29" spans="1:68" x14ac:dyDescent="0.3">
      <c r="A29" s="7">
        <v>45319</v>
      </c>
      <c r="B29" s="7" t="str">
        <f t="shared" si="0"/>
        <v>JANUARY</v>
      </c>
      <c r="C29" s="8">
        <f>MONTH(Data!$A29)</f>
        <v>1</v>
      </c>
      <c r="D29" s="9">
        <v>629</v>
      </c>
      <c r="E29" s="9">
        <v>614</v>
      </c>
      <c r="F29" s="9">
        <v>150</v>
      </c>
      <c r="G29" s="9">
        <v>360</v>
      </c>
      <c r="H29" s="9">
        <v>119</v>
      </c>
      <c r="I29" s="9">
        <v>171</v>
      </c>
      <c r="J29" s="9">
        <v>333</v>
      </c>
      <c r="K29" s="9">
        <v>110</v>
      </c>
      <c r="L29" s="9">
        <v>167</v>
      </c>
      <c r="M29" s="9">
        <v>124</v>
      </c>
      <c r="N29" s="9">
        <v>46</v>
      </c>
      <c r="O29" s="9">
        <v>31</v>
      </c>
      <c r="P29" s="9">
        <v>7</v>
      </c>
      <c r="Q29" s="9">
        <v>95</v>
      </c>
      <c r="R29" s="9">
        <v>69</v>
      </c>
      <c r="S29" s="9">
        <v>16</v>
      </c>
      <c r="T29" s="9">
        <v>16</v>
      </c>
      <c r="U29" s="9">
        <v>58</v>
      </c>
      <c r="V29" s="9">
        <v>61</v>
      </c>
      <c r="W29" s="9">
        <v>12</v>
      </c>
      <c r="X29" s="9">
        <v>30</v>
      </c>
      <c r="Y29" s="9">
        <v>12</v>
      </c>
      <c r="Z29" s="9">
        <v>71</v>
      </c>
      <c r="AA29" s="9">
        <v>36</v>
      </c>
      <c r="AB29" s="9">
        <v>6</v>
      </c>
      <c r="AC29" s="9">
        <v>0</v>
      </c>
      <c r="AD29" s="9">
        <v>30</v>
      </c>
      <c r="AE29" s="9">
        <v>0</v>
      </c>
      <c r="AF29" s="9">
        <v>0</v>
      </c>
      <c r="AG29" s="9">
        <v>12</v>
      </c>
      <c r="AH29" s="9">
        <v>0</v>
      </c>
      <c r="AI29" s="9">
        <v>0</v>
      </c>
      <c r="AJ29" s="9">
        <v>18</v>
      </c>
      <c r="AK29" s="9">
        <v>55</v>
      </c>
      <c r="AL29" s="9">
        <v>36</v>
      </c>
      <c r="AM29" s="9">
        <v>30</v>
      </c>
      <c r="AN29" s="9">
        <v>12</v>
      </c>
      <c r="AO29" s="9">
        <v>6</v>
      </c>
      <c r="AP29" s="9">
        <v>12</v>
      </c>
      <c r="AQ29" s="9">
        <v>12</v>
      </c>
      <c r="AR29" s="9">
        <v>55</v>
      </c>
      <c r="AS29" s="9">
        <v>18</v>
      </c>
      <c r="AT29" s="9">
        <v>36</v>
      </c>
      <c r="AU29" s="9">
        <v>12</v>
      </c>
      <c r="AV29" s="9">
        <v>0</v>
      </c>
      <c r="AW29" s="9">
        <v>36</v>
      </c>
      <c r="AX29" s="9">
        <v>6</v>
      </c>
      <c r="AY29" s="9">
        <v>0</v>
      </c>
      <c r="AZ29" s="9">
        <v>0</v>
      </c>
      <c r="BA29" s="10">
        <v>181.35000000000002</v>
      </c>
      <c r="BB29" s="11">
        <v>0</v>
      </c>
      <c r="BC29" s="11">
        <v>0</v>
      </c>
      <c r="BD29" s="11">
        <v>0</v>
      </c>
      <c r="BE29" s="11">
        <v>0</v>
      </c>
      <c r="BF29" s="11">
        <v>0</v>
      </c>
      <c r="BG29" s="11">
        <v>46500</v>
      </c>
      <c r="BH29" s="11">
        <v>20000</v>
      </c>
      <c r="BI29" s="11">
        <v>7698</v>
      </c>
      <c r="BJ29" s="11">
        <v>25639</v>
      </c>
      <c r="BK29" s="11">
        <v>11891</v>
      </c>
      <c r="BL29" s="11">
        <v>3480</v>
      </c>
      <c r="BM29" s="11">
        <v>4930</v>
      </c>
      <c r="BN29" s="11">
        <v>1741</v>
      </c>
      <c r="BO29" s="9">
        <v>29000</v>
      </c>
      <c r="BP29" s="9">
        <v>7386</v>
      </c>
    </row>
    <row r="30" spans="1:68" x14ac:dyDescent="0.3">
      <c r="A30" s="7">
        <v>45320</v>
      </c>
      <c r="B30" s="7" t="str">
        <f t="shared" si="0"/>
        <v>JANUARY</v>
      </c>
      <c r="C30" s="8">
        <f>MONTH(Data!$A30)</f>
        <v>1</v>
      </c>
      <c r="D30" s="9">
        <v>605</v>
      </c>
      <c r="E30" s="9">
        <v>620</v>
      </c>
      <c r="F30" s="9">
        <v>242</v>
      </c>
      <c r="G30" s="9">
        <v>315</v>
      </c>
      <c r="H30" s="9">
        <v>48</v>
      </c>
      <c r="I30" s="9">
        <v>322</v>
      </c>
      <c r="J30" s="9">
        <v>143</v>
      </c>
      <c r="K30" s="9">
        <v>155</v>
      </c>
      <c r="L30" s="9">
        <v>162</v>
      </c>
      <c r="M30" s="9">
        <v>120</v>
      </c>
      <c r="N30" s="9">
        <v>52</v>
      </c>
      <c r="O30" s="9">
        <v>52</v>
      </c>
      <c r="P30" s="9">
        <v>7</v>
      </c>
      <c r="Q30" s="9">
        <v>112</v>
      </c>
      <c r="R30" s="9">
        <v>41</v>
      </c>
      <c r="S30" s="9">
        <v>25</v>
      </c>
      <c r="T30" s="9">
        <v>34</v>
      </c>
      <c r="U30" s="9">
        <v>0</v>
      </c>
      <c r="V30" s="9">
        <v>55</v>
      </c>
      <c r="W30" s="9">
        <v>6</v>
      </c>
      <c r="X30" s="9">
        <v>24</v>
      </c>
      <c r="Y30" s="9">
        <v>0</v>
      </c>
      <c r="Z30" s="9">
        <v>92</v>
      </c>
      <c r="AA30" s="9">
        <v>49</v>
      </c>
      <c r="AB30" s="9">
        <v>18</v>
      </c>
      <c r="AC30" s="9">
        <v>6</v>
      </c>
      <c r="AD30" s="9">
        <v>18</v>
      </c>
      <c r="AE30" s="9">
        <v>18</v>
      </c>
      <c r="AF30" s="9">
        <v>0</v>
      </c>
      <c r="AG30" s="9">
        <v>24</v>
      </c>
      <c r="AH30" s="9">
        <v>18</v>
      </c>
      <c r="AI30" s="9">
        <v>0</v>
      </c>
      <c r="AJ30" s="9">
        <v>6</v>
      </c>
      <c r="AK30" s="9">
        <v>55</v>
      </c>
      <c r="AL30" s="9">
        <v>31</v>
      </c>
      <c r="AM30" s="9">
        <v>6</v>
      </c>
      <c r="AN30" s="9">
        <v>18</v>
      </c>
      <c r="AO30" s="9">
        <v>0</v>
      </c>
      <c r="AP30" s="9">
        <v>6</v>
      </c>
      <c r="AQ30" s="9">
        <v>18</v>
      </c>
      <c r="AR30" s="9">
        <v>43</v>
      </c>
      <c r="AS30" s="9">
        <v>12</v>
      </c>
      <c r="AT30" s="9">
        <v>55</v>
      </c>
      <c r="AU30" s="9">
        <v>24</v>
      </c>
      <c r="AV30" s="9">
        <v>0</v>
      </c>
      <c r="AW30" s="9">
        <v>12</v>
      </c>
      <c r="AX30" s="9">
        <v>6</v>
      </c>
      <c r="AY30" s="9">
        <v>0</v>
      </c>
      <c r="AZ30" s="9">
        <v>0</v>
      </c>
      <c r="BA30" s="10">
        <v>183.768</v>
      </c>
      <c r="BB30" s="11">
        <v>36270</v>
      </c>
      <c r="BC30" s="11">
        <v>23400</v>
      </c>
      <c r="BD30" s="11">
        <v>28080</v>
      </c>
      <c r="BE30" s="11">
        <v>14040</v>
      </c>
      <c r="BF30" s="11">
        <v>15210</v>
      </c>
      <c r="BG30" s="11">
        <v>46500</v>
      </c>
      <c r="BH30" s="11">
        <v>20000</v>
      </c>
      <c r="BI30" s="11">
        <v>7698</v>
      </c>
      <c r="BJ30" s="11">
        <v>25639</v>
      </c>
      <c r="BK30" s="11">
        <v>11891</v>
      </c>
      <c r="BL30" s="11">
        <v>3480</v>
      </c>
      <c r="BM30" s="11">
        <v>4930</v>
      </c>
      <c r="BN30" s="11">
        <v>1741</v>
      </c>
      <c r="BO30" s="9">
        <v>29000</v>
      </c>
      <c r="BP30" s="9">
        <v>1944</v>
      </c>
    </row>
    <row r="31" spans="1:68" x14ac:dyDescent="0.3">
      <c r="A31" s="7">
        <v>45321</v>
      </c>
      <c r="B31" s="7" t="str">
        <f t="shared" si="0"/>
        <v>JANUARY</v>
      </c>
      <c r="C31" s="8">
        <f>MONTH(Data!$A31)</f>
        <v>1</v>
      </c>
      <c r="D31" s="9">
        <v>586</v>
      </c>
      <c r="E31" s="9">
        <v>634</v>
      </c>
      <c r="F31" s="9">
        <v>263</v>
      </c>
      <c r="G31" s="9">
        <v>224</v>
      </c>
      <c r="H31" s="9">
        <v>99</v>
      </c>
      <c r="I31" s="9">
        <v>164</v>
      </c>
      <c r="J31" s="9">
        <v>413</v>
      </c>
      <c r="K31" s="9">
        <v>57</v>
      </c>
      <c r="L31" s="9">
        <v>163</v>
      </c>
      <c r="M31" s="9">
        <v>61</v>
      </c>
      <c r="N31" s="9">
        <v>36</v>
      </c>
      <c r="O31" s="9">
        <v>36</v>
      </c>
      <c r="P31" s="9">
        <v>32</v>
      </c>
      <c r="Q31" s="9">
        <v>97</v>
      </c>
      <c r="R31" s="9">
        <v>31</v>
      </c>
      <c r="S31" s="9">
        <v>15</v>
      </c>
      <c r="T31" s="9">
        <v>33</v>
      </c>
      <c r="U31" s="9">
        <v>82</v>
      </c>
      <c r="V31" s="9">
        <v>63</v>
      </c>
      <c r="W31" s="9">
        <v>6</v>
      </c>
      <c r="X31" s="9">
        <v>31</v>
      </c>
      <c r="Y31" s="9">
        <v>0</v>
      </c>
      <c r="Z31" s="9">
        <v>61</v>
      </c>
      <c r="AA31" s="9">
        <v>50</v>
      </c>
      <c r="AB31" s="9">
        <v>12</v>
      </c>
      <c r="AC31" s="9">
        <v>0</v>
      </c>
      <c r="AD31" s="9">
        <v>31</v>
      </c>
      <c r="AE31" s="9">
        <v>0</v>
      </c>
      <c r="AF31" s="9">
        <v>0</v>
      </c>
      <c r="AG31" s="9">
        <v>31</v>
      </c>
      <c r="AH31" s="9">
        <v>12</v>
      </c>
      <c r="AI31" s="9">
        <v>6</v>
      </c>
      <c r="AJ31" s="9">
        <v>0</v>
      </c>
      <c r="AK31" s="9">
        <v>50</v>
      </c>
      <c r="AL31" s="9">
        <v>25</v>
      </c>
      <c r="AM31" s="9">
        <v>19</v>
      </c>
      <c r="AN31" s="9">
        <v>12</v>
      </c>
      <c r="AO31" s="9">
        <v>0</v>
      </c>
      <c r="AP31" s="9">
        <v>19</v>
      </c>
      <c r="AQ31" s="9">
        <v>25</v>
      </c>
      <c r="AR31" s="9">
        <v>44</v>
      </c>
      <c r="AS31" s="9">
        <v>6</v>
      </c>
      <c r="AT31" s="9">
        <v>38</v>
      </c>
      <c r="AU31" s="9">
        <v>31</v>
      </c>
      <c r="AV31" s="9">
        <v>6</v>
      </c>
      <c r="AW31" s="9">
        <v>31</v>
      </c>
      <c r="AX31" s="9">
        <v>0</v>
      </c>
      <c r="AY31" s="9">
        <v>25</v>
      </c>
      <c r="AZ31" s="9">
        <v>0</v>
      </c>
      <c r="BA31" s="10">
        <v>181.35000000000002</v>
      </c>
      <c r="BB31" s="11">
        <v>37936.639999999999</v>
      </c>
      <c r="BC31" s="11">
        <v>24895.919999999998</v>
      </c>
      <c r="BD31" s="11">
        <v>22524.880000000001</v>
      </c>
      <c r="BE31" s="11">
        <v>16597.28</v>
      </c>
      <c r="BF31" s="11">
        <v>16597.28</v>
      </c>
      <c r="BG31" s="11">
        <v>46500</v>
      </c>
      <c r="BH31" s="11">
        <v>20000</v>
      </c>
      <c r="BI31" s="11">
        <v>7698</v>
      </c>
      <c r="BJ31" s="11">
        <v>25639</v>
      </c>
      <c r="BK31" s="11">
        <v>11891</v>
      </c>
      <c r="BL31" s="11">
        <v>3480</v>
      </c>
      <c r="BM31" s="11">
        <v>4930</v>
      </c>
      <c r="BN31" s="11">
        <v>1741</v>
      </c>
      <c r="BO31" s="9">
        <v>29000</v>
      </c>
      <c r="BP31" s="9">
        <v>4550</v>
      </c>
    </row>
    <row r="32" spans="1:68" x14ac:dyDescent="0.3">
      <c r="A32" s="7">
        <v>45322</v>
      </c>
      <c r="B32" s="7" t="str">
        <f t="shared" si="0"/>
        <v>JANUARY</v>
      </c>
      <c r="C32" s="8">
        <f>MONTH(Data!$A32)</f>
        <v>1</v>
      </c>
      <c r="D32" s="9">
        <v>578</v>
      </c>
      <c r="E32" s="9">
        <v>654</v>
      </c>
      <c r="F32" s="9">
        <v>306</v>
      </c>
      <c r="G32" s="9">
        <v>128</v>
      </c>
      <c r="H32" s="9">
        <v>144</v>
      </c>
      <c r="I32" s="9">
        <v>248</v>
      </c>
      <c r="J32" s="9">
        <v>302</v>
      </c>
      <c r="K32" s="9">
        <v>104</v>
      </c>
      <c r="L32" s="9">
        <v>154</v>
      </c>
      <c r="M32" s="9">
        <v>75</v>
      </c>
      <c r="N32" s="9">
        <v>35</v>
      </c>
      <c r="O32" s="9">
        <v>53</v>
      </c>
      <c r="P32" s="9">
        <v>10</v>
      </c>
      <c r="Q32" s="9">
        <v>92</v>
      </c>
      <c r="R32" s="9">
        <v>10</v>
      </c>
      <c r="S32" s="9">
        <v>30</v>
      </c>
      <c r="T32" s="9">
        <v>19</v>
      </c>
      <c r="U32" s="9">
        <v>100</v>
      </c>
      <c r="V32" s="9">
        <v>52</v>
      </c>
      <c r="W32" s="9">
        <v>0</v>
      </c>
      <c r="X32" s="9">
        <v>19</v>
      </c>
      <c r="Y32" s="9">
        <v>19</v>
      </c>
      <c r="Z32" s="9">
        <v>85</v>
      </c>
      <c r="AA32" s="9">
        <v>39</v>
      </c>
      <c r="AB32" s="9">
        <v>13</v>
      </c>
      <c r="AC32" s="9">
        <v>6</v>
      </c>
      <c r="AD32" s="9">
        <v>19</v>
      </c>
      <c r="AE32" s="9">
        <v>6</v>
      </c>
      <c r="AF32" s="9">
        <v>6</v>
      </c>
      <c r="AG32" s="9">
        <v>32</v>
      </c>
      <c r="AH32" s="9">
        <v>13</v>
      </c>
      <c r="AI32" s="9">
        <v>6</v>
      </c>
      <c r="AJ32" s="9">
        <v>19</v>
      </c>
      <c r="AK32" s="9">
        <v>45</v>
      </c>
      <c r="AL32" s="9">
        <v>6</v>
      </c>
      <c r="AM32" s="9">
        <v>13</v>
      </c>
      <c r="AN32" s="9">
        <v>19</v>
      </c>
      <c r="AO32" s="9">
        <v>0</v>
      </c>
      <c r="AP32" s="9">
        <v>26</v>
      </c>
      <c r="AQ32" s="9">
        <v>26</v>
      </c>
      <c r="AR32" s="9">
        <v>45</v>
      </c>
      <c r="AS32" s="9">
        <v>6</v>
      </c>
      <c r="AT32" s="9">
        <v>58</v>
      </c>
      <c r="AU32" s="9">
        <v>6</v>
      </c>
      <c r="AV32" s="9">
        <v>6</v>
      </c>
      <c r="AW32" s="9">
        <v>26</v>
      </c>
      <c r="AX32" s="9">
        <v>13</v>
      </c>
      <c r="AY32" s="9">
        <v>6</v>
      </c>
      <c r="AZ32" s="9">
        <v>19</v>
      </c>
      <c r="BA32" s="10">
        <v>181.42750000000001</v>
      </c>
      <c r="BB32" s="11">
        <v>36270</v>
      </c>
      <c r="BC32" s="11">
        <v>23400</v>
      </c>
      <c r="BD32" s="11">
        <v>28080</v>
      </c>
      <c r="BE32" s="11">
        <v>14040</v>
      </c>
      <c r="BF32" s="11">
        <v>15210</v>
      </c>
      <c r="BG32" s="11">
        <v>46500</v>
      </c>
      <c r="BH32" s="11">
        <v>20000</v>
      </c>
      <c r="BI32" s="11">
        <v>7698</v>
      </c>
      <c r="BJ32" s="11">
        <v>25639</v>
      </c>
      <c r="BK32" s="11">
        <v>11891</v>
      </c>
      <c r="BL32" s="11">
        <v>3480</v>
      </c>
      <c r="BM32" s="11">
        <v>4930</v>
      </c>
      <c r="BN32" s="11">
        <v>1741</v>
      </c>
      <c r="BO32" s="9">
        <v>29000</v>
      </c>
      <c r="BP32" s="9">
        <v>8948</v>
      </c>
    </row>
    <row r="33" spans="1:68" x14ac:dyDescent="0.3">
      <c r="A33" s="7">
        <v>45323</v>
      </c>
      <c r="B33" s="7" t="str">
        <f t="shared" si="0"/>
        <v>FEBRUARY</v>
      </c>
      <c r="C33" s="8">
        <f>MONTH(Data!$A33)</f>
        <v>2</v>
      </c>
      <c r="D33" s="9">
        <v>577</v>
      </c>
      <c r="E33" s="9">
        <v>864</v>
      </c>
      <c r="F33" s="9">
        <v>236</v>
      </c>
      <c r="G33" s="9">
        <v>307</v>
      </c>
      <c r="H33" s="9">
        <v>34</v>
      </c>
      <c r="I33" s="9">
        <v>259</v>
      </c>
      <c r="J33" s="9">
        <v>433</v>
      </c>
      <c r="K33" s="9">
        <v>172</v>
      </c>
      <c r="L33" s="9">
        <v>114</v>
      </c>
      <c r="M33" s="9">
        <v>118</v>
      </c>
      <c r="N33" s="9">
        <v>50</v>
      </c>
      <c r="O33" s="9">
        <v>50</v>
      </c>
      <c r="P33" s="9">
        <v>10</v>
      </c>
      <c r="Q33" s="9">
        <v>105</v>
      </c>
      <c r="R33" s="9">
        <v>72</v>
      </c>
      <c r="S33" s="9">
        <v>28</v>
      </c>
      <c r="T33" s="9">
        <v>30</v>
      </c>
      <c r="U33" s="9">
        <v>0</v>
      </c>
      <c r="V33" s="9">
        <v>43</v>
      </c>
      <c r="W33" s="9">
        <v>8</v>
      </c>
      <c r="X33" s="9">
        <v>51</v>
      </c>
      <c r="Y33" s="9">
        <v>8</v>
      </c>
      <c r="Z33" s="9">
        <v>60</v>
      </c>
      <c r="AA33" s="9">
        <v>77</v>
      </c>
      <c r="AB33" s="9">
        <v>17</v>
      </c>
      <c r="AC33" s="9">
        <v>0</v>
      </c>
      <c r="AD33" s="9">
        <v>25</v>
      </c>
      <c r="AE33" s="9">
        <v>8</v>
      </c>
      <c r="AF33" s="9">
        <v>0</v>
      </c>
      <c r="AG33" s="9">
        <v>34</v>
      </c>
      <c r="AH33" s="9">
        <v>0</v>
      </c>
      <c r="AI33" s="9">
        <v>8</v>
      </c>
      <c r="AJ33" s="9">
        <v>25</v>
      </c>
      <c r="AK33" s="9">
        <v>43</v>
      </c>
      <c r="AL33" s="9">
        <v>43</v>
      </c>
      <c r="AM33" s="9">
        <v>17</v>
      </c>
      <c r="AN33" s="9">
        <v>8</v>
      </c>
      <c r="AO33" s="9">
        <v>0</v>
      </c>
      <c r="AP33" s="9">
        <v>8</v>
      </c>
      <c r="AQ33" s="9">
        <v>8</v>
      </c>
      <c r="AR33" s="9">
        <v>95</v>
      </c>
      <c r="AS33" s="9">
        <v>17</v>
      </c>
      <c r="AT33" s="9">
        <v>43</v>
      </c>
      <c r="AU33" s="9">
        <v>17</v>
      </c>
      <c r="AV33" s="9">
        <v>8</v>
      </c>
      <c r="AW33" s="9">
        <v>51</v>
      </c>
      <c r="AX33" s="9">
        <v>0</v>
      </c>
      <c r="AY33" s="9">
        <v>17</v>
      </c>
      <c r="AZ33" s="9">
        <v>125</v>
      </c>
      <c r="BA33" s="10">
        <v>124.08</v>
      </c>
      <c r="BB33" s="11">
        <v>30434.04</v>
      </c>
      <c r="BC33" s="11">
        <v>17558.099999999999</v>
      </c>
      <c r="BD33" s="11">
        <v>16387.560000000001</v>
      </c>
      <c r="BE33" s="11">
        <v>25751.88</v>
      </c>
      <c r="BF33" s="11">
        <v>26922.42</v>
      </c>
      <c r="BG33" s="11">
        <v>46500</v>
      </c>
      <c r="BH33" s="11">
        <v>10000</v>
      </c>
      <c r="BI33" s="11">
        <v>7698</v>
      </c>
      <c r="BJ33" s="11">
        <v>14297</v>
      </c>
      <c r="BK33" s="11">
        <v>22162</v>
      </c>
      <c r="BL33" s="11">
        <v>5741</v>
      </c>
      <c r="BM33" s="11">
        <v>5321</v>
      </c>
      <c r="BN33" s="11">
        <v>1902</v>
      </c>
      <c r="BO33" s="9">
        <v>38000</v>
      </c>
      <c r="BP33" s="9">
        <v>7836</v>
      </c>
    </row>
    <row r="34" spans="1:68" x14ac:dyDescent="0.3">
      <c r="A34" s="7">
        <v>45324</v>
      </c>
      <c r="B34" s="7" t="str">
        <f t="shared" si="0"/>
        <v>FEBRUARY</v>
      </c>
      <c r="C34" s="8">
        <f>MONTH(Data!$A34)</f>
        <v>2</v>
      </c>
      <c r="D34" s="9">
        <v>580</v>
      </c>
      <c r="E34" s="9">
        <v>859</v>
      </c>
      <c r="F34" s="9">
        <v>284</v>
      </c>
      <c r="G34" s="9">
        <v>262</v>
      </c>
      <c r="H34" s="9">
        <v>34</v>
      </c>
      <c r="I34" s="9">
        <v>249</v>
      </c>
      <c r="J34" s="9">
        <v>525</v>
      </c>
      <c r="K34" s="9">
        <v>85</v>
      </c>
      <c r="L34" s="9">
        <v>169</v>
      </c>
      <c r="M34" s="9">
        <v>35</v>
      </c>
      <c r="N34" s="9">
        <v>50</v>
      </c>
      <c r="O34" s="9">
        <v>39</v>
      </c>
      <c r="P34" s="9">
        <v>25</v>
      </c>
      <c r="Q34" s="9">
        <v>85</v>
      </c>
      <c r="R34" s="9">
        <v>55</v>
      </c>
      <c r="S34" s="9">
        <v>26</v>
      </c>
      <c r="T34" s="9">
        <v>24</v>
      </c>
      <c r="U34" s="9">
        <v>72</v>
      </c>
      <c r="V34" s="9">
        <v>34</v>
      </c>
      <c r="W34" s="9">
        <v>0</v>
      </c>
      <c r="X34" s="9">
        <v>60</v>
      </c>
      <c r="Y34" s="9">
        <v>0</v>
      </c>
      <c r="Z34" s="9">
        <v>94</v>
      </c>
      <c r="AA34" s="9">
        <v>60</v>
      </c>
      <c r="AB34" s="9">
        <v>25</v>
      </c>
      <c r="AC34" s="9">
        <v>17</v>
      </c>
      <c r="AD34" s="9">
        <v>34</v>
      </c>
      <c r="AE34" s="9">
        <v>8</v>
      </c>
      <c r="AF34" s="9">
        <v>8</v>
      </c>
      <c r="AG34" s="9">
        <v>17</v>
      </c>
      <c r="AH34" s="9">
        <v>8</v>
      </c>
      <c r="AI34" s="9">
        <v>25</v>
      </c>
      <c r="AJ34" s="9">
        <v>0</v>
      </c>
      <c r="AK34" s="9">
        <v>77</v>
      </c>
      <c r="AL34" s="9">
        <v>34</v>
      </c>
      <c r="AM34" s="9">
        <v>34</v>
      </c>
      <c r="AN34" s="9">
        <v>25</v>
      </c>
      <c r="AO34" s="9">
        <v>0</v>
      </c>
      <c r="AP34" s="9">
        <v>34</v>
      </c>
      <c r="AQ34" s="9">
        <v>8</v>
      </c>
      <c r="AR34" s="9">
        <v>94</v>
      </c>
      <c r="AS34" s="9">
        <v>8</v>
      </c>
      <c r="AT34" s="9">
        <v>25</v>
      </c>
      <c r="AU34" s="9">
        <v>8</v>
      </c>
      <c r="AV34" s="9">
        <v>0</v>
      </c>
      <c r="AW34" s="9">
        <v>60</v>
      </c>
      <c r="AX34" s="9">
        <v>34</v>
      </c>
      <c r="AY34" s="9">
        <v>8</v>
      </c>
      <c r="AZ34" s="9">
        <v>20</v>
      </c>
      <c r="BA34" s="10">
        <v>132.37</v>
      </c>
      <c r="BB34" s="11">
        <v>38463.75</v>
      </c>
      <c r="BC34" s="11">
        <v>24815.32</v>
      </c>
      <c r="BD34" s="11">
        <v>29778.39</v>
      </c>
      <c r="BE34" s="11">
        <v>14889.19</v>
      </c>
      <c r="BF34" s="11">
        <v>16129.96</v>
      </c>
      <c r="BG34" s="11">
        <v>46500</v>
      </c>
      <c r="BH34" s="11">
        <v>10000</v>
      </c>
      <c r="BI34" s="11">
        <v>7698</v>
      </c>
      <c r="BJ34" s="11">
        <v>14297</v>
      </c>
      <c r="BK34" s="11">
        <v>22162</v>
      </c>
      <c r="BL34" s="11">
        <v>5741</v>
      </c>
      <c r="BM34" s="11">
        <v>5321</v>
      </c>
      <c r="BN34" s="11">
        <v>1902</v>
      </c>
      <c r="BO34" s="9">
        <v>38000</v>
      </c>
      <c r="BP34" s="9">
        <v>5531</v>
      </c>
    </row>
    <row r="35" spans="1:68" x14ac:dyDescent="0.3">
      <c r="A35" s="7">
        <v>45325</v>
      </c>
      <c r="B35" s="7" t="str">
        <f t="shared" si="0"/>
        <v>FEBRUARY</v>
      </c>
      <c r="C35" s="8">
        <f>MONTH(Data!$A35)</f>
        <v>2</v>
      </c>
      <c r="D35" s="9">
        <v>587</v>
      </c>
      <c r="E35" s="9">
        <v>840</v>
      </c>
      <c r="F35" s="9">
        <v>176</v>
      </c>
      <c r="G35" s="9">
        <v>265</v>
      </c>
      <c r="H35" s="9">
        <v>146</v>
      </c>
      <c r="I35" s="9">
        <v>411</v>
      </c>
      <c r="J35" s="9">
        <v>337</v>
      </c>
      <c r="K35" s="9">
        <v>92</v>
      </c>
      <c r="L35" s="9">
        <v>189</v>
      </c>
      <c r="M35" s="9">
        <v>105</v>
      </c>
      <c r="N35" s="9">
        <v>29</v>
      </c>
      <c r="O35" s="9">
        <v>43</v>
      </c>
      <c r="P35" s="9">
        <v>14</v>
      </c>
      <c r="Q35" s="9">
        <v>82</v>
      </c>
      <c r="R35" s="9">
        <v>40</v>
      </c>
      <c r="S35" s="9">
        <v>28</v>
      </c>
      <c r="T35" s="9">
        <v>13</v>
      </c>
      <c r="U35" s="9">
        <v>44</v>
      </c>
      <c r="V35" s="9">
        <v>84</v>
      </c>
      <c r="W35" s="9">
        <v>0</v>
      </c>
      <c r="X35" s="9">
        <v>25</v>
      </c>
      <c r="Y35" s="9">
        <v>8</v>
      </c>
      <c r="Z35" s="9">
        <v>58</v>
      </c>
      <c r="AA35" s="9">
        <v>42</v>
      </c>
      <c r="AB35" s="9">
        <v>16</v>
      </c>
      <c r="AC35" s="9">
        <v>16</v>
      </c>
      <c r="AD35" s="9">
        <v>16</v>
      </c>
      <c r="AE35" s="9">
        <v>16</v>
      </c>
      <c r="AF35" s="9">
        <v>8</v>
      </c>
      <c r="AG35" s="9">
        <v>33</v>
      </c>
      <c r="AH35" s="9">
        <v>25</v>
      </c>
      <c r="AI35" s="9">
        <v>16</v>
      </c>
      <c r="AJ35" s="9">
        <v>16</v>
      </c>
      <c r="AK35" s="9">
        <v>42</v>
      </c>
      <c r="AL35" s="9">
        <v>25</v>
      </c>
      <c r="AM35" s="9">
        <v>16</v>
      </c>
      <c r="AN35" s="9">
        <v>25</v>
      </c>
      <c r="AO35" s="9">
        <v>0</v>
      </c>
      <c r="AP35" s="9">
        <v>16</v>
      </c>
      <c r="AQ35" s="9">
        <v>33</v>
      </c>
      <c r="AR35" s="9">
        <v>75</v>
      </c>
      <c r="AS35" s="9">
        <v>25</v>
      </c>
      <c r="AT35" s="9">
        <v>33</v>
      </c>
      <c r="AU35" s="9">
        <v>33</v>
      </c>
      <c r="AV35" s="9">
        <v>0</v>
      </c>
      <c r="AW35" s="9">
        <v>33</v>
      </c>
      <c r="AX35" s="9">
        <v>0</v>
      </c>
      <c r="AY35" s="9">
        <v>0</v>
      </c>
      <c r="AZ35" s="9">
        <v>105</v>
      </c>
      <c r="BA35" s="10">
        <v>139</v>
      </c>
      <c r="BB35" s="11">
        <v>42359.18</v>
      </c>
      <c r="BC35" s="11">
        <v>27798.21</v>
      </c>
      <c r="BD35" s="11">
        <v>25150.76</v>
      </c>
      <c r="BE35" s="11">
        <v>18532.14</v>
      </c>
      <c r="BF35" s="11">
        <v>18532.14</v>
      </c>
      <c r="BG35" s="11">
        <v>46500</v>
      </c>
      <c r="BH35" s="11">
        <v>10000</v>
      </c>
      <c r="BI35" s="11">
        <v>7698</v>
      </c>
      <c r="BJ35" s="11">
        <v>14297</v>
      </c>
      <c r="BK35" s="11">
        <v>22162</v>
      </c>
      <c r="BL35" s="11">
        <v>5741</v>
      </c>
      <c r="BM35" s="11">
        <v>5321</v>
      </c>
      <c r="BN35" s="11">
        <v>1902</v>
      </c>
      <c r="BO35" s="9">
        <v>38000</v>
      </c>
      <c r="BP35" s="9">
        <v>2680</v>
      </c>
    </row>
    <row r="36" spans="1:68" x14ac:dyDescent="0.3">
      <c r="A36" s="7">
        <v>45326</v>
      </c>
      <c r="B36" s="7" t="str">
        <f t="shared" si="0"/>
        <v>FEBRUARY</v>
      </c>
      <c r="C36" s="8">
        <f>MONTH(Data!$A36)</f>
        <v>2</v>
      </c>
      <c r="D36" s="9">
        <v>602</v>
      </c>
      <c r="E36" s="9">
        <v>800</v>
      </c>
      <c r="F36" s="9">
        <v>313</v>
      </c>
      <c r="G36" s="9">
        <v>187</v>
      </c>
      <c r="H36" s="9">
        <v>102</v>
      </c>
      <c r="I36" s="9">
        <v>320</v>
      </c>
      <c r="J36" s="9">
        <v>344</v>
      </c>
      <c r="K36" s="9">
        <v>136</v>
      </c>
      <c r="L36" s="9">
        <v>167</v>
      </c>
      <c r="M36" s="9">
        <v>18</v>
      </c>
      <c r="N36" s="9">
        <v>33</v>
      </c>
      <c r="O36" s="9">
        <v>52</v>
      </c>
      <c r="P36" s="9">
        <v>18</v>
      </c>
      <c r="Q36" s="9">
        <v>114</v>
      </c>
      <c r="R36" s="9">
        <v>45</v>
      </c>
      <c r="S36" s="9">
        <v>32</v>
      </c>
      <c r="T36" s="9">
        <v>27</v>
      </c>
      <c r="U36" s="9">
        <v>96</v>
      </c>
      <c r="V36" s="9">
        <v>48</v>
      </c>
      <c r="W36" s="9">
        <v>24</v>
      </c>
      <c r="X36" s="9">
        <v>24</v>
      </c>
      <c r="Y36" s="9">
        <v>24</v>
      </c>
      <c r="Z36" s="9">
        <v>112</v>
      </c>
      <c r="AA36" s="9">
        <v>56</v>
      </c>
      <c r="AB36" s="9">
        <v>0</v>
      </c>
      <c r="AC36" s="9">
        <v>16</v>
      </c>
      <c r="AD36" s="9">
        <v>32</v>
      </c>
      <c r="AE36" s="9">
        <v>24</v>
      </c>
      <c r="AF36" s="9">
        <v>0</v>
      </c>
      <c r="AG36" s="9">
        <v>24</v>
      </c>
      <c r="AH36" s="9">
        <v>24</v>
      </c>
      <c r="AI36" s="9">
        <v>8</v>
      </c>
      <c r="AJ36" s="9">
        <v>16</v>
      </c>
      <c r="AK36" s="9">
        <v>40</v>
      </c>
      <c r="AL36" s="9">
        <v>24</v>
      </c>
      <c r="AM36" s="9">
        <v>40</v>
      </c>
      <c r="AN36" s="9">
        <v>0</v>
      </c>
      <c r="AO36" s="9">
        <v>0</v>
      </c>
      <c r="AP36" s="9">
        <v>8</v>
      </c>
      <c r="AQ36" s="9">
        <v>32</v>
      </c>
      <c r="AR36" s="9">
        <v>72</v>
      </c>
      <c r="AS36" s="9">
        <v>24</v>
      </c>
      <c r="AT36" s="9">
        <v>48</v>
      </c>
      <c r="AU36" s="9">
        <v>40</v>
      </c>
      <c r="AV36" s="9">
        <v>8</v>
      </c>
      <c r="AW36" s="9">
        <v>32</v>
      </c>
      <c r="AX36" s="9">
        <v>0</v>
      </c>
      <c r="AY36" s="9">
        <v>0</v>
      </c>
      <c r="AZ36" s="9">
        <v>0</v>
      </c>
      <c r="BA36" s="10">
        <v>145.73999999999998</v>
      </c>
      <c r="BB36" s="11">
        <v>36140.870000000003</v>
      </c>
      <c r="BC36" s="11">
        <v>20850.5</v>
      </c>
      <c r="BD36" s="11">
        <v>19460.47</v>
      </c>
      <c r="BE36" s="11">
        <v>30580.73</v>
      </c>
      <c r="BF36" s="11">
        <v>31970.77</v>
      </c>
      <c r="BG36" s="11">
        <v>46500</v>
      </c>
      <c r="BH36" s="11">
        <v>10000</v>
      </c>
      <c r="BI36" s="11">
        <v>7698</v>
      </c>
      <c r="BJ36" s="11">
        <v>14297</v>
      </c>
      <c r="BK36" s="11">
        <v>22162</v>
      </c>
      <c r="BL36" s="11">
        <v>5741</v>
      </c>
      <c r="BM36" s="11">
        <v>5321</v>
      </c>
      <c r="BN36" s="11">
        <v>1902</v>
      </c>
      <c r="BO36" s="9">
        <v>38000</v>
      </c>
      <c r="BP36" s="9">
        <v>715</v>
      </c>
    </row>
    <row r="37" spans="1:68" x14ac:dyDescent="0.3">
      <c r="A37" s="7">
        <v>45327</v>
      </c>
      <c r="B37" s="7" t="str">
        <f t="shared" si="0"/>
        <v>FEBRUARY</v>
      </c>
      <c r="C37" s="8">
        <f>MONTH(Data!$A37)</f>
        <v>2</v>
      </c>
      <c r="D37" s="9">
        <v>618</v>
      </c>
      <c r="E37" s="9">
        <v>775</v>
      </c>
      <c r="F37" s="9">
        <v>135</v>
      </c>
      <c r="G37" s="9">
        <v>378</v>
      </c>
      <c r="H37" s="9">
        <v>105</v>
      </c>
      <c r="I37" s="9">
        <v>255</v>
      </c>
      <c r="J37" s="9">
        <v>404</v>
      </c>
      <c r="K37" s="9">
        <v>116</v>
      </c>
      <c r="L37" s="9">
        <v>153</v>
      </c>
      <c r="M37" s="9">
        <v>72</v>
      </c>
      <c r="N37" s="9">
        <v>30</v>
      </c>
      <c r="O37" s="9">
        <v>45</v>
      </c>
      <c r="P37" s="9">
        <v>34</v>
      </c>
      <c r="Q37" s="9">
        <v>122</v>
      </c>
      <c r="R37" s="9">
        <v>37</v>
      </c>
      <c r="S37" s="9">
        <v>28</v>
      </c>
      <c r="T37" s="9">
        <v>23</v>
      </c>
      <c r="U37" s="9">
        <v>74</v>
      </c>
      <c r="V37" s="9">
        <v>77</v>
      </c>
      <c r="W37" s="9">
        <v>0</v>
      </c>
      <c r="X37" s="9">
        <v>46</v>
      </c>
      <c r="Y37" s="9">
        <v>15</v>
      </c>
      <c r="Z37" s="9">
        <v>74</v>
      </c>
      <c r="AA37" s="9">
        <v>69</v>
      </c>
      <c r="AB37" s="9">
        <v>0</v>
      </c>
      <c r="AC37" s="9">
        <v>7</v>
      </c>
      <c r="AD37" s="9">
        <v>46</v>
      </c>
      <c r="AE37" s="9">
        <v>15</v>
      </c>
      <c r="AF37" s="9">
        <v>7</v>
      </c>
      <c r="AG37" s="9">
        <v>15</v>
      </c>
      <c r="AH37" s="9">
        <v>23</v>
      </c>
      <c r="AI37" s="9">
        <v>7</v>
      </c>
      <c r="AJ37" s="9">
        <v>0</v>
      </c>
      <c r="AK37" s="9">
        <v>62</v>
      </c>
      <c r="AL37" s="9">
        <v>46</v>
      </c>
      <c r="AM37" s="9">
        <v>38</v>
      </c>
      <c r="AN37" s="9">
        <v>0</v>
      </c>
      <c r="AO37" s="9">
        <v>0</v>
      </c>
      <c r="AP37" s="9">
        <v>0</v>
      </c>
      <c r="AQ37" s="9">
        <v>31</v>
      </c>
      <c r="AR37" s="9">
        <v>54</v>
      </c>
      <c r="AS37" s="9">
        <v>7</v>
      </c>
      <c r="AT37" s="9">
        <v>46</v>
      </c>
      <c r="AU37" s="9">
        <v>38</v>
      </c>
      <c r="AV37" s="9">
        <v>7</v>
      </c>
      <c r="AW37" s="9">
        <v>38</v>
      </c>
      <c r="AX37" s="9">
        <v>7</v>
      </c>
      <c r="AY37" s="9">
        <v>0</v>
      </c>
      <c r="AZ37" s="9">
        <v>0</v>
      </c>
      <c r="BA37" s="10">
        <v>149.92000000000002</v>
      </c>
      <c r="BB37" s="11">
        <v>46637.24</v>
      </c>
      <c r="BC37" s="11">
        <v>33520.519999999997</v>
      </c>
      <c r="BD37" s="11">
        <v>16031.55</v>
      </c>
      <c r="BE37" s="11">
        <v>14574.14</v>
      </c>
      <c r="BF37" s="11">
        <v>34977.93</v>
      </c>
      <c r="BG37" s="11">
        <v>46500</v>
      </c>
      <c r="BH37" s="11">
        <v>10000</v>
      </c>
      <c r="BI37" s="11">
        <v>7698</v>
      </c>
      <c r="BJ37" s="11">
        <v>14297</v>
      </c>
      <c r="BK37" s="11">
        <v>22162</v>
      </c>
      <c r="BL37" s="11">
        <v>5741</v>
      </c>
      <c r="BM37" s="11">
        <v>5321</v>
      </c>
      <c r="BN37" s="11">
        <v>1902</v>
      </c>
      <c r="BO37" s="9">
        <v>38000</v>
      </c>
      <c r="BP37" s="9">
        <v>7099</v>
      </c>
    </row>
    <row r="38" spans="1:68" x14ac:dyDescent="0.3">
      <c r="A38" s="7">
        <v>45328</v>
      </c>
      <c r="B38" s="7" t="str">
        <f t="shared" si="0"/>
        <v>FEBRUARY</v>
      </c>
      <c r="C38" s="8">
        <f>MONTH(Data!$A38)</f>
        <v>2</v>
      </c>
      <c r="D38" s="9">
        <v>643</v>
      </c>
      <c r="E38" s="9">
        <v>763</v>
      </c>
      <c r="F38" s="9">
        <v>250</v>
      </c>
      <c r="G38" s="9">
        <v>316</v>
      </c>
      <c r="H38" s="9">
        <v>77</v>
      </c>
      <c r="I38" s="9">
        <v>381</v>
      </c>
      <c r="J38" s="9">
        <v>260</v>
      </c>
      <c r="K38" s="9">
        <v>122</v>
      </c>
      <c r="L38" s="9">
        <v>195</v>
      </c>
      <c r="M38" s="9">
        <v>87</v>
      </c>
      <c r="N38" s="9">
        <v>47</v>
      </c>
      <c r="O38" s="9">
        <v>27</v>
      </c>
      <c r="P38" s="9">
        <v>31</v>
      </c>
      <c r="Q38" s="9">
        <v>87</v>
      </c>
      <c r="R38" s="9">
        <v>41</v>
      </c>
      <c r="S38" s="9">
        <v>21</v>
      </c>
      <c r="T38" s="9">
        <v>14</v>
      </c>
      <c r="U38" s="9">
        <v>93</v>
      </c>
      <c r="V38" s="9">
        <v>53</v>
      </c>
      <c r="W38" s="9">
        <v>0</v>
      </c>
      <c r="X38" s="9">
        <v>30</v>
      </c>
      <c r="Y38" s="9">
        <v>22</v>
      </c>
      <c r="Z38" s="9">
        <v>53</v>
      </c>
      <c r="AA38" s="9">
        <v>61</v>
      </c>
      <c r="AB38" s="9">
        <v>15</v>
      </c>
      <c r="AC38" s="9">
        <v>7</v>
      </c>
      <c r="AD38" s="9">
        <v>22</v>
      </c>
      <c r="AE38" s="9">
        <v>7</v>
      </c>
      <c r="AF38" s="9">
        <v>0</v>
      </c>
      <c r="AG38" s="9">
        <v>38</v>
      </c>
      <c r="AH38" s="9">
        <v>0</v>
      </c>
      <c r="AI38" s="9">
        <v>7</v>
      </c>
      <c r="AJ38" s="9">
        <v>22</v>
      </c>
      <c r="AK38" s="9">
        <v>68</v>
      </c>
      <c r="AL38" s="9">
        <v>22</v>
      </c>
      <c r="AM38" s="9">
        <v>22</v>
      </c>
      <c r="AN38" s="9">
        <v>7</v>
      </c>
      <c r="AO38" s="9">
        <v>0</v>
      </c>
      <c r="AP38" s="9">
        <v>30</v>
      </c>
      <c r="AQ38" s="9">
        <v>7</v>
      </c>
      <c r="AR38" s="9">
        <v>76</v>
      </c>
      <c r="AS38" s="9">
        <v>7</v>
      </c>
      <c r="AT38" s="9">
        <v>30</v>
      </c>
      <c r="AU38" s="9">
        <v>22</v>
      </c>
      <c r="AV38" s="9">
        <v>7</v>
      </c>
      <c r="AW38" s="9">
        <v>15</v>
      </c>
      <c r="AX38" s="9">
        <v>15</v>
      </c>
      <c r="AY38" s="9">
        <v>7</v>
      </c>
      <c r="AZ38" s="9">
        <v>91</v>
      </c>
      <c r="BA38" s="10">
        <v>154.14999999999998</v>
      </c>
      <c r="BB38" s="11">
        <v>40479.35</v>
      </c>
      <c r="BC38" s="11">
        <v>22488.53</v>
      </c>
      <c r="BD38" s="11">
        <v>14992.35</v>
      </c>
      <c r="BE38" s="11">
        <v>22488.53</v>
      </c>
      <c r="BF38" s="11">
        <v>49474.76</v>
      </c>
      <c r="BG38" s="11">
        <v>46500</v>
      </c>
      <c r="BH38" s="11">
        <v>10000</v>
      </c>
      <c r="BI38" s="11">
        <v>7698</v>
      </c>
      <c r="BJ38" s="11">
        <v>14297</v>
      </c>
      <c r="BK38" s="11">
        <v>22162</v>
      </c>
      <c r="BL38" s="11">
        <v>5741</v>
      </c>
      <c r="BM38" s="11">
        <v>5321</v>
      </c>
      <c r="BN38" s="11">
        <v>1902</v>
      </c>
      <c r="BO38" s="9">
        <v>38000</v>
      </c>
      <c r="BP38" s="9">
        <v>6943</v>
      </c>
    </row>
    <row r="39" spans="1:68" x14ac:dyDescent="0.3">
      <c r="A39" s="7">
        <v>45329</v>
      </c>
      <c r="B39" s="7" t="str">
        <f t="shared" si="0"/>
        <v>FEBRUARY</v>
      </c>
      <c r="C39" s="8">
        <f>MONTH(Data!$A39)</f>
        <v>2</v>
      </c>
      <c r="D39" s="9">
        <v>671</v>
      </c>
      <c r="E39" s="9">
        <v>761</v>
      </c>
      <c r="F39" s="9">
        <v>328</v>
      </c>
      <c r="G39" s="9">
        <v>243</v>
      </c>
      <c r="H39" s="9">
        <v>100</v>
      </c>
      <c r="I39" s="9">
        <v>334</v>
      </c>
      <c r="J39" s="9">
        <v>237</v>
      </c>
      <c r="K39" s="9">
        <v>190</v>
      </c>
      <c r="L39" s="9">
        <v>187</v>
      </c>
      <c r="M39" s="9">
        <v>70</v>
      </c>
      <c r="N39" s="9">
        <v>37</v>
      </c>
      <c r="O39" s="9">
        <v>62</v>
      </c>
      <c r="P39" s="9">
        <v>16</v>
      </c>
      <c r="Q39" s="9">
        <v>101</v>
      </c>
      <c r="R39" s="9">
        <v>84</v>
      </c>
      <c r="S39" s="9">
        <v>20</v>
      </c>
      <c r="T39" s="9">
        <v>15</v>
      </c>
      <c r="U39" s="9">
        <v>79</v>
      </c>
      <c r="V39" s="9">
        <v>38</v>
      </c>
      <c r="W39" s="9">
        <v>22</v>
      </c>
      <c r="X39" s="9">
        <v>30</v>
      </c>
      <c r="Y39" s="9">
        <v>22</v>
      </c>
      <c r="Z39" s="9">
        <v>90</v>
      </c>
      <c r="AA39" s="9">
        <v>53</v>
      </c>
      <c r="AB39" s="9">
        <v>7</v>
      </c>
      <c r="AC39" s="9">
        <v>15</v>
      </c>
      <c r="AD39" s="9">
        <v>30</v>
      </c>
      <c r="AE39" s="9">
        <v>22</v>
      </c>
      <c r="AF39" s="9">
        <v>7</v>
      </c>
      <c r="AG39" s="9">
        <v>22</v>
      </c>
      <c r="AH39" s="9">
        <v>22</v>
      </c>
      <c r="AI39" s="9">
        <v>15</v>
      </c>
      <c r="AJ39" s="9">
        <v>0</v>
      </c>
      <c r="AK39" s="9">
        <v>60</v>
      </c>
      <c r="AL39" s="9">
        <v>45</v>
      </c>
      <c r="AM39" s="9">
        <v>22</v>
      </c>
      <c r="AN39" s="9">
        <v>0</v>
      </c>
      <c r="AO39" s="9">
        <v>0</v>
      </c>
      <c r="AP39" s="9">
        <v>7</v>
      </c>
      <c r="AQ39" s="9">
        <v>22</v>
      </c>
      <c r="AR39" s="9">
        <v>68</v>
      </c>
      <c r="AS39" s="9">
        <v>7</v>
      </c>
      <c r="AT39" s="9">
        <v>30</v>
      </c>
      <c r="AU39" s="9">
        <v>30</v>
      </c>
      <c r="AV39" s="9">
        <v>0</v>
      </c>
      <c r="AW39" s="9">
        <v>45</v>
      </c>
      <c r="AX39" s="9">
        <v>15</v>
      </c>
      <c r="AY39" s="9">
        <v>15</v>
      </c>
      <c r="AZ39" s="9">
        <v>0</v>
      </c>
      <c r="BA39" s="10">
        <v>156.85</v>
      </c>
      <c r="BB39" s="11">
        <v>40077.68</v>
      </c>
      <c r="BC39" s="11">
        <v>24663.19</v>
      </c>
      <c r="BD39" s="11">
        <v>33911.879999999997</v>
      </c>
      <c r="BE39" s="11">
        <v>38536.230000000003</v>
      </c>
      <c r="BF39" s="11">
        <v>16955.939999999999</v>
      </c>
      <c r="BG39" s="11">
        <v>46500</v>
      </c>
      <c r="BH39" s="11">
        <v>10000</v>
      </c>
      <c r="BI39" s="11">
        <v>7698</v>
      </c>
      <c r="BJ39" s="11">
        <v>14297</v>
      </c>
      <c r="BK39" s="11">
        <v>22162</v>
      </c>
      <c r="BL39" s="11">
        <v>5741</v>
      </c>
      <c r="BM39" s="11">
        <v>5321</v>
      </c>
      <c r="BN39" s="11">
        <v>1902</v>
      </c>
      <c r="BO39" s="9">
        <v>38000</v>
      </c>
      <c r="BP39" s="9">
        <v>566</v>
      </c>
    </row>
    <row r="40" spans="1:68" x14ac:dyDescent="0.3">
      <c r="A40" s="7">
        <v>45330</v>
      </c>
      <c r="B40" s="7" t="str">
        <f t="shared" si="0"/>
        <v>FEBRUARY</v>
      </c>
      <c r="C40" s="8">
        <f>MONTH(Data!$A40)</f>
        <v>2</v>
      </c>
      <c r="D40" s="9">
        <v>697</v>
      </c>
      <c r="E40" s="9">
        <v>773</v>
      </c>
      <c r="F40" s="9">
        <v>174</v>
      </c>
      <c r="G40" s="9">
        <v>370</v>
      </c>
      <c r="H40" s="9">
        <v>153</v>
      </c>
      <c r="I40" s="9">
        <v>247</v>
      </c>
      <c r="J40" s="9">
        <v>426</v>
      </c>
      <c r="K40" s="9">
        <v>100</v>
      </c>
      <c r="L40" s="9">
        <v>185</v>
      </c>
      <c r="M40" s="9">
        <v>43</v>
      </c>
      <c r="N40" s="9">
        <v>43</v>
      </c>
      <c r="O40" s="9">
        <v>38</v>
      </c>
      <c r="P40" s="9">
        <v>25</v>
      </c>
      <c r="Q40" s="9">
        <v>129</v>
      </c>
      <c r="R40" s="9">
        <v>71</v>
      </c>
      <c r="S40" s="9">
        <v>21</v>
      </c>
      <c r="T40" s="9">
        <v>29</v>
      </c>
      <c r="U40" s="9">
        <v>113</v>
      </c>
      <c r="V40" s="9">
        <v>38</v>
      </c>
      <c r="W40" s="9">
        <v>15</v>
      </c>
      <c r="X40" s="9">
        <v>38</v>
      </c>
      <c r="Y40" s="9">
        <v>23</v>
      </c>
      <c r="Z40" s="9">
        <v>46</v>
      </c>
      <c r="AA40" s="9">
        <v>69</v>
      </c>
      <c r="AB40" s="9">
        <v>0</v>
      </c>
      <c r="AC40" s="9">
        <v>0</v>
      </c>
      <c r="AD40" s="9">
        <v>46</v>
      </c>
      <c r="AE40" s="9">
        <v>7</v>
      </c>
      <c r="AF40" s="9">
        <v>0</v>
      </c>
      <c r="AG40" s="9">
        <v>30</v>
      </c>
      <c r="AH40" s="9">
        <v>7</v>
      </c>
      <c r="AI40" s="9">
        <v>0</v>
      </c>
      <c r="AJ40" s="9">
        <v>23</v>
      </c>
      <c r="AK40" s="9">
        <v>46</v>
      </c>
      <c r="AL40" s="9">
        <v>38</v>
      </c>
      <c r="AM40" s="9">
        <v>23</v>
      </c>
      <c r="AN40" s="9">
        <v>0</v>
      </c>
      <c r="AO40" s="9">
        <v>7</v>
      </c>
      <c r="AP40" s="9">
        <v>30</v>
      </c>
      <c r="AQ40" s="9">
        <v>15</v>
      </c>
      <c r="AR40" s="9">
        <v>61</v>
      </c>
      <c r="AS40" s="9">
        <v>23</v>
      </c>
      <c r="AT40" s="9">
        <v>69</v>
      </c>
      <c r="AU40" s="9">
        <v>7</v>
      </c>
      <c r="AV40" s="9">
        <v>7</v>
      </c>
      <c r="AW40" s="9">
        <v>23</v>
      </c>
      <c r="AX40" s="9">
        <v>23</v>
      </c>
      <c r="AY40" s="9">
        <v>7</v>
      </c>
      <c r="AZ40" s="9">
        <v>52</v>
      </c>
      <c r="BA40" s="10">
        <v>157.64000000000001</v>
      </c>
      <c r="BB40" s="11">
        <v>54899.6</v>
      </c>
      <c r="BC40" s="11">
        <v>39214</v>
      </c>
      <c r="BD40" s="11">
        <v>17254.16</v>
      </c>
      <c r="BE40" s="11">
        <v>15685.6</v>
      </c>
      <c r="BF40" s="11">
        <v>29802.639999999999</v>
      </c>
      <c r="BG40" s="11">
        <v>46500</v>
      </c>
      <c r="BH40" s="11">
        <v>18750</v>
      </c>
      <c r="BI40" s="11">
        <v>3598</v>
      </c>
      <c r="BJ40" s="11">
        <v>27846</v>
      </c>
      <c r="BK40" s="11">
        <v>22162</v>
      </c>
      <c r="BL40" s="11">
        <v>5741</v>
      </c>
      <c r="BM40" s="11">
        <v>5321</v>
      </c>
      <c r="BN40" s="11">
        <v>1902</v>
      </c>
      <c r="BO40" s="9">
        <v>38000</v>
      </c>
      <c r="BP40" s="9">
        <v>8696</v>
      </c>
    </row>
    <row r="41" spans="1:68" x14ac:dyDescent="0.3">
      <c r="A41" s="7">
        <v>45331</v>
      </c>
      <c r="B41" s="7" t="str">
        <f t="shared" si="0"/>
        <v>FEBRUARY</v>
      </c>
      <c r="C41" s="8">
        <f>MONTH(Data!$A41)</f>
        <v>2</v>
      </c>
      <c r="D41" s="9">
        <v>716</v>
      </c>
      <c r="E41" s="9">
        <v>794</v>
      </c>
      <c r="F41" s="9">
        <v>372</v>
      </c>
      <c r="G41" s="9">
        <v>194</v>
      </c>
      <c r="H41" s="9">
        <v>150</v>
      </c>
      <c r="I41" s="9">
        <v>325</v>
      </c>
      <c r="J41" s="9">
        <v>422</v>
      </c>
      <c r="K41" s="9">
        <v>47</v>
      </c>
      <c r="L41" s="9">
        <v>150</v>
      </c>
      <c r="M41" s="9">
        <v>146</v>
      </c>
      <c r="N41" s="9">
        <v>66</v>
      </c>
      <c r="O41" s="9">
        <v>48</v>
      </c>
      <c r="P41" s="9">
        <v>35</v>
      </c>
      <c r="Q41" s="9">
        <v>136</v>
      </c>
      <c r="R41" s="9">
        <v>19</v>
      </c>
      <c r="S41" s="9">
        <v>21</v>
      </c>
      <c r="T41" s="9">
        <v>19</v>
      </c>
      <c r="U41" s="9">
        <v>76</v>
      </c>
      <c r="V41" s="9">
        <v>63</v>
      </c>
      <c r="W41" s="9">
        <v>15</v>
      </c>
      <c r="X41" s="9">
        <v>23</v>
      </c>
      <c r="Y41" s="9">
        <v>0</v>
      </c>
      <c r="Z41" s="9">
        <v>79</v>
      </c>
      <c r="AA41" s="9">
        <v>39</v>
      </c>
      <c r="AB41" s="9">
        <v>15</v>
      </c>
      <c r="AC41" s="9">
        <v>0</v>
      </c>
      <c r="AD41" s="9">
        <v>23</v>
      </c>
      <c r="AE41" s="9">
        <v>7</v>
      </c>
      <c r="AF41" s="9">
        <v>7</v>
      </c>
      <c r="AG41" s="9">
        <v>39</v>
      </c>
      <c r="AH41" s="9">
        <v>23</v>
      </c>
      <c r="AI41" s="9">
        <v>0</v>
      </c>
      <c r="AJ41" s="9">
        <v>7</v>
      </c>
      <c r="AK41" s="9">
        <v>71</v>
      </c>
      <c r="AL41" s="9">
        <v>15</v>
      </c>
      <c r="AM41" s="9">
        <v>39</v>
      </c>
      <c r="AN41" s="9">
        <v>15</v>
      </c>
      <c r="AO41" s="9">
        <v>0</v>
      </c>
      <c r="AP41" s="9">
        <v>15</v>
      </c>
      <c r="AQ41" s="9">
        <v>23</v>
      </c>
      <c r="AR41" s="9">
        <v>71</v>
      </c>
      <c r="AS41" s="9">
        <v>7</v>
      </c>
      <c r="AT41" s="9">
        <v>31</v>
      </c>
      <c r="AU41" s="9">
        <v>23</v>
      </c>
      <c r="AV41" s="9">
        <v>0</v>
      </c>
      <c r="AW41" s="9">
        <v>7</v>
      </c>
      <c r="AX41" s="9">
        <v>31</v>
      </c>
      <c r="AY41" s="9">
        <v>0</v>
      </c>
      <c r="AZ41" s="9">
        <v>106</v>
      </c>
      <c r="BA41" s="10">
        <v>156.08000000000001</v>
      </c>
      <c r="BB41" s="11">
        <v>50443.23</v>
      </c>
      <c r="BC41" s="11">
        <v>23645.26</v>
      </c>
      <c r="BD41" s="11">
        <v>26797.97</v>
      </c>
      <c r="BE41" s="11">
        <v>39408.769999999997</v>
      </c>
      <c r="BF41" s="11">
        <v>17339.86</v>
      </c>
      <c r="BG41" s="11">
        <v>46500</v>
      </c>
      <c r="BH41" s="11">
        <v>18750</v>
      </c>
      <c r="BI41" s="11">
        <v>3598</v>
      </c>
      <c r="BJ41" s="11">
        <v>27846</v>
      </c>
      <c r="BK41" s="11">
        <v>22162</v>
      </c>
      <c r="BL41" s="11">
        <v>5741</v>
      </c>
      <c r="BM41" s="11">
        <v>5321</v>
      </c>
      <c r="BN41" s="11">
        <v>1902</v>
      </c>
      <c r="BO41" s="9">
        <v>38000</v>
      </c>
      <c r="BP41" s="9">
        <v>3867</v>
      </c>
    </row>
    <row r="42" spans="1:68" x14ac:dyDescent="0.3">
      <c r="A42" s="7">
        <v>45332</v>
      </c>
      <c r="B42" s="7" t="str">
        <f t="shared" si="0"/>
        <v>FEBRUARY</v>
      </c>
      <c r="C42" s="8">
        <f>MONTH(Data!$A42)</f>
        <v>2</v>
      </c>
      <c r="D42" s="9">
        <v>734</v>
      </c>
      <c r="E42" s="9">
        <v>844</v>
      </c>
      <c r="F42" s="9">
        <v>161</v>
      </c>
      <c r="G42" s="9">
        <v>485</v>
      </c>
      <c r="H42" s="9">
        <v>88</v>
      </c>
      <c r="I42" s="9">
        <v>388</v>
      </c>
      <c r="J42" s="9">
        <v>313</v>
      </c>
      <c r="K42" s="9">
        <v>143</v>
      </c>
      <c r="L42" s="9">
        <v>213</v>
      </c>
      <c r="M42" s="9">
        <v>150</v>
      </c>
      <c r="N42" s="9">
        <v>31</v>
      </c>
      <c r="O42" s="9">
        <v>22</v>
      </c>
      <c r="P42" s="9">
        <v>31</v>
      </c>
      <c r="Q42" s="9">
        <v>103</v>
      </c>
      <c r="R42" s="9">
        <v>41</v>
      </c>
      <c r="S42" s="9">
        <v>36</v>
      </c>
      <c r="T42" s="9">
        <v>41</v>
      </c>
      <c r="U42" s="9">
        <v>66</v>
      </c>
      <c r="V42" s="9">
        <v>33</v>
      </c>
      <c r="W42" s="9">
        <v>8</v>
      </c>
      <c r="X42" s="9">
        <v>33</v>
      </c>
      <c r="Y42" s="9">
        <v>16</v>
      </c>
      <c r="Z42" s="9">
        <v>49</v>
      </c>
      <c r="AA42" s="9">
        <v>75</v>
      </c>
      <c r="AB42" s="9">
        <v>16</v>
      </c>
      <c r="AC42" s="9">
        <v>0</v>
      </c>
      <c r="AD42" s="9">
        <v>42</v>
      </c>
      <c r="AE42" s="9">
        <v>25</v>
      </c>
      <c r="AF42" s="9">
        <v>8</v>
      </c>
      <c r="AG42" s="9">
        <v>16</v>
      </c>
      <c r="AH42" s="9">
        <v>25</v>
      </c>
      <c r="AI42" s="9">
        <v>16</v>
      </c>
      <c r="AJ42" s="9">
        <v>25</v>
      </c>
      <c r="AK42" s="9">
        <v>59</v>
      </c>
      <c r="AL42" s="9">
        <v>33</v>
      </c>
      <c r="AM42" s="9">
        <v>42</v>
      </c>
      <c r="AN42" s="9">
        <v>8</v>
      </c>
      <c r="AO42" s="9">
        <v>0</v>
      </c>
      <c r="AP42" s="9">
        <v>16</v>
      </c>
      <c r="AQ42" s="9">
        <v>33</v>
      </c>
      <c r="AR42" s="9">
        <v>67</v>
      </c>
      <c r="AS42" s="9">
        <v>25</v>
      </c>
      <c r="AT42" s="9">
        <v>67</v>
      </c>
      <c r="AU42" s="9">
        <v>16</v>
      </c>
      <c r="AV42" s="9">
        <v>0</v>
      </c>
      <c r="AW42" s="9">
        <v>33</v>
      </c>
      <c r="AX42" s="9">
        <v>33</v>
      </c>
      <c r="AY42" s="9">
        <v>25</v>
      </c>
      <c r="AZ42" s="9">
        <v>0</v>
      </c>
      <c r="BA42" s="10">
        <v>149.07999999999998</v>
      </c>
      <c r="BB42" s="11">
        <v>39018.589999999997</v>
      </c>
      <c r="BC42" s="11">
        <v>37457.839999999997</v>
      </c>
      <c r="BD42" s="11">
        <v>32775.61</v>
      </c>
      <c r="BE42" s="11">
        <v>29654.13</v>
      </c>
      <c r="BF42" s="11">
        <v>17168.18</v>
      </c>
      <c r="BG42" s="11">
        <v>46500</v>
      </c>
      <c r="BH42" s="11">
        <v>18750</v>
      </c>
      <c r="BI42" s="11">
        <v>3598</v>
      </c>
      <c r="BJ42" s="11">
        <v>27846</v>
      </c>
      <c r="BK42" s="11">
        <v>22162</v>
      </c>
      <c r="BL42" s="11">
        <v>5741</v>
      </c>
      <c r="BM42" s="11">
        <v>5321</v>
      </c>
      <c r="BN42" s="11">
        <v>1902</v>
      </c>
      <c r="BO42" s="9">
        <v>38000</v>
      </c>
      <c r="BP42" s="9">
        <v>3092</v>
      </c>
    </row>
    <row r="43" spans="1:68" x14ac:dyDescent="0.3">
      <c r="A43" s="7">
        <v>45333</v>
      </c>
      <c r="B43" s="7" t="str">
        <f t="shared" si="0"/>
        <v>FEBRUARY</v>
      </c>
      <c r="C43" s="8">
        <f>MONTH(Data!$A43)</f>
        <v>2</v>
      </c>
      <c r="D43" s="9">
        <v>746</v>
      </c>
      <c r="E43" s="9">
        <v>912</v>
      </c>
      <c r="F43" s="9">
        <v>283</v>
      </c>
      <c r="G43" s="9">
        <v>419</v>
      </c>
      <c r="H43" s="9">
        <v>44</v>
      </c>
      <c r="I43" s="9">
        <v>182</v>
      </c>
      <c r="J43" s="9">
        <v>639</v>
      </c>
      <c r="K43" s="9">
        <v>91</v>
      </c>
      <c r="L43" s="9">
        <v>226</v>
      </c>
      <c r="M43" s="9">
        <v>124</v>
      </c>
      <c r="N43" s="9">
        <v>32</v>
      </c>
      <c r="O43" s="9">
        <v>27</v>
      </c>
      <c r="P43" s="9">
        <v>37</v>
      </c>
      <c r="Q43" s="9">
        <v>136</v>
      </c>
      <c r="R43" s="9">
        <v>17</v>
      </c>
      <c r="S43" s="9">
        <v>25</v>
      </c>
      <c r="T43" s="9">
        <v>42</v>
      </c>
      <c r="U43" s="9">
        <v>80</v>
      </c>
      <c r="V43" s="9">
        <v>118</v>
      </c>
      <c r="W43" s="9">
        <v>9</v>
      </c>
      <c r="X43" s="9">
        <v>63</v>
      </c>
      <c r="Y43" s="9">
        <v>27</v>
      </c>
      <c r="Z43" s="9">
        <v>46</v>
      </c>
      <c r="AA43" s="9">
        <v>54</v>
      </c>
      <c r="AB43" s="9">
        <v>27</v>
      </c>
      <c r="AC43" s="9">
        <v>27</v>
      </c>
      <c r="AD43" s="9">
        <v>18</v>
      </c>
      <c r="AE43" s="9">
        <v>27</v>
      </c>
      <c r="AF43" s="9">
        <v>9</v>
      </c>
      <c r="AG43" s="9">
        <v>45</v>
      </c>
      <c r="AH43" s="9">
        <v>0</v>
      </c>
      <c r="AI43" s="9">
        <v>18</v>
      </c>
      <c r="AJ43" s="9">
        <v>9</v>
      </c>
      <c r="AK43" s="9">
        <v>72</v>
      </c>
      <c r="AL43" s="9">
        <v>27</v>
      </c>
      <c r="AM43" s="9">
        <v>27</v>
      </c>
      <c r="AN43" s="9">
        <v>18</v>
      </c>
      <c r="AO43" s="9">
        <v>9</v>
      </c>
      <c r="AP43" s="9">
        <v>9</v>
      </c>
      <c r="AQ43" s="9">
        <v>18</v>
      </c>
      <c r="AR43" s="9">
        <v>82</v>
      </c>
      <c r="AS43" s="9">
        <v>18</v>
      </c>
      <c r="AT43" s="9">
        <v>36</v>
      </c>
      <c r="AU43" s="9">
        <v>45</v>
      </c>
      <c r="AV43" s="9">
        <v>9</v>
      </c>
      <c r="AW43" s="9">
        <v>18</v>
      </c>
      <c r="AX43" s="9">
        <v>27</v>
      </c>
      <c r="AY43" s="9">
        <v>0</v>
      </c>
      <c r="AZ43" s="9">
        <v>0</v>
      </c>
      <c r="BA43" s="10">
        <v>139.88999999999999</v>
      </c>
      <c r="BB43" s="11">
        <v>41740.81</v>
      </c>
      <c r="BC43" s="11">
        <v>37268.58</v>
      </c>
      <c r="BD43" s="11">
        <v>32796.35</v>
      </c>
      <c r="BE43" s="11">
        <v>14907.43</v>
      </c>
      <c r="BF43" s="11">
        <v>22361.15</v>
      </c>
      <c r="BG43" s="11">
        <v>46500</v>
      </c>
      <c r="BH43" s="11">
        <v>18750</v>
      </c>
      <c r="BI43" s="11">
        <v>4273</v>
      </c>
      <c r="BJ43" s="11">
        <v>27846</v>
      </c>
      <c r="BK43" s="11">
        <v>22162</v>
      </c>
      <c r="BL43" s="11">
        <v>5741</v>
      </c>
      <c r="BM43" s="11">
        <v>5321</v>
      </c>
      <c r="BN43" s="11">
        <v>1902</v>
      </c>
      <c r="BO43" s="9">
        <v>38000</v>
      </c>
      <c r="BP43" s="9">
        <v>7584</v>
      </c>
    </row>
    <row r="44" spans="1:68" x14ac:dyDescent="0.3">
      <c r="A44" s="7">
        <v>45334</v>
      </c>
      <c r="B44" s="7" t="str">
        <f t="shared" si="0"/>
        <v>FEBRUARY</v>
      </c>
      <c r="C44" s="8">
        <f>MONTH(Data!$A44)</f>
        <v>2</v>
      </c>
      <c r="D44" s="9">
        <v>752</v>
      </c>
      <c r="E44" s="9">
        <v>972</v>
      </c>
      <c r="F44" s="9">
        <v>315</v>
      </c>
      <c r="G44" s="9">
        <v>317</v>
      </c>
      <c r="H44" s="9">
        <v>120</v>
      </c>
      <c r="I44" s="9">
        <v>213</v>
      </c>
      <c r="J44" s="9">
        <v>516</v>
      </c>
      <c r="K44" s="9">
        <v>243</v>
      </c>
      <c r="L44" s="9">
        <v>195</v>
      </c>
      <c r="M44" s="9">
        <v>51</v>
      </c>
      <c r="N44" s="9">
        <v>65</v>
      </c>
      <c r="O44" s="9">
        <v>32</v>
      </c>
      <c r="P44" s="9">
        <v>18</v>
      </c>
      <c r="Q44" s="9">
        <v>140</v>
      </c>
      <c r="R44" s="9">
        <v>57</v>
      </c>
      <c r="S44" s="9">
        <v>40</v>
      </c>
      <c r="T44" s="9">
        <v>42</v>
      </c>
      <c r="U44" s="9">
        <v>112</v>
      </c>
      <c r="V44" s="9">
        <v>126</v>
      </c>
      <c r="W44" s="9">
        <v>29</v>
      </c>
      <c r="X44" s="9">
        <v>38</v>
      </c>
      <c r="Y44" s="9">
        <v>19</v>
      </c>
      <c r="Z44" s="9">
        <v>12</v>
      </c>
      <c r="AA44" s="9">
        <v>77</v>
      </c>
      <c r="AB44" s="9">
        <v>19</v>
      </c>
      <c r="AC44" s="9">
        <v>29</v>
      </c>
      <c r="AD44" s="9">
        <v>29</v>
      </c>
      <c r="AE44" s="9">
        <v>19</v>
      </c>
      <c r="AF44" s="9">
        <v>9</v>
      </c>
      <c r="AG44" s="9">
        <v>19</v>
      </c>
      <c r="AH44" s="9">
        <v>29</v>
      </c>
      <c r="AI44" s="9">
        <v>0</v>
      </c>
      <c r="AJ44" s="9">
        <v>0</v>
      </c>
      <c r="AK44" s="9">
        <v>77</v>
      </c>
      <c r="AL44" s="9">
        <v>58</v>
      </c>
      <c r="AM44" s="9">
        <v>38</v>
      </c>
      <c r="AN44" s="9">
        <v>9</v>
      </c>
      <c r="AO44" s="9">
        <v>9</v>
      </c>
      <c r="AP44" s="9">
        <v>9</v>
      </c>
      <c r="AQ44" s="9">
        <v>9</v>
      </c>
      <c r="AR44" s="9">
        <v>77</v>
      </c>
      <c r="AS44" s="9">
        <v>29</v>
      </c>
      <c r="AT44" s="9">
        <v>48</v>
      </c>
      <c r="AU44" s="9">
        <v>29</v>
      </c>
      <c r="AV44" s="9">
        <v>0</v>
      </c>
      <c r="AW44" s="9">
        <v>68</v>
      </c>
      <c r="AX44" s="9">
        <v>29</v>
      </c>
      <c r="AY44" s="9">
        <v>29</v>
      </c>
      <c r="AZ44" s="9">
        <v>0</v>
      </c>
      <c r="BA44" s="10">
        <v>130.51999999999998</v>
      </c>
      <c r="BB44" s="11">
        <v>40566.6</v>
      </c>
      <c r="BC44" s="11">
        <v>26578.12</v>
      </c>
      <c r="BD44" s="11">
        <v>32173.51</v>
      </c>
      <c r="BE44" s="11">
        <v>16786.18</v>
      </c>
      <c r="BF44" s="11">
        <v>23780.42</v>
      </c>
      <c r="BG44" s="11">
        <v>46500</v>
      </c>
      <c r="BH44" s="11">
        <v>18750</v>
      </c>
      <c r="BI44" s="11">
        <v>4273</v>
      </c>
      <c r="BJ44" s="11">
        <v>27846</v>
      </c>
      <c r="BK44" s="11">
        <v>22162</v>
      </c>
      <c r="BL44" s="11">
        <v>5741</v>
      </c>
      <c r="BM44" s="11">
        <v>5321</v>
      </c>
      <c r="BN44" s="11">
        <v>1902</v>
      </c>
      <c r="BO44" s="9">
        <v>38000</v>
      </c>
      <c r="BP44" s="9">
        <v>7437</v>
      </c>
    </row>
    <row r="45" spans="1:68" x14ac:dyDescent="0.3">
      <c r="A45" s="7">
        <v>45335</v>
      </c>
      <c r="B45" s="7" t="str">
        <f t="shared" si="0"/>
        <v>FEBRUARY</v>
      </c>
      <c r="C45" s="8">
        <f>MONTH(Data!$A45)</f>
        <v>2</v>
      </c>
      <c r="D45" s="9">
        <v>757</v>
      </c>
      <c r="E45" s="9">
        <v>1007</v>
      </c>
      <c r="F45" s="9">
        <v>348</v>
      </c>
      <c r="G45" s="9">
        <v>228</v>
      </c>
      <c r="H45" s="9">
        <v>181</v>
      </c>
      <c r="I45" s="9">
        <v>362</v>
      </c>
      <c r="J45" s="9">
        <v>484</v>
      </c>
      <c r="K45" s="9">
        <v>161</v>
      </c>
      <c r="L45" s="9">
        <v>178</v>
      </c>
      <c r="M45" s="9">
        <v>98</v>
      </c>
      <c r="N45" s="9">
        <v>37</v>
      </c>
      <c r="O45" s="9">
        <v>65</v>
      </c>
      <c r="P45" s="9">
        <v>14</v>
      </c>
      <c r="Q45" s="9">
        <v>117</v>
      </c>
      <c r="R45" s="9">
        <v>83</v>
      </c>
      <c r="S45" s="9">
        <v>25</v>
      </c>
      <c r="T45" s="9">
        <v>17</v>
      </c>
      <c r="U45" s="9">
        <v>123</v>
      </c>
      <c r="V45" s="9">
        <v>100</v>
      </c>
      <c r="W45" s="9">
        <v>10</v>
      </c>
      <c r="X45" s="9">
        <v>30</v>
      </c>
      <c r="Y45" s="9">
        <v>10</v>
      </c>
      <c r="Z45" s="9">
        <v>100</v>
      </c>
      <c r="AA45" s="9">
        <v>50</v>
      </c>
      <c r="AB45" s="9">
        <v>0</v>
      </c>
      <c r="AC45" s="9">
        <v>20</v>
      </c>
      <c r="AD45" s="9">
        <v>60</v>
      </c>
      <c r="AE45" s="9">
        <v>0</v>
      </c>
      <c r="AF45" s="9">
        <v>10</v>
      </c>
      <c r="AG45" s="9">
        <v>40</v>
      </c>
      <c r="AH45" s="9">
        <v>30</v>
      </c>
      <c r="AI45" s="9">
        <v>30</v>
      </c>
      <c r="AJ45" s="9">
        <v>30</v>
      </c>
      <c r="AK45" s="9">
        <v>90</v>
      </c>
      <c r="AL45" s="9">
        <v>20</v>
      </c>
      <c r="AM45" s="9">
        <v>30</v>
      </c>
      <c r="AN45" s="9">
        <v>30</v>
      </c>
      <c r="AO45" s="9">
        <v>0</v>
      </c>
      <c r="AP45" s="9">
        <v>40</v>
      </c>
      <c r="AQ45" s="9">
        <v>20</v>
      </c>
      <c r="AR45" s="9">
        <v>70</v>
      </c>
      <c r="AS45" s="9">
        <v>10</v>
      </c>
      <c r="AT45" s="9">
        <v>50</v>
      </c>
      <c r="AU45" s="9">
        <v>30</v>
      </c>
      <c r="AV45" s="9">
        <v>0</v>
      </c>
      <c r="AW45" s="9">
        <v>30</v>
      </c>
      <c r="AX45" s="9">
        <v>0</v>
      </c>
      <c r="AY45" s="9">
        <v>0</v>
      </c>
      <c r="AZ45" s="9">
        <v>67</v>
      </c>
      <c r="BA45" s="10">
        <v>126.13000000000001</v>
      </c>
      <c r="BB45" s="11">
        <v>39155.26</v>
      </c>
      <c r="BC45" s="11">
        <v>28713.86</v>
      </c>
      <c r="BD45" s="11">
        <v>14356.93</v>
      </c>
      <c r="BE45" s="11">
        <v>23493.16</v>
      </c>
      <c r="BF45" s="11">
        <v>24798.33</v>
      </c>
      <c r="BG45" s="11">
        <v>46500</v>
      </c>
      <c r="BH45" s="11">
        <v>18750</v>
      </c>
      <c r="BI45" s="11">
        <v>4273</v>
      </c>
      <c r="BJ45" s="11">
        <v>27846</v>
      </c>
      <c r="BK45" s="11">
        <v>22162</v>
      </c>
      <c r="BL45" s="11">
        <v>5741</v>
      </c>
      <c r="BM45" s="11">
        <v>5321</v>
      </c>
      <c r="BN45" s="11">
        <v>1902</v>
      </c>
      <c r="BO45" s="9">
        <v>38000</v>
      </c>
      <c r="BP45" s="9">
        <v>117</v>
      </c>
    </row>
    <row r="46" spans="1:68" x14ac:dyDescent="0.3">
      <c r="A46" s="7">
        <v>45336</v>
      </c>
      <c r="B46" s="7" t="str">
        <f t="shared" si="0"/>
        <v>FEBRUARY</v>
      </c>
      <c r="C46" s="8">
        <f>MONTH(Data!$A46)</f>
        <v>2</v>
      </c>
      <c r="D46" s="9">
        <v>756</v>
      </c>
      <c r="E46" s="9">
        <v>1023</v>
      </c>
      <c r="F46" s="9">
        <v>355</v>
      </c>
      <c r="G46" s="9">
        <v>356</v>
      </c>
      <c r="H46" s="9">
        <v>45</v>
      </c>
      <c r="I46" s="9">
        <v>501</v>
      </c>
      <c r="J46" s="9">
        <v>328</v>
      </c>
      <c r="K46" s="9">
        <v>194</v>
      </c>
      <c r="L46" s="9">
        <v>210</v>
      </c>
      <c r="M46" s="9">
        <v>164</v>
      </c>
      <c r="N46" s="9">
        <v>32</v>
      </c>
      <c r="O46" s="9">
        <v>28</v>
      </c>
      <c r="P46" s="9">
        <v>14</v>
      </c>
      <c r="Q46" s="9">
        <v>114</v>
      </c>
      <c r="R46" s="9">
        <v>34</v>
      </c>
      <c r="S46" s="9">
        <v>20</v>
      </c>
      <c r="T46" s="9">
        <v>31</v>
      </c>
      <c r="U46" s="9">
        <v>109</v>
      </c>
      <c r="V46" s="9">
        <v>81</v>
      </c>
      <c r="W46" s="9">
        <v>20</v>
      </c>
      <c r="X46" s="9">
        <v>30</v>
      </c>
      <c r="Y46" s="9">
        <v>0</v>
      </c>
      <c r="Z46" s="9">
        <v>132</v>
      </c>
      <c r="AA46" s="9">
        <v>61</v>
      </c>
      <c r="AB46" s="9">
        <v>10</v>
      </c>
      <c r="AC46" s="9">
        <v>30</v>
      </c>
      <c r="AD46" s="9">
        <v>51</v>
      </c>
      <c r="AE46" s="9">
        <v>0</v>
      </c>
      <c r="AF46" s="9">
        <v>10</v>
      </c>
      <c r="AG46" s="9">
        <v>40</v>
      </c>
      <c r="AH46" s="9">
        <v>10</v>
      </c>
      <c r="AI46" s="9">
        <v>20</v>
      </c>
      <c r="AJ46" s="9">
        <v>20</v>
      </c>
      <c r="AK46" s="9">
        <v>51</v>
      </c>
      <c r="AL46" s="9">
        <v>10</v>
      </c>
      <c r="AM46" s="9">
        <v>51</v>
      </c>
      <c r="AN46" s="9">
        <v>0</v>
      </c>
      <c r="AO46" s="9">
        <v>0</v>
      </c>
      <c r="AP46" s="9">
        <v>40</v>
      </c>
      <c r="AQ46" s="9">
        <v>10</v>
      </c>
      <c r="AR46" s="9">
        <v>112</v>
      </c>
      <c r="AS46" s="9">
        <v>20</v>
      </c>
      <c r="AT46" s="9">
        <v>92</v>
      </c>
      <c r="AU46" s="9">
        <v>30</v>
      </c>
      <c r="AV46" s="9">
        <v>10</v>
      </c>
      <c r="AW46" s="9">
        <v>20</v>
      </c>
      <c r="AX46" s="9">
        <v>40</v>
      </c>
      <c r="AY46" s="9">
        <v>20</v>
      </c>
      <c r="AZ46" s="9">
        <v>2</v>
      </c>
      <c r="BA46" s="10">
        <v>125.39999999999999</v>
      </c>
      <c r="BB46" s="11">
        <v>41621.68</v>
      </c>
      <c r="BC46" s="11">
        <v>31531.57</v>
      </c>
      <c r="BD46" s="11">
        <v>17657.68</v>
      </c>
      <c r="BE46" s="11">
        <v>18918.939999999999</v>
      </c>
      <c r="BF46" s="11">
        <v>16396.419999999998</v>
      </c>
      <c r="BG46" s="11">
        <v>46500</v>
      </c>
      <c r="BH46" s="11">
        <v>18750</v>
      </c>
      <c r="BI46" s="11">
        <v>10273</v>
      </c>
      <c r="BJ46" s="11">
        <v>23878</v>
      </c>
      <c r="BK46" s="11">
        <v>22162</v>
      </c>
      <c r="BL46" s="11">
        <v>5741</v>
      </c>
      <c r="BM46" s="11">
        <v>5321</v>
      </c>
      <c r="BN46" s="11">
        <v>1902</v>
      </c>
      <c r="BO46" s="9">
        <v>38000</v>
      </c>
      <c r="BP46" s="9">
        <v>931</v>
      </c>
    </row>
    <row r="47" spans="1:68" x14ac:dyDescent="0.3">
      <c r="A47" s="7">
        <v>45337</v>
      </c>
      <c r="B47" s="7" t="str">
        <f t="shared" si="0"/>
        <v>FEBRUARY</v>
      </c>
      <c r="C47" s="8">
        <f>MONTH(Data!$A47)</f>
        <v>2</v>
      </c>
      <c r="D47" s="9">
        <v>746</v>
      </c>
      <c r="E47" s="9">
        <v>1028</v>
      </c>
      <c r="F47" s="9">
        <v>328</v>
      </c>
      <c r="G47" s="9">
        <v>381</v>
      </c>
      <c r="H47" s="9">
        <v>37</v>
      </c>
      <c r="I47" s="9">
        <v>421</v>
      </c>
      <c r="J47" s="9">
        <v>453</v>
      </c>
      <c r="K47" s="9">
        <v>154</v>
      </c>
      <c r="L47" s="9">
        <v>203</v>
      </c>
      <c r="M47" s="9">
        <v>138</v>
      </c>
      <c r="N47" s="9">
        <v>32</v>
      </c>
      <c r="O47" s="9">
        <v>50</v>
      </c>
      <c r="P47" s="9">
        <v>46</v>
      </c>
      <c r="Q47" s="9">
        <v>127</v>
      </c>
      <c r="R47" s="9">
        <v>36</v>
      </c>
      <c r="S47" s="9">
        <v>39</v>
      </c>
      <c r="T47" s="9">
        <v>22</v>
      </c>
      <c r="U47" s="9">
        <v>53</v>
      </c>
      <c r="V47" s="9">
        <v>133</v>
      </c>
      <c r="W47" s="9">
        <v>10</v>
      </c>
      <c r="X47" s="9">
        <v>51</v>
      </c>
      <c r="Y47" s="9">
        <v>30</v>
      </c>
      <c r="Z47" s="9">
        <v>143</v>
      </c>
      <c r="AA47" s="9">
        <v>51</v>
      </c>
      <c r="AB47" s="9">
        <v>0</v>
      </c>
      <c r="AC47" s="9">
        <v>30</v>
      </c>
      <c r="AD47" s="9">
        <v>51</v>
      </c>
      <c r="AE47" s="9">
        <v>30</v>
      </c>
      <c r="AF47" s="9">
        <v>0</v>
      </c>
      <c r="AG47" s="9">
        <v>20</v>
      </c>
      <c r="AH47" s="9">
        <v>0</v>
      </c>
      <c r="AI47" s="9">
        <v>0</v>
      </c>
      <c r="AJ47" s="9">
        <v>10</v>
      </c>
      <c r="AK47" s="9">
        <v>41</v>
      </c>
      <c r="AL47" s="9">
        <v>10</v>
      </c>
      <c r="AM47" s="9">
        <v>10</v>
      </c>
      <c r="AN47" s="9">
        <v>30</v>
      </c>
      <c r="AO47" s="9">
        <v>10</v>
      </c>
      <c r="AP47" s="9">
        <v>41</v>
      </c>
      <c r="AQ47" s="9">
        <v>20</v>
      </c>
      <c r="AR47" s="9">
        <v>71</v>
      </c>
      <c r="AS47" s="9">
        <v>20</v>
      </c>
      <c r="AT47" s="9">
        <v>61</v>
      </c>
      <c r="AU47" s="9">
        <v>20</v>
      </c>
      <c r="AV47" s="9">
        <v>0</v>
      </c>
      <c r="AW47" s="9">
        <v>10</v>
      </c>
      <c r="AX47" s="9">
        <v>10</v>
      </c>
      <c r="AY47" s="9">
        <v>30</v>
      </c>
      <c r="AZ47" s="9">
        <v>85</v>
      </c>
      <c r="BA47" s="10">
        <v>127.21999999999998</v>
      </c>
      <c r="BB47" s="11">
        <v>42636.959999999999</v>
      </c>
      <c r="BC47" s="11">
        <v>26334.59</v>
      </c>
      <c r="BD47" s="11">
        <v>20064.45</v>
      </c>
      <c r="BE47" s="11">
        <v>23826.53</v>
      </c>
      <c r="BF47" s="11">
        <v>12540.28</v>
      </c>
      <c r="BG47" s="11">
        <v>43000</v>
      </c>
      <c r="BH47" s="11">
        <v>18750</v>
      </c>
      <c r="BI47" s="11">
        <v>10273</v>
      </c>
      <c r="BJ47" s="11">
        <v>23878</v>
      </c>
      <c r="BK47" s="11">
        <v>22162</v>
      </c>
      <c r="BL47" s="11">
        <v>5741</v>
      </c>
      <c r="BM47" s="11">
        <v>5321</v>
      </c>
      <c r="BN47" s="11">
        <v>1902</v>
      </c>
      <c r="BO47" s="9">
        <v>38000</v>
      </c>
      <c r="BP47" s="9">
        <v>4423</v>
      </c>
    </row>
    <row r="48" spans="1:68" x14ac:dyDescent="0.3">
      <c r="A48" s="7">
        <v>45338</v>
      </c>
      <c r="B48" s="7" t="str">
        <f t="shared" si="0"/>
        <v>FEBRUARY</v>
      </c>
      <c r="C48" s="8">
        <f>MONTH(Data!$A48)</f>
        <v>2</v>
      </c>
      <c r="D48" s="9">
        <v>724</v>
      </c>
      <c r="E48" s="9">
        <v>1028</v>
      </c>
      <c r="F48" s="9">
        <v>144</v>
      </c>
      <c r="G48" s="9">
        <v>407</v>
      </c>
      <c r="H48" s="9">
        <v>173</v>
      </c>
      <c r="I48" s="9">
        <v>205</v>
      </c>
      <c r="J48" s="9">
        <v>752</v>
      </c>
      <c r="K48" s="9">
        <v>71</v>
      </c>
      <c r="L48" s="9">
        <v>188</v>
      </c>
      <c r="M48" s="9">
        <v>116</v>
      </c>
      <c r="N48" s="9">
        <v>49</v>
      </c>
      <c r="O48" s="9">
        <v>22</v>
      </c>
      <c r="P48" s="9">
        <v>40</v>
      </c>
      <c r="Q48" s="9">
        <v>143</v>
      </c>
      <c r="R48" s="9">
        <v>22</v>
      </c>
      <c r="S48" s="9">
        <v>30</v>
      </c>
      <c r="T48" s="9">
        <v>30</v>
      </c>
      <c r="U48" s="9">
        <v>84</v>
      </c>
      <c r="V48" s="9">
        <v>71</v>
      </c>
      <c r="W48" s="9">
        <v>30</v>
      </c>
      <c r="X48" s="9">
        <v>61</v>
      </c>
      <c r="Y48" s="9">
        <v>10</v>
      </c>
      <c r="Z48" s="9">
        <v>92</v>
      </c>
      <c r="AA48" s="9">
        <v>61</v>
      </c>
      <c r="AB48" s="9">
        <v>20</v>
      </c>
      <c r="AC48" s="9">
        <v>10</v>
      </c>
      <c r="AD48" s="9">
        <v>30</v>
      </c>
      <c r="AE48" s="9">
        <v>20</v>
      </c>
      <c r="AF48" s="9">
        <v>0</v>
      </c>
      <c r="AG48" s="9">
        <v>10</v>
      </c>
      <c r="AH48" s="9">
        <v>10</v>
      </c>
      <c r="AI48" s="9">
        <v>30</v>
      </c>
      <c r="AJ48" s="9">
        <v>10</v>
      </c>
      <c r="AK48" s="9">
        <v>41</v>
      </c>
      <c r="AL48" s="9">
        <v>51</v>
      </c>
      <c r="AM48" s="9">
        <v>30</v>
      </c>
      <c r="AN48" s="9">
        <v>0</v>
      </c>
      <c r="AO48" s="9">
        <v>10</v>
      </c>
      <c r="AP48" s="9">
        <v>10</v>
      </c>
      <c r="AQ48" s="9">
        <v>30</v>
      </c>
      <c r="AR48" s="9">
        <v>71</v>
      </c>
      <c r="AS48" s="9">
        <v>20</v>
      </c>
      <c r="AT48" s="9">
        <v>71</v>
      </c>
      <c r="AU48" s="9">
        <v>51</v>
      </c>
      <c r="AV48" s="9">
        <v>0</v>
      </c>
      <c r="AW48" s="9">
        <v>20</v>
      </c>
      <c r="AX48" s="9">
        <v>30</v>
      </c>
      <c r="AY48" s="9">
        <v>10</v>
      </c>
      <c r="AZ48" s="9">
        <v>118</v>
      </c>
      <c r="BA48" s="10">
        <v>130.83000000000001</v>
      </c>
      <c r="BB48" s="11">
        <v>40706.57</v>
      </c>
      <c r="BC48" s="11">
        <v>17809.13</v>
      </c>
      <c r="BD48" s="11">
        <v>21625.37</v>
      </c>
      <c r="BE48" s="11">
        <v>19081.21</v>
      </c>
      <c r="BF48" s="11">
        <v>27985.77</v>
      </c>
      <c r="BG48" s="11">
        <v>43000</v>
      </c>
      <c r="BH48" s="11">
        <v>18750</v>
      </c>
      <c r="BI48" s="11">
        <v>10273</v>
      </c>
      <c r="BJ48" s="11">
        <v>23878</v>
      </c>
      <c r="BK48" s="11">
        <v>22162</v>
      </c>
      <c r="BL48" s="11">
        <v>5741</v>
      </c>
      <c r="BM48" s="11">
        <v>5321</v>
      </c>
      <c r="BN48" s="11">
        <v>1902</v>
      </c>
      <c r="BO48" s="9">
        <v>38000</v>
      </c>
      <c r="BP48" s="9">
        <v>8522</v>
      </c>
    </row>
    <row r="49" spans="1:68" x14ac:dyDescent="0.3">
      <c r="A49" s="7">
        <v>45339</v>
      </c>
      <c r="B49" s="7" t="str">
        <f t="shared" si="0"/>
        <v>FEBRUARY</v>
      </c>
      <c r="C49" s="8">
        <f>MONTH(Data!$A49)</f>
        <v>2</v>
      </c>
      <c r="D49" s="9">
        <v>702</v>
      </c>
      <c r="E49" s="9">
        <v>1012</v>
      </c>
      <c r="F49" s="9">
        <v>161</v>
      </c>
      <c r="G49" s="9">
        <v>415</v>
      </c>
      <c r="H49" s="9">
        <v>126</v>
      </c>
      <c r="I49" s="9">
        <v>232</v>
      </c>
      <c r="J49" s="9">
        <v>689</v>
      </c>
      <c r="K49" s="9">
        <v>91</v>
      </c>
      <c r="L49" s="9">
        <v>169</v>
      </c>
      <c r="M49" s="9">
        <v>95</v>
      </c>
      <c r="N49" s="9">
        <v>47</v>
      </c>
      <c r="O49" s="9">
        <v>60</v>
      </c>
      <c r="P49" s="9">
        <v>21</v>
      </c>
      <c r="Q49" s="9">
        <v>133</v>
      </c>
      <c r="R49" s="9">
        <v>93</v>
      </c>
      <c r="S49" s="9">
        <v>32</v>
      </c>
      <c r="T49" s="9">
        <v>37</v>
      </c>
      <c r="U49" s="9">
        <v>15</v>
      </c>
      <c r="V49" s="9">
        <v>111</v>
      </c>
      <c r="W49" s="9">
        <v>30</v>
      </c>
      <c r="X49" s="9">
        <v>60</v>
      </c>
      <c r="Y49" s="9">
        <v>0</v>
      </c>
      <c r="Z49" s="9">
        <v>109</v>
      </c>
      <c r="AA49" s="9">
        <v>80</v>
      </c>
      <c r="AB49" s="9">
        <v>20</v>
      </c>
      <c r="AC49" s="9">
        <v>30</v>
      </c>
      <c r="AD49" s="9">
        <v>60</v>
      </c>
      <c r="AE49" s="9">
        <v>20</v>
      </c>
      <c r="AF49" s="9">
        <v>0</v>
      </c>
      <c r="AG49" s="9">
        <v>20</v>
      </c>
      <c r="AH49" s="9">
        <v>20</v>
      </c>
      <c r="AI49" s="9">
        <v>30</v>
      </c>
      <c r="AJ49" s="9">
        <v>0</v>
      </c>
      <c r="AK49" s="9">
        <v>101</v>
      </c>
      <c r="AL49" s="9">
        <v>10</v>
      </c>
      <c r="AM49" s="9">
        <v>30</v>
      </c>
      <c r="AN49" s="9">
        <v>0</v>
      </c>
      <c r="AO49" s="9">
        <v>0</v>
      </c>
      <c r="AP49" s="9">
        <v>0</v>
      </c>
      <c r="AQ49" s="9">
        <v>10</v>
      </c>
      <c r="AR49" s="9">
        <v>101</v>
      </c>
      <c r="AS49" s="9">
        <v>10</v>
      </c>
      <c r="AT49" s="9">
        <v>70</v>
      </c>
      <c r="AU49" s="9">
        <v>40</v>
      </c>
      <c r="AV49" s="9">
        <v>0</v>
      </c>
      <c r="AW49" s="9">
        <v>20</v>
      </c>
      <c r="AX49" s="9">
        <v>0</v>
      </c>
      <c r="AY49" s="9">
        <v>30</v>
      </c>
      <c r="AZ49" s="9">
        <v>0</v>
      </c>
      <c r="BA49" s="10">
        <v>137.06</v>
      </c>
      <c r="BB49" s="11">
        <v>45792.480000000003</v>
      </c>
      <c r="BC49" s="11">
        <v>23550.42</v>
      </c>
      <c r="BD49" s="11">
        <v>13083.56</v>
      </c>
      <c r="BE49" s="11">
        <v>22242.06</v>
      </c>
      <c r="BF49" s="11">
        <v>26167.13</v>
      </c>
      <c r="BG49" s="11">
        <v>43000</v>
      </c>
      <c r="BH49" s="11">
        <v>18750</v>
      </c>
      <c r="BI49" s="11">
        <v>10273</v>
      </c>
      <c r="BJ49" s="11">
        <v>23878</v>
      </c>
      <c r="BK49" s="11">
        <v>22162</v>
      </c>
      <c r="BL49" s="11">
        <v>5741</v>
      </c>
      <c r="BM49" s="11">
        <v>5321</v>
      </c>
      <c r="BN49" s="11">
        <v>1902</v>
      </c>
      <c r="BO49" s="9">
        <v>38000</v>
      </c>
      <c r="BP49" s="9">
        <v>4410</v>
      </c>
    </row>
    <row r="50" spans="1:68" x14ac:dyDescent="0.3">
      <c r="A50" s="7">
        <v>45340</v>
      </c>
      <c r="B50" s="7" t="str">
        <f t="shared" si="0"/>
        <v>FEBRUARY</v>
      </c>
      <c r="C50" s="8">
        <f>MONTH(Data!$A50)</f>
        <v>2</v>
      </c>
      <c r="D50" s="9">
        <v>678</v>
      </c>
      <c r="E50" s="9">
        <v>987</v>
      </c>
      <c r="F50" s="9">
        <v>311</v>
      </c>
      <c r="G50" s="9">
        <v>259</v>
      </c>
      <c r="H50" s="9">
        <v>108</v>
      </c>
      <c r="I50" s="9">
        <v>276</v>
      </c>
      <c r="J50" s="9">
        <v>593</v>
      </c>
      <c r="K50" s="9">
        <v>118</v>
      </c>
      <c r="L50" s="9">
        <v>214</v>
      </c>
      <c r="M50" s="9">
        <v>121</v>
      </c>
      <c r="N50" s="9">
        <v>50</v>
      </c>
      <c r="O50" s="9">
        <v>29</v>
      </c>
      <c r="P50" s="9">
        <v>29</v>
      </c>
      <c r="Q50" s="9">
        <v>87</v>
      </c>
      <c r="R50" s="9">
        <v>51</v>
      </c>
      <c r="S50" s="9">
        <v>36</v>
      </c>
      <c r="T50" s="9">
        <v>30</v>
      </c>
      <c r="U50" s="9">
        <v>31</v>
      </c>
      <c r="V50" s="9">
        <v>128</v>
      </c>
      <c r="W50" s="9">
        <v>9</v>
      </c>
      <c r="X50" s="9">
        <v>29</v>
      </c>
      <c r="Y50" s="9">
        <v>29</v>
      </c>
      <c r="Z50" s="9">
        <v>108</v>
      </c>
      <c r="AA50" s="9">
        <v>69</v>
      </c>
      <c r="AB50" s="9">
        <v>9</v>
      </c>
      <c r="AC50" s="9">
        <v>0</v>
      </c>
      <c r="AD50" s="9">
        <v>19</v>
      </c>
      <c r="AE50" s="9">
        <v>0</v>
      </c>
      <c r="AF50" s="9">
        <v>0</v>
      </c>
      <c r="AG50" s="9">
        <v>49</v>
      </c>
      <c r="AH50" s="9">
        <v>29</v>
      </c>
      <c r="AI50" s="9">
        <v>19</v>
      </c>
      <c r="AJ50" s="9">
        <v>29</v>
      </c>
      <c r="AK50" s="9">
        <v>98</v>
      </c>
      <c r="AL50" s="9">
        <v>49</v>
      </c>
      <c r="AM50" s="9">
        <v>9</v>
      </c>
      <c r="AN50" s="9">
        <v>29</v>
      </c>
      <c r="AO50" s="9">
        <v>0</v>
      </c>
      <c r="AP50" s="9">
        <v>0</v>
      </c>
      <c r="AQ50" s="9">
        <v>29</v>
      </c>
      <c r="AR50" s="9">
        <v>69</v>
      </c>
      <c r="AS50" s="9">
        <v>19</v>
      </c>
      <c r="AT50" s="9">
        <v>59</v>
      </c>
      <c r="AU50" s="9">
        <v>29</v>
      </c>
      <c r="AV50" s="9">
        <v>9</v>
      </c>
      <c r="AW50" s="9">
        <v>19</v>
      </c>
      <c r="AX50" s="9">
        <v>9</v>
      </c>
      <c r="AY50" s="9">
        <v>29</v>
      </c>
      <c r="AZ50" s="9">
        <v>5</v>
      </c>
      <c r="BA50" s="10">
        <v>144.49</v>
      </c>
      <c r="BB50" s="11">
        <v>46600.43</v>
      </c>
      <c r="BC50" s="11">
        <v>34265.03</v>
      </c>
      <c r="BD50" s="11">
        <v>20559.02</v>
      </c>
      <c r="BE50" s="11">
        <v>32894.42</v>
      </c>
      <c r="BF50" s="11">
        <v>2741.2</v>
      </c>
      <c r="BG50" s="11">
        <v>43000</v>
      </c>
      <c r="BH50" s="11">
        <v>18750</v>
      </c>
      <c r="BI50" s="11">
        <v>10273</v>
      </c>
      <c r="BJ50" s="11">
        <v>23878</v>
      </c>
      <c r="BK50" s="11">
        <v>22162</v>
      </c>
      <c r="BL50" s="11">
        <v>5741</v>
      </c>
      <c r="BM50" s="11">
        <v>5321</v>
      </c>
      <c r="BN50" s="11">
        <v>1902</v>
      </c>
      <c r="BO50" s="9">
        <v>38000</v>
      </c>
      <c r="BP50" s="9">
        <v>2269</v>
      </c>
    </row>
    <row r="51" spans="1:68" x14ac:dyDescent="0.3">
      <c r="A51" s="7">
        <v>45341</v>
      </c>
      <c r="B51" s="7" t="str">
        <f t="shared" si="0"/>
        <v>FEBRUARY</v>
      </c>
      <c r="C51" s="8">
        <f>MONTH(Data!$A51)</f>
        <v>2</v>
      </c>
      <c r="D51" s="9">
        <v>671</v>
      </c>
      <c r="E51" s="9">
        <v>954</v>
      </c>
      <c r="F51" s="9">
        <v>241</v>
      </c>
      <c r="G51" s="9">
        <v>350</v>
      </c>
      <c r="H51" s="9">
        <v>80</v>
      </c>
      <c r="I51" s="9">
        <v>276</v>
      </c>
      <c r="J51" s="9">
        <v>507</v>
      </c>
      <c r="K51" s="9">
        <v>171</v>
      </c>
      <c r="L51" s="9">
        <v>141</v>
      </c>
      <c r="M51" s="9">
        <v>124</v>
      </c>
      <c r="N51" s="9">
        <v>37</v>
      </c>
      <c r="O51" s="9">
        <v>58</v>
      </c>
      <c r="P51" s="9">
        <v>33</v>
      </c>
      <c r="Q51" s="9">
        <v>112</v>
      </c>
      <c r="R51" s="9">
        <v>79</v>
      </c>
      <c r="S51" s="9">
        <v>35</v>
      </c>
      <c r="T51" s="9">
        <v>20</v>
      </c>
      <c r="U51" s="9">
        <v>32</v>
      </c>
      <c r="V51" s="9">
        <v>95</v>
      </c>
      <c r="W51" s="9">
        <v>28</v>
      </c>
      <c r="X51" s="9">
        <v>57</v>
      </c>
      <c r="Y51" s="9">
        <v>28</v>
      </c>
      <c r="Z51" s="9">
        <v>21</v>
      </c>
      <c r="AA51" s="9">
        <v>57</v>
      </c>
      <c r="AB51" s="9">
        <v>19</v>
      </c>
      <c r="AC51" s="9">
        <v>9</v>
      </c>
      <c r="AD51" s="9">
        <v>38</v>
      </c>
      <c r="AE51" s="9">
        <v>28</v>
      </c>
      <c r="AF51" s="9">
        <v>9</v>
      </c>
      <c r="AG51" s="9">
        <v>38</v>
      </c>
      <c r="AH51" s="9">
        <v>9</v>
      </c>
      <c r="AI51" s="9">
        <v>19</v>
      </c>
      <c r="AJ51" s="9">
        <v>19</v>
      </c>
      <c r="AK51" s="9">
        <v>47</v>
      </c>
      <c r="AL51" s="9">
        <v>66</v>
      </c>
      <c r="AM51" s="9">
        <v>19</v>
      </c>
      <c r="AN51" s="9">
        <v>28</v>
      </c>
      <c r="AO51" s="9">
        <v>9</v>
      </c>
      <c r="AP51" s="9">
        <v>0</v>
      </c>
      <c r="AQ51" s="9">
        <v>19</v>
      </c>
      <c r="AR51" s="9">
        <v>104</v>
      </c>
      <c r="AS51" s="9">
        <v>28</v>
      </c>
      <c r="AT51" s="9">
        <v>85</v>
      </c>
      <c r="AU51" s="9">
        <v>9</v>
      </c>
      <c r="AV51" s="9">
        <v>0</v>
      </c>
      <c r="AW51" s="9">
        <v>57</v>
      </c>
      <c r="AX51" s="9">
        <v>9</v>
      </c>
      <c r="AY51" s="9">
        <v>0</v>
      </c>
      <c r="AZ51" s="9">
        <v>0</v>
      </c>
      <c r="BA51" s="10">
        <v>154.33000000000001</v>
      </c>
      <c r="BB51" s="11">
        <v>37568.839999999997</v>
      </c>
      <c r="BC51" s="11">
        <v>26009.200000000001</v>
      </c>
      <c r="BD51" s="11">
        <v>15894.51</v>
      </c>
      <c r="BE51" s="11">
        <v>13004.6</v>
      </c>
      <c r="BF51" s="11">
        <v>52018.400000000001</v>
      </c>
      <c r="BG51" s="11">
        <v>43000</v>
      </c>
      <c r="BH51" s="11">
        <v>18750</v>
      </c>
      <c r="BI51" s="11">
        <v>10273</v>
      </c>
      <c r="BJ51" s="11">
        <v>23878</v>
      </c>
      <c r="BK51" s="11">
        <v>22162</v>
      </c>
      <c r="BL51" s="11">
        <v>5741</v>
      </c>
      <c r="BM51" s="11">
        <v>5321</v>
      </c>
      <c r="BN51" s="11">
        <v>1902</v>
      </c>
      <c r="BO51" s="9">
        <v>38000</v>
      </c>
      <c r="BP51" s="9">
        <v>1198</v>
      </c>
    </row>
    <row r="52" spans="1:68" x14ac:dyDescent="0.3">
      <c r="A52" s="7">
        <v>45342</v>
      </c>
      <c r="B52" s="7" t="str">
        <f t="shared" si="0"/>
        <v>FEBRUARY</v>
      </c>
      <c r="C52" s="8">
        <f>MONTH(Data!$A52)</f>
        <v>2</v>
      </c>
      <c r="D52" s="9">
        <v>669</v>
      </c>
      <c r="E52" s="9">
        <v>931</v>
      </c>
      <c r="F52" s="9">
        <v>200</v>
      </c>
      <c r="G52" s="9">
        <v>389</v>
      </c>
      <c r="H52" s="9">
        <v>80</v>
      </c>
      <c r="I52" s="9">
        <v>363</v>
      </c>
      <c r="J52" s="9">
        <v>364</v>
      </c>
      <c r="K52" s="9">
        <v>204</v>
      </c>
      <c r="L52" s="9">
        <v>203</v>
      </c>
      <c r="M52" s="9">
        <v>132</v>
      </c>
      <c r="N52" s="9">
        <v>33</v>
      </c>
      <c r="O52" s="9">
        <v>29</v>
      </c>
      <c r="P52" s="9">
        <v>29</v>
      </c>
      <c r="Q52" s="9">
        <v>94</v>
      </c>
      <c r="R52" s="9">
        <v>53</v>
      </c>
      <c r="S52" s="9">
        <v>35</v>
      </c>
      <c r="T52" s="9">
        <v>30</v>
      </c>
      <c r="U52" s="9">
        <v>31</v>
      </c>
      <c r="V52" s="9">
        <v>55</v>
      </c>
      <c r="W52" s="9">
        <v>27</v>
      </c>
      <c r="X52" s="9">
        <v>27</v>
      </c>
      <c r="Y52" s="9">
        <v>9</v>
      </c>
      <c r="Z52" s="9">
        <v>74</v>
      </c>
      <c r="AA52" s="9">
        <v>65</v>
      </c>
      <c r="AB52" s="9">
        <v>0</v>
      </c>
      <c r="AC52" s="9">
        <v>9</v>
      </c>
      <c r="AD52" s="9">
        <v>37</v>
      </c>
      <c r="AE52" s="9">
        <v>27</v>
      </c>
      <c r="AF52" s="9">
        <v>0</v>
      </c>
      <c r="AG52" s="9">
        <v>18</v>
      </c>
      <c r="AH52" s="9">
        <v>27</v>
      </c>
      <c r="AI52" s="9">
        <v>0</v>
      </c>
      <c r="AJ52" s="9">
        <v>27</v>
      </c>
      <c r="AK52" s="9">
        <v>55</v>
      </c>
      <c r="AL52" s="9">
        <v>37</v>
      </c>
      <c r="AM52" s="9">
        <v>9</v>
      </c>
      <c r="AN52" s="9">
        <v>9</v>
      </c>
      <c r="AO52" s="9">
        <v>0</v>
      </c>
      <c r="AP52" s="9">
        <v>9</v>
      </c>
      <c r="AQ52" s="9">
        <v>27</v>
      </c>
      <c r="AR52" s="9">
        <v>93</v>
      </c>
      <c r="AS52" s="9">
        <v>9</v>
      </c>
      <c r="AT52" s="9">
        <v>46</v>
      </c>
      <c r="AU52" s="9">
        <v>37</v>
      </c>
      <c r="AV52" s="9">
        <v>9</v>
      </c>
      <c r="AW52" s="9">
        <v>46</v>
      </c>
      <c r="AX52" s="9">
        <v>37</v>
      </c>
      <c r="AY52" s="9">
        <v>37</v>
      </c>
      <c r="AZ52" s="9">
        <v>69</v>
      </c>
      <c r="BA52" s="10">
        <v>164.38000000000002</v>
      </c>
      <c r="BB52" s="11">
        <v>40125.879999999997</v>
      </c>
      <c r="BC52" s="11">
        <v>26236.16</v>
      </c>
      <c r="BD52" s="11">
        <v>29322.76</v>
      </c>
      <c r="BE52" s="11">
        <v>38582.58</v>
      </c>
      <c r="BF52" s="11">
        <v>20062.939999999999</v>
      </c>
      <c r="BG52" s="11">
        <v>43000</v>
      </c>
      <c r="BH52" s="11">
        <v>18750</v>
      </c>
      <c r="BI52" s="11">
        <v>10273</v>
      </c>
      <c r="BJ52" s="11">
        <v>23878</v>
      </c>
      <c r="BK52" s="11">
        <v>22162</v>
      </c>
      <c r="BL52" s="11">
        <v>5741</v>
      </c>
      <c r="BM52" s="11">
        <v>5321</v>
      </c>
      <c r="BN52" s="11">
        <v>1902</v>
      </c>
      <c r="BO52" s="9">
        <v>38000</v>
      </c>
      <c r="BP52" s="9">
        <v>2244</v>
      </c>
    </row>
    <row r="53" spans="1:68" x14ac:dyDescent="0.3">
      <c r="A53" s="7">
        <v>45343</v>
      </c>
      <c r="B53" s="7" t="str">
        <f t="shared" si="0"/>
        <v>FEBRUARY</v>
      </c>
      <c r="C53" s="8">
        <f>MONTH(Data!$A53)</f>
        <v>2</v>
      </c>
      <c r="D53" s="9">
        <v>676</v>
      </c>
      <c r="E53" s="9">
        <v>918</v>
      </c>
      <c r="F53" s="9">
        <v>344</v>
      </c>
      <c r="G53" s="9">
        <v>184</v>
      </c>
      <c r="H53" s="9">
        <v>148</v>
      </c>
      <c r="I53" s="9">
        <v>459</v>
      </c>
      <c r="J53" s="9">
        <v>239</v>
      </c>
      <c r="K53" s="9">
        <v>220</v>
      </c>
      <c r="L53" s="9">
        <v>146</v>
      </c>
      <c r="M53" s="9">
        <v>46</v>
      </c>
      <c r="N53" s="9">
        <v>29</v>
      </c>
      <c r="O53" s="9">
        <v>29</v>
      </c>
      <c r="P53" s="9">
        <v>12</v>
      </c>
      <c r="Q53" s="9">
        <v>107</v>
      </c>
      <c r="R53" s="9">
        <v>53</v>
      </c>
      <c r="S53" s="9">
        <v>38</v>
      </c>
      <c r="T53" s="9">
        <v>15</v>
      </c>
      <c r="U53" s="9">
        <v>201</v>
      </c>
      <c r="V53" s="9">
        <v>45</v>
      </c>
      <c r="W53" s="9">
        <v>9</v>
      </c>
      <c r="X53" s="9">
        <v>36</v>
      </c>
      <c r="Y53" s="9">
        <v>27</v>
      </c>
      <c r="Z53" s="9">
        <v>94</v>
      </c>
      <c r="AA53" s="9">
        <v>73</v>
      </c>
      <c r="AB53" s="9">
        <v>18</v>
      </c>
      <c r="AC53" s="9">
        <v>27</v>
      </c>
      <c r="AD53" s="9">
        <v>18</v>
      </c>
      <c r="AE53" s="9">
        <v>0</v>
      </c>
      <c r="AF53" s="9">
        <v>0</v>
      </c>
      <c r="AG53" s="9">
        <v>9</v>
      </c>
      <c r="AH53" s="9">
        <v>18</v>
      </c>
      <c r="AI53" s="9">
        <v>27</v>
      </c>
      <c r="AJ53" s="9">
        <v>9</v>
      </c>
      <c r="AK53" s="9">
        <v>82</v>
      </c>
      <c r="AL53" s="9">
        <v>64</v>
      </c>
      <c r="AM53" s="9">
        <v>18</v>
      </c>
      <c r="AN53" s="9">
        <v>27</v>
      </c>
      <c r="AO53" s="9">
        <v>0</v>
      </c>
      <c r="AP53" s="9">
        <v>27</v>
      </c>
      <c r="AQ53" s="9">
        <v>36</v>
      </c>
      <c r="AR53" s="9">
        <v>73</v>
      </c>
      <c r="AS53" s="9">
        <v>18</v>
      </c>
      <c r="AT53" s="9">
        <v>27</v>
      </c>
      <c r="AU53" s="9">
        <v>18</v>
      </c>
      <c r="AV53" s="9">
        <v>9</v>
      </c>
      <c r="AW53" s="9">
        <v>55</v>
      </c>
      <c r="AX53" s="9">
        <v>18</v>
      </c>
      <c r="AY53" s="9">
        <v>36</v>
      </c>
      <c r="AZ53" s="9">
        <v>0</v>
      </c>
      <c r="BA53" s="10">
        <v>171.88</v>
      </c>
      <c r="BB53" s="11">
        <v>42738.42</v>
      </c>
      <c r="BC53" s="11">
        <v>29588.14</v>
      </c>
      <c r="BD53" s="11">
        <v>34519.49</v>
      </c>
      <c r="BE53" s="11">
        <v>34519.49</v>
      </c>
      <c r="BF53" s="11">
        <v>23013</v>
      </c>
      <c r="BG53" s="11">
        <v>43000</v>
      </c>
      <c r="BH53" s="11">
        <v>18750</v>
      </c>
      <c r="BI53" s="11">
        <v>5273</v>
      </c>
      <c r="BJ53" s="11">
        <v>25641</v>
      </c>
      <c r="BK53" s="11">
        <v>22162</v>
      </c>
      <c r="BL53" s="11">
        <v>5741</v>
      </c>
      <c r="BM53" s="11">
        <v>5321</v>
      </c>
      <c r="BN53" s="11">
        <v>1902</v>
      </c>
      <c r="BO53" s="9">
        <v>38000</v>
      </c>
      <c r="BP53" s="9">
        <v>3672</v>
      </c>
    </row>
    <row r="54" spans="1:68" x14ac:dyDescent="0.3">
      <c r="A54" s="7">
        <v>45344</v>
      </c>
      <c r="B54" s="7" t="str">
        <f t="shared" si="0"/>
        <v>FEBRUARY</v>
      </c>
      <c r="C54" s="8">
        <f>MONTH(Data!$A54)</f>
        <v>2</v>
      </c>
      <c r="D54" s="9">
        <v>692</v>
      </c>
      <c r="E54" s="9">
        <v>915</v>
      </c>
      <c r="F54" s="9">
        <v>339</v>
      </c>
      <c r="G54" s="9">
        <v>229</v>
      </c>
      <c r="H54" s="9">
        <v>124</v>
      </c>
      <c r="I54" s="9">
        <v>256</v>
      </c>
      <c r="J54" s="9">
        <v>559</v>
      </c>
      <c r="K54" s="9">
        <v>100</v>
      </c>
      <c r="L54" s="9">
        <v>171</v>
      </c>
      <c r="M54" s="9">
        <v>34</v>
      </c>
      <c r="N54" s="9">
        <v>38</v>
      </c>
      <c r="O54" s="9">
        <v>25</v>
      </c>
      <c r="P54" s="9">
        <v>8</v>
      </c>
      <c r="Q54" s="9">
        <v>131</v>
      </c>
      <c r="R54" s="9">
        <v>44</v>
      </c>
      <c r="S54" s="9">
        <v>36</v>
      </c>
      <c r="T54" s="9">
        <v>36</v>
      </c>
      <c r="U54" s="9">
        <v>169</v>
      </c>
      <c r="V54" s="9">
        <v>73</v>
      </c>
      <c r="W54" s="9">
        <v>27</v>
      </c>
      <c r="X54" s="9">
        <v>27</v>
      </c>
      <c r="Y54" s="9">
        <v>27</v>
      </c>
      <c r="Z54" s="9">
        <v>64</v>
      </c>
      <c r="AA54" s="9">
        <v>82</v>
      </c>
      <c r="AB54" s="9">
        <v>27</v>
      </c>
      <c r="AC54" s="9">
        <v>9</v>
      </c>
      <c r="AD54" s="9">
        <v>36</v>
      </c>
      <c r="AE54" s="9">
        <v>18</v>
      </c>
      <c r="AF54" s="9">
        <v>9</v>
      </c>
      <c r="AG54" s="9">
        <v>45</v>
      </c>
      <c r="AH54" s="9">
        <v>18</v>
      </c>
      <c r="AI54" s="9">
        <v>18</v>
      </c>
      <c r="AJ54" s="9">
        <v>18</v>
      </c>
      <c r="AK54" s="9">
        <v>73</v>
      </c>
      <c r="AL54" s="9">
        <v>18</v>
      </c>
      <c r="AM54" s="9">
        <v>9</v>
      </c>
      <c r="AN54" s="9">
        <v>27</v>
      </c>
      <c r="AO54" s="9">
        <v>0</v>
      </c>
      <c r="AP54" s="9">
        <v>9</v>
      </c>
      <c r="AQ54" s="9">
        <v>9</v>
      </c>
      <c r="AR54" s="9">
        <v>91</v>
      </c>
      <c r="AS54" s="9">
        <v>9</v>
      </c>
      <c r="AT54" s="9">
        <v>64</v>
      </c>
      <c r="AU54" s="9">
        <v>9</v>
      </c>
      <c r="AV54" s="9">
        <v>9</v>
      </c>
      <c r="AW54" s="9">
        <v>27</v>
      </c>
      <c r="AX54" s="9">
        <v>36</v>
      </c>
      <c r="AY54" s="9">
        <v>0</v>
      </c>
      <c r="AZ54" s="9">
        <v>27</v>
      </c>
      <c r="BA54" s="10">
        <v>177.49</v>
      </c>
      <c r="BB54" s="11">
        <v>46406.04</v>
      </c>
      <c r="BC54" s="11">
        <v>22343.65</v>
      </c>
      <c r="BD54" s="11">
        <v>18906.16</v>
      </c>
      <c r="BE54" s="11">
        <v>15468.68</v>
      </c>
      <c r="BF54" s="11">
        <v>68749.679999999993</v>
      </c>
      <c r="BG54" s="11">
        <v>43000</v>
      </c>
      <c r="BH54" s="11">
        <v>18750</v>
      </c>
      <c r="BI54" s="11">
        <v>10273</v>
      </c>
      <c r="BJ54" s="11">
        <v>25641</v>
      </c>
      <c r="BK54" s="11">
        <v>22162</v>
      </c>
      <c r="BL54" s="11">
        <v>5741</v>
      </c>
      <c r="BM54" s="11">
        <v>5321</v>
      </c>
      <c r="BN54" s="11">
        <v>1902</v>
      </c>
      <c r="BO54" s="9">
        <v>38000</v>
      </c>
      <c r="BP54" s="9">
        <v>1092</v>
      </c>
    </row>
    <row r="55" spans="1:68" x14ac:dyDescent="0.3">
      <c r="A55" s="7">
        <v>45345</v>
      </c>
      <c r="B55" s="7" t="str">
        <f t="shared" si="0"/>
        <v>FEBRUARY</v>
      </c>
      <c r="C55" s="8">
        <f>MONTH(Data!$A55)</f>
        <v>2</v>
      </c>
      <c r="D55" s="9">
        <v>706</v>
      </c>
      <c r="E55" s="9">
        <v>921</v>
      </c>
      <c r="F55" s="9">
        <v>218</v>
      </c>
      <c r="G55" s="9">
        <v>347</v>
      </c>
      <c r="H55" s="9">
        <v>141</v>
      </c>
      <c r="I55" s="9">
        <v>488</v>
      </c>
      <c r="J55" s="9">
        <v>369</v>
      </c>
      <c r="K55" s="9">
        <v>64</v>
      </c>
      <c r="L55" s="9">
        <v>214</v>
      </c>
      <c r="M55" s="9">
        <v>109</v>
      </c>
      <c r="N55" s="9">
        <v>65</v>
      </c>
      <c r="O55" s="9">
        <v>39</v>
      </c>
      <c r="P55" s="9">
        <v>21</v>
      </c>
      <c r="Q55" s="9">
        <v>107</v>
      </c>
      <c r="R55" s="9">
        <v>64</v>
      </c>
      <c r="S55" s="9">
        <v>40</v>
      </c>
      <c r="T55" s="9">
        <v>16</v>
      </c>
      <c r="U55" s="9">
        <v>31</v>
      </c>
      <c r="V55" s="9">
        <v>36</v>
      </c>
      <c r="W55" s="9">
        <v>27</v>
      </c>
      <c r="X55" s="9">
        <v>27</v>
      </c>
      <c r="Y55" s="9">
        <v>18</v>
      </c>
      <c r="Z55" s="9">
        <v>73</v>
      </c>
      <c r="AA55" s="9">
        <v>55</v>
      </c>
      <c r="AB55" s="9">
        <v>0</v>
      </c>
      <c r="AC55" s="9">
        <v>27</v>
      </c>
      <c r="AD55" s="9">
        <v>36</v>
      </c>
      <c r="AE55" s="9">
        <v>27</v>
      </c>
      <c r="AF55" s="9">
        <v>0</v>
      </c>
      <c r="AG55" s="9">
        <v>46</v>
      </c>
      <c r="AH55" s="9">
        <v>18</v>
      </c>
      <c r="AI55" s="9">
        <v>0</v>
      </c>
      <c r="AJ55" s="9">
        <v>18</v>
      </c>
      <c r="AK55" s="9">
        <v>46</v>
      </c>
      <c r="AL55" s="9">
        <v>18</v>
      </c>
      <c r="AM55" s="9">
        <v>46</v>
      </c>
      <c r="AN55" s="9">
        <v>18</v>
      </c>
      <c r="AO55" s="9">
        <v>0</v>
      </c>
      <c r="AP55" s="9">
        <v>18</v>
      </c>
      <c r="AQ55" s="9">
        <v>9</v>
      </c>
      <c r="AR55" s="9">
        <v>64</v>
      </c>
      <c r="AS55" s="9">
        <v>18</v>
      </c>
      <c r="AT55" s="9">
        <v>82</v>
      </c>
      <c r="AU55" s="9">
        <v>36</v>
      </c>
      <c r="AV55" s="9">
        <v>0</v>
      </c>
      <c r="AW55" s="9">
        <v>36</v>
      </c>
      <c r="AX55" s="9">
        <v>9</v>
      </c>
      <c r="AY55" s="9">
        <v>18</v>
      </c>
      <c r="AZ55" s="9">
        <v>95</v>
      </c>
      <c r="BA55" s="10">
        <v>180.71</v>
      </c>
      <c r="BB55" s="11">
        <v>58568</v>
      </c>
      <c r="BC55" s="11">
        <v>28396.61</v>
      </c>
      <c r="BD55" s="11">
        <v>17747.88</v>
      </c>
      <c r="BE55" s="11">
        <v>40820.120000000003</v>
      </c>
      <c r="BF55" s="11">
        <v>31946.18</v>
      </c>
      <c r="BG55" s="11">
        <v>43000</v>
      </c>
      <c r="BH55" s="11">
        <v>18750</v>
      </c>
      <c r="BI55" s="11">
        <v>10273</v>
      </c>
      <c r="BJ55" s="11">
        <v>25641</v>
      </c>
      <c r="BK55" s="11">
        <v>22162</v>
      </c>
      <c r="BL55" s="11">
        <v>5741</v>
      </c>
      <c r="BM55" s="11">
        <v>5321</v>
      </c>
      <c r="BN55" s="11">
        <v>1902</v>
      </c>
      <c r="BO55" s="9">
        <v>38000</v>
      </c>
      <c r="BP55" s="9">
        <v>4786</v>
      </c>
    </row>
    <row r="56" spans="1:68" x14ac:dyDescent="0.3">
      <c r="A56" s="7">
        <v>45346</v>
      </c>
      <c r="B56" s="7" t="str">
        <f t="shared" si="0"/>
        <v>FEBRUARY</v>
      </c>
      <c r="C56" s="8">
        <f>MONTH(Data!$A56)</f>
        <v>2</v>
      </c>
      <c r="D56" s="9">
        <v>711</v>
      </c>
      <c r="E56" s="9">
        <v>946</v>
      </c>
      <c r="F56" s="9">
        <v>163</v>
      </c>
      <c r="G56" s="9">
        <v>506</v>
      </c>
      <c r="H56" s="9">
        <v>42</v>
      </c>
      <c r="I56" s="9">
        <v>482</v>
      </c>
      <c r="J56" s="9">
        <v>275</v>
      </c>
      <c r="K56" s="9">
        <v>189</v>
      </c>
      <c r="L56" s="9">
        <v>154</v>
      </c>
      <c r="M56" s="9">
        <v>52</v>
      </c>
      <c r="N56" s="9">
        <v>61</v>
      </c>
      <c r="O56" s="9">
        <v>30</v>
      </c>
      <c r="P56" s="9">
        <v>13</v>
      </c>
      <c r="Q56" s="9">
        <v>143</v>
      </c>
      <c r="R56" s="9">
        <v>81</v>
      </c>
      <c r="S56" s="9">
        <v>35</v>
      </c>
      <c r="T56" s="9">
        <v>32</v>
      </c>
      <c r="U56" s="9">
        <v>110</v>
      </c>
      <c r="V56" s="9">
        <v>85</v>
      </c>
      <c r="W56" s="9">
        <v>0</v>
      </c>
      <c r="X56" s="9">
        <v>66</v>
      </c>
      <c r="Y56" s="9">
        <v>0</v>
      </c>
      <c r="Z56" s="9">
        <v>94</v>
      </c>
      <c r="AA56" s="9">
        <v>47</v>
      </c>
      <c r="AB56" s="9">
        <v>28</v>
      </c>
      <c r="AC56" s="9">
        <v>28</v>
      </c>
      <c r="AD56" s="9">
        <v>47</v>
      </c>
      <c r="AE56" s="9">
        <v>9</v>
      </c>
      <c r="AF56" s="9">
        <v>9</v>
      </c>
      <c r="AG56" s="9">
        <v>37</v>
      </c>
      <c r="AH56" s="9">
        <v>0</v>
      </c>
      <c r="AI56" s="9">
        <v>0</v>
      </c>
      <c r="AJ56" s="9">
        <v>0</v>
      </c>
      <c r="AK56" s="9">
        <v>37</v>
      </c>
      <c r="AL56" s="9">
        <v>28</v>
      </c>
      <c r="AM56" s="9">
        <v>28</v>
      </c>
      <c r="AN56" s="9">
        <v>9</v>
      </c>
      <c r="AO56" s="9">
        <v>9</v>
      </c>
      <c r="AP56" s="9">
        <v>28</v>
      </c>
      <c r="AQ56" s="9">
        <v>37</v>
      </c>
      <c r="AR56" s="9">
        <v>75</v>
      </c>
      <c r="AS56" s="9">
        <v>28</v>
      </c>
      <c r="AT56" s="9">
        <v>75</v>
      </c>
      <c r="AU56" s="9">
        <v>9</v>
      </c>
      <c r="AV56" s="9">
        <v>0</v>
      </c>
      <c r="AW56" s="9">
        <v>28</v>
      </c>
      <c r="AX56" s="9">
        <v>0</v>
      </c>
      <c r="AY56" s="9">
        <v>37</v>
      </c>
      <c r="AZ56" s="9">
        <v>68</v>
      </c>
      <c r="BA56" s="10">
        <v>181.53</v>
      </c>
      <c r="BB56" s="11">
        <v>46986.03</v>
      </c>
      <c r="BC56" s="11">
        <v>43371.72</v>
      </c>
      <c r="BD56" s="11">
        <v>41564.559999999998</v>
      </c>
      <c r="BE56" s="11">
        <v>41564.559999999998</v>
      </c>
      <c r="BF56" s="11">
        <v>7228.62</v>
      </c>
      <c r="BG56" s="11">
        <v>43000</v>
      </c>
      <c r="BH56" s="11">
        <v>18750</v>
      </c>
      <c r="BI56" s="11">
        <v>10273</v>
      </c>
      <c r="BJ56" s="11">
        <v>25641</v>
      </c>
      <c r="BK56" s="11">
        <v>22162</v>
      </c>
      <c r="BL56" s="11">
        <v>5741</v>
      </c>
      <c r="BM56" s="11">
        <v>5321</v>
      </c>
      <c r="BN56" s="11">
        <v>1902</v>
      </c>
      <c r="BO56" s="9">
        <v>38000</v>
      </c>
      <c r="BP56" s="9">
        <v>1837</v>
      </c>
    </row>
    <row r="57" spans="1:68" x14ac:dyDescent="0.3">
      <c r="A57" s="7">
        <v>45347</v>
      </c>
      <c r="B57" s="7" t="str">
        <f t="shared" si="0"/>
        <v>FEBRUARY</v>
      </c>
      <c r="C57" s="8">
        <f>MONTH(Data!$A57)</f>
        <v>2</v>
      </c>
      <c r="D57" s="9">
        <v>708</v>
      </c>
      <c r="E57" s="9">
        <v>978</v>
      </c>
      <c r="F57" s="9">
        <v>162</v>
      </c>
      <c r="G57" s="9">
        <v>412</v>
      </c>
      <c r="H57" s="9">
        <v>134</v>
      </c>
      <c r="I57" s="9">
        <v>195</v>
      </c>
      <c r="J57" s="9">
        <v>607</v>
      </c>
      <c r="K57" s="9">
        <v>176</v>
      </c>
      <c r="L57" s="9">
        <v>153</v>
      </c>
      <c r="M57" s="9">
        <v>144</v>
      </c>
      <c r="N57" s="9">
        <v>35</v>
      </c>
      <c r="O57" s="9">
        <v>57</v>
      </c>
      <c r="P57" s="9">
        <v>30</v>
      </c>
      <c r="Q57" s="9">
        <v>145</v>
      </c>
      <c r="R57" s="9">
        <v>67</v>
      </c>
      <c r="S57" s="9">
        <v>24</v>
      </c>
      <c r="T57" s="9">
        <v>16</v>
      </c>
      <c r="U57" s="9">
        <v>37</v>
      </c>
      <c r="V57" s="9">
        <v>136</v>
      </c>
      <c r="W57" s="9">
        <v>0</v>
      </c>
      <c r="X57" s="9">
        <v>48</v>
      </c>
      <c r="Y57" s="9">
        <v>0</v>
      </c>
      <c r="Z57" s="9">
        <v>78</v>
      </c>
      <c r="AA57" s="9">
        <v>78</v>
      </c>
      <c r="AB57" s="9">
        <v>9</v>
      </c>
      <c r="AC57" s="9">
        <v>29</v>
      </c>
      <c r="AD57" s="9">
        <v>48</v>
      </c>
      <c r="AE57" s="9">
        <v>0</v>
      </c>
      <c r="AF57" s="9">
        <v>9</v>
      </c>
      <c r="AG57" s="9">
        <v>19</v>
      </c>
      <c r="AH57" s="9">
        <v>0</v>
      </c>
      <c r="AI57" s="9">
        <v>29</v>
      </c>
      <c r="AJ57" s="9">
        <v>29</v>
      </c>
      <c r="AK57" s="9">
        <v>68</v>
      </c>
      <c r="AL57" s="9">
        <v>19</v>
      </c>
      <c r="AM57" s="9">
        <v>39</v>
      </c>
      <c r="AN57" s="9">
        <v>0</v>
      </c>
      <c r="AO57" s="9">
        <v>9</v>
      </c>
      <c r="AP57" s="9">
        <v>39</v>
      </c>
      <c r="AQ57" s="9">
        <v>39</v>
      </c>
      <c r="AR57" s="9">
        <v>68</v>
      </c>
      <c r="AS57" s="9">
        <v>9</v>
      </c>
      <c r="AT57" s="9">
        <v>58</v>
      </c>
      <c r="AU57" s="9">
        <v>9</v>
      </c>
      <c r="AV57" s="9">
        <v>9</v>
      </c>
      <c r="AW57" s="9">
        <v>29</v>
      </c>
      <c r="AX57" s="9">
        <v>0</v>
      </c>
      <c r="AY57" s="9">
        <v>39</v>
      </c>
      <c r="AZ57" s="9">
        <v>32</v>
      </c>
      <c r="BA57" s="10">
        <v>180.31000000000003</v>
      </c>
      <c r="BB57" s="11">
        <v>45382.38</v>
      </c>
      <c r="BC57" s="11">
        <v>32675.31</v>
      </c>
      <c r="BD57" s="11">
        <v>45382.38</v>
      </c>
      <c r="BE57" s="11">
        <v>25414.13</v>
      </c>
      <c r="BF57" s="11">
        <v>32675.31</v>
      </c>
      <c r="BG57" s="11">
        <v>43000</v>
      </c>
      <c r="BH57" s="11">
        <v>18750</v>
      </c>
      <c r="BI57" s="11">
        <v>10273</v>
      </c>
      <c r="BJ57" s="11">
        <v>25641</v>
      </c>
      <c r="BK57" s="11">
        <v>22162</v>
      </c>
      <c r="BL57" s="11">
        <v>5741</v>
      </c>
      <c r="BM57" s="11">
        <v>5321</v>
      </c>
      <c r="BN57" s="11">
        <v>1902</v>
      </c>
      <c r="BO57" s="9">
        <v>38000</v>
      </c>
      <c r="BP57" s="9">
        <v>3159</v>
      </c>
    </row>
    <row r="58" spans="1:68" x14ac:dyDescent="0.3">
      <c r="A58" s="7">
        <v>45348</v>
      </c>
      <c r="B58" s="7" t="str">
        <f t="shared" si="0"/>
        <v>FEBRUARY</v>
      </c>
      <c r="C58" s="8">
        <f>MONTH(Data!$A58)</f>
        <v>2</v>
      </c>
      <c r="D58" s="9">
        <v>699</v>
      </c>
      <c r="E58" s="9">
        <v>990</v>
      </c>
      <c r="F58" s="9">
        <v>160</v>
      </c>
      <c r="G58" s="9">
        <v>477</v>
      </c>
      <c r="H58" s="9">
        <v>62</v>
      </c>
      <c r="I58" s="9">
        <v>514</v>
      </c>
      <c r="J58" s="9">
        <v>338</v>
      </c>
      <c r="K58" s="9">
        <v>138</v>
      </c>
      <c r="L58" s="9">
        <v>182</v>
      </c>
      <c r="M58" s="9">
        <v>91</v>
      </c>
      <c r="N58" s="9">
        <v>30</v>
      </c>
      <c r="O58" s="9">
        <v>60</v>
      </c>
      <c r="P58" s="9">
        <v>21</v>
      </c>
      <c r="Q58" s="9">
        <v>116</v>
      </c>
      <c r="R58" s="9">
        <v>69</v>
      </c>
      <c r="S58" s="9">
        <v>39</v>
      </c>
      <c r="T58" s="9">
        <v>26</v>
      </c>
      <c r="U58" s="9">
        <v>65</v>
      </c>
      <c r="V58" s="9">
        <v>39</v>
      </c>
      <c r="W58" s="9">
        <v>9</v>
      </c>
      <c r="X58" s="9">
        <v>49</v>
      </c>
      <c r="Y58" s="9">
        <v>19</v>
      </c>
      <c r="Z58" s="9">
        <v>79</v>
      </c>
      <c r="AA58" s="9">
        <v>49</v>
      </c>
      <c r="AB58" s="9">
        <v>19</v>
      </c>
      <c r="AC58" s="9">
        <v>9</v>
      </c>
      <c r="AD58" s="9">
        <v>29</v>
      </c>
      <c r="AE58" s="9">
        <v>29</v>
      </c>
      <c r="AF58" s="9">
        <v>0</v>
      </c>
      <c r="AG58" s="9">
        <v>39</v>
      </c>
      <c r="AH58" s="9">
        <v>0</v>
      </c>
      <c r="AI58" s="9">
        <v>9</v>
      </c>
      <c r="AJ58" s="9">
        <v>9</v>
      </c>
      <c r="AK58" s="9">
        <v>79</v>
      </c>
      <c r="AL58" s="9">
        <v>69</v>
      </c>
      <c r="AM58" s="9">
        <v>29</v>
      </c>
      <c r="AN58" s="9">
        <v>0</v>
      </c>
      <c r="AO58" s="9">
        <v>9</v>
      </c>
      <c r="AP58" s="9">
        <v>0</v>
      </c>
      <c r="AQ58" s="9">
        <v>19</v>
      </c>
      <c r="AR58" s="9">
        <v>69</v>
      </c>
      <c r="AS58" s="9">
        <v>29</v>
      </c>
      <c r="AT58" s="9">
        <v>49</v>
      </c>
      <c r="AU58" s="9">
        <v>19</v>
      </c>
      <c r="AV58" s="9">
        <v>9</v>
      </c>
      <c r="AW58" s="9">
        <v>59</v>
      </c>
      <c r="AX58" s="9">
        <v>39</v>
      </c>
      <c r="AY58" s="9">
        <v>0</v>
      </c>
      <c r="AZ58" s="9">
        <v>125</v>
      </c>
      <c r="BA58" s="10">
        <v>175.82999999999998</v>
      </c>
      <c r="BB58" s="11">
        <v>52288.93</v>
      </c>
      <c r="BC58" s="11">
        <v>34258.26</v>
      </c>
      <c r="BD58" s="11">
        <v>43273.599999999999</v>
      </c>
      <c r="BE58" s="11">
        <v>21636.799999999999</v>
      </c>
      <c r="BF58" s="11">
        <v>28849.06</v>
      </c>
      <c r="BG58" s="11">
        <v>43000</v>
      </c>
      <c r="BH58" s="11">
        <v>18750</v>
      </c>
      <c r="BI58" s="11">
        <v>10273</v>
      </c>
      <c r="BJ58" s="11">
        <v>25641</v>
      </c>
      <c r="BK58" s="11">
        <v>22162</v>
      </c>
      <c r="BL58" s="11">
        <v>5741</v>
      </c>
      <c r="BM58" s="11">
        <v>5321</v>
      </c>
      <c r="BN58" s="11">
        <v>1902</v>
      </c>
      <c r="BO58" s="9">
        <v>38000</v>
      </c>
      <c r="BP58" s="9">
        <v>7242</v>
      </c>
    </row>
    <row r="59" spans="1:68" x14ac:dyDescent="0.3">
      <c r="A59" s="7">
        <v>45349</v>
      </c>
      <c r="B59" s="7" t="str">
        <f t="shared" si="0"/>
        <v>FEBRUARY</v>
      </c>
      <c r="C59" s="8">
        <f>MONTH(Data!$A59)</f>
        <v>2</v>
      </c>
      <c r="D59" s="9">
        <v>685</v>
      </c>
      <c r="E59" s="9">
        <v>992</v>
      </c>
      <c r="F59" s="9">
        <v>164</v>
      </c>
      <c r="G59" s="9">
        <v>480</v>
      </c>
      <c r="H59" s="9">
        <v>41</v>
      </c>
      <c r="I59" s="9">
        <v>496</v>
      </c>
      <c r="J59" s="9">
        <v>348</v>
      </c>
      <c r="K59" s="9">
        <v>148</v>
      </c>
      <c r="L59" s="9">
        <v>199</v>
      </c>
      <c r="M59" s="9">
        <v>144</v>
      </c>
      <c r="N59" s="9">
        <v>29</v>
      </c>
      <c r="O59" s="9">
        <v>29</v>
      </c>
      <c r="P59" s="9">
        <v>29</v>
      </c>
      <c r="Q59" s="9">
        <v>109</v>
      </c>
      <c r="R59" s="9">
        <v>39</v>
      </c>
      <c r="S59" s="9">
        <v>18</v>
      </c>
      <c r="T59" s="9">
        <v>39</v>
      </c>
      <c r="U59" s="9">
        <v>50</v>
      </c>
      <c r="V59" s="9">
        <v>119</v>
      </c>
      <c r="W59" s="9">
        <v>9</v>
      </c>
      <c r="X59" s="9">
        <v>59</v>
      </c>
      <c r="Y59" s="9">
        <v>29</v>
      </c>
      <c r="Z59" s="9">
        <v>59</v>
      </c>
      <c r="AA59" s="9">
        <v>49</v>
      </c>
      <c r="AB59" s="9">
        <v>29</v>
      </c>
      <c r="AC59" s="9">
        <v>29</v>
      </c>
      <c r="AD59" s="9">
        <v>59</v>
      </c>
      <c r="AE59" s="9">
        <v>19</v>
      </c>
      <c r="AF59" s="9">
        <v>0</v>
      </c>
      <c r="AG59" s="9">
        <v>39</v>
      </c>
      <c r="AH59" s="9">
        <v>0</v>
      </c>
      <c r="AI59" s="9">
        <v>9</v>
      </c>
      <c r="AJ59" s="9">
        <v>0</v>
      </c>
      <c r="AK59" s="9">
        <v>59</v>
      </c>
      <c r="AL59" s="9">
        <v>19</v>
      </c>
      <c r="AM59" s="9">
        <v>19</v>
      </c>
      <c r="AN59" s="9">
        <v>19</v>
      </c>
      <c r="AO59" s="9">
        <v>9</v>
      </c>
      <c r="AP59" s="9">
        <v>9</v>
      </c>
      <c r="AQ59" s="9">
        <v>39</v>
      </c>
      <c r="AR59" s="9">
        <v>109</v>
      </c>
      <c r="AS59" s="9">
        <v>19</v>
      </c>
      <c r="AT59" s="9">
        <v>69</v>
      </c>
      <c r="AU59" s="9">
        <v>39</v>
      </c>
      <c r="AV59" s="9">
        <v>0</v>
      </c>
      <c r="AW59" s="9">
        <v>19</v>
      </c>
      <c r="AX59" s="9">
        <v>9</v>
      </c>
      <c r="AY59" s="9">
        <v>0</v>
      </c>
      <c r="AZ59" s="9">
        <v>47</v>
      </c>
      <c r="BA59" s="10">
        <v>165.75</v>
      </c>
      <c r="BB59" s="11">
        <v>59783.18</v>
      </c>
      <c r="BC59" s="11">
        <v>35166.57</v>
      </c>
      <c r="BD59" s="11">
        <v>42199.89</v>
      </c>
      <c r="BE59" s="11">
        <v>19341.62</v>
      </c>
      <c r="BF59" s="11">
        <v>19341.62</v>
      </c>
      <c r="BG59" s="11">
        <v>43000</v>
      </c>
      <c r="BH59" s="11">
        <v>18750</v>
      </c>
      <c r="BI59" s="11">
        <v>10273</v>
      </c>
      <c r="BJ59" s="11">
        <v>25641</v>
      </c>
      <c r="BK59" s="11">
        <v>22162</v>
      </c>
      <c r="BL59" s="11">
        <v>5741</v>
      </c>
      <c r="BM59" s="11">
        <v>5321</v>
      </c>
      <c r="BN59" s="11">
        <v>1902</v>
      </c>
      <c r="BO59" s="9">
        <v>38000</v>
      </c>
      <c r="BP59" s="9">
        <v>8425</v>
      </c>
    </row>
    <row r="60" spans="1:68" x14ac:dyDescent="0.3">
      <c r="A60" s="7">
        <v>45350</v>
      </c>
      <c r="B60" s="7" t="str">
        <f t="shared" si="0"/>
        <v>FEBRUARY</v>
      </c>
      <c r="C60" s="8">
        <f>MONTH(Data!$A60)</f>
        <v>2</v>
      </c>
      <c r="D60" s="9">
        <v>661</v>
      </c>
      <c r="E60" s="9">
        <v>989</v>
      </c>
      <c r="F60" s="9">
        <v>244</v>
      </c>
      <c r="G60" s="9">
        <v>272</v>
      </c>
      <c r="H60" s="9">
        <v>145</v>
      </c>
      <c r="I60" s="9">
        <v>207</v>
      </c>
      <c r="J60" s="9">
        <v>555</v>
      </c>
      <c r="K60" s="9">
        <v>227</v>
      </c>
      <c r="L60" s="9">
        <v>213</v>
      </c>
      <c r="M60" s="9">
        <v>28</v>
      </c>
      <c r="N60" s="9">
        <v>61</v>
      </c>
      <c r="O60" s="9">
        <v>40</v>
      </c>
      <c r="P60" s="9">
        <v>32</v>
      </c>
      <c r="Q60" s="9">
        <v>102</v>
      </c>
      <c r="R60" s="9">
        <v>12</v>
      </c>
      <c r="S60" s="9">
        <v>17</v>
      </c>
      <c r="T60" s="9">
        <v>37</v>
      </c>
      <c r="U60" s="9">
        <v>119</v>
      </c>
      <c r="V60" s="9">
        <v>98</v>
      </c>
      <c r="W60" s="9">
        <v>0</v>
      </c>
      <c r="X60" s="9">
        <v>39</v>
      </c>
      <c r="Y60" s="9">
        <v>29</v>
      </c>
      <c r="Z60" s="9">
        <v>89</v>
      </c>
      <c r="AA60" s="9">
        <v>69</v>
      </c>
      <c r="AB60" s="9">
        <v>19</v>
      </c>
      <c r="AC60" s="9">
        <v>29</v>
      </c>
      <c r="AD60" s="9">
        <v>29</v>
      </c>
      <c r="AE60" s="9">
        <v>19</v>
      </c>
      <c r="AF60" s="9">
        <v>0</v>
      </c>
      <c r="AG60" s="9">
        <v>9</v>
      </c>
      <c r="AH60" s="9">
        <v>9</v>
      </c>
      <c r="AI60" s="9">
        <v>0</v>
      </c>
      <c r="AJ60" s="9">
        <v>19</v>
      </c>
      <c r="AK60" s="9">
        <v>59</v>
      </c>
      <c r="AL60" s="9">
        <v>19</v>
      </c>
      <c r="AM60" s="9">
        <v>39</v>
      </c>
      <c r="AN60" s="9">
        <v>0</v>
      </c>
      <c r="AO60" s="9">
        <v>9</v>
      </c>
      <c r="AP60" s="9">
        <v>39</v>
      </c>
      <c r="AQ60" s="9">
        <v>19</v>
      </c>
      <c r="AR60" s="9">
        <v>89</v>
      </c>
      <c r="AS60" s="9">
        <v>29</v>
      </c>
      <c r="AT60" s="9">
        <v>69</v>
      </c>
      <c r="AU60" s="9">
        <v>49</v>
      </c>
      <c r="AV60" s="9">
        <v>0</v>
      </c>
      <c r="AW60" s="9">
        <v>29</v>
      </c>
      <c r="AX60" s="9">
        <v>19</v>
      </c>
      <c r="AY60" s="9">
        <v>19</v>
      </c>
      <c r="AZ60" s="9">
        <v>45</v>
      </c>
      <c r="BA60" s="10">
        <v>149</v>
      </c>
      <c r="BB60" s="11">
        <v>53040.23</v>
      </c>
      <c r="BC60" s="11">
        <v>33150.14</v>
      </c>
      <c r="BD60" s="11">
        <v>28177.62</v>
      </c>
      <c r="BE60" s="11">
        <v>19890.09</v>
      </c>
      <c r="BF60" s="11">
        <v>31492.639999999999</v>
      </c>
      <c r="BG60" s="11">
        <v>43000</v>
      </c>
      <c r="BH60" s="11">
        <v>18750</v>
      </c>
      <c r="BI60" s="11">
        <v>10273</v>
      </c>
      <c r="BJ60" s="11">
        <v>25641</v>
      </c>
      <c r="BK60" s="11">
        <v>22162</v>
      </c>
      <c r="BL60" s="11">
        <v>5741</v>
      </c>
      <c r="BM60" s="11">
        <v>5321</v>
      </c>
      <c r="BN60" s="11">
        <v>1902</v>
      </c>
      <c r="BO60" s="9">
        <v>38000</v>
      </c>
      <c r="BP60" s="9">
        <v>113</v>
      </c>
    </row>
    <row r="61" spans="1:68" x14ac:dyDescent="0.3">
      <c r="A61" s="7">
        <v>45351</v>
      </c>
      <c r="B61" s="7" t="str">
        <f t="shared" si="0"/>
        <v>FEBRUARY</v>
      </c>
      <c r="C61" s="8">
        <f>MONTH(Data!$A61)</f>
        <v>2</v>
      </c>
      <c r="D61" s="9">
        <v>637</v>
      </c>
      <c r="E61" s="9">
        <v>972</v>
      </c>
      <c r="F61" s="9">
        <v>152</v>
      </c>
      <c r="G61" s="9">
        <v>371</v>
      </c>
      <c r="H61" s="9">
        <v>114</v>
      </c>
      <c r="I61" s="9">
        <v>417</v>
      </c>
      <c r="J61" s="9">
        <v>312</v>
      </c>
      <c r="K61" s="9">
        <v>243</v>
      </c>
      <c r="L61" s="9">
        <v>146</v>
      </c>
      <c r="M61" s="9">
        <v>102</v>
      </c>
      <c r="N61" s="9">
        <v>31</v>
      </c>
      <c r="O61" s="9">
        <v>19</v>
      </c>
      <c r="P61" s="9">
        <v>11</v>
      </c>
      <c r="Q61" s="9">
        <v>111</v>
      </c>
      <c r="R61" s="9">
        <v>12</v>
      </c>
      <c r="S61" s="9">
        <v>24</v>
      </c>
      <c r="T61" s="9">
        <v>21</v>
      </c>
      <c r="U61" s="9">
        <v>160</v>
      </c>
      <c r="V61" s="9">
        <v>136</v>
      </c>
      <c r="W61" s="9">
        <v>0</v>
      </c>
      <c r="X61" s="9">
        <v>68</v>
      </c>
      <c r="Y61" s="9">
        <v>9</v>
      </c>
      <c r="Z61" s="9">
        <v>58</v>
      </c>
      <c r="AA61" s="9">
        <v>68</v>
      </c>
      <c r="AB61" s="9">
        <v>29</v>
      </c>
      <c r="AC61" s="9">
        <v>9</v>
      </c>
      <c r="AD61" s="9">
        <v>38</v>
      </c>
      <c r="AE61" s="9">
        <v>0</v>
      </c>
      <c r="AF61" s="9">
        <v>0</v>
      </c>
      <c r="AG61" s="9">
        <v>29</v>
      </c>
      <c r="AH61" s="9">
        <v>0</v>
      </c>
      <c r="AI61" s="9">
        <v>19</v>
      </c>
      <c r="AJ61" s="9">
        <v>0</v>
      </c>
      <c r="AK61" s="9">
        <v>48</v>
      </c>
      <c r="AL61" s="9">
        <v>68</v>
      </c>
      <c r="AM61" s="9">
        <v>19</v>
      </c>
      <c r="AN61" s="9">
        <v>29</v>
      </c>
      <c r="AO61" s="9">
        <v>0</v>
      </c>
      <c r="AP61" s="9">
        <v>19</v>
      </c>
      <c r="AQ61" s="9">
        <v>29</v>
      </c>
      <c r="AR61" s="9">
        <v>106</v>
      </c>
      <c r="AS61" s="9">
        <v>9</v>
      </c>
      <c r="AT61" s="9">
        <v>68</v>
      </c>
      <c r="AU61" s="9">
        <v>9</v>
      </c>
      <c r="AV61" s="9">
        <v>0</v>
      </c>
      <c r="AW61" s="9">
        <v>58</v>
      </c>
      <c r="AX61" s="9">
        <v>38</v>
      </c>
      <c r="AY61" s="9">
        <v>9</v>
      </c>
      <c r="AZ61" s="9">
        <v>0</v>
      </c>
      <c r="BA61" s="10">
        <v>148.90000000000003</v>
      </c>
      <c r="BB61" s="11">
        <v>38740</v>
      </c>
      <c r="BC61" s="11">
        <v>25330</v>
      </c>
      <c r="BD61" s="11">
        <v>29800</v>
      </c>
      <c r="BE61" s="11">
        <v>31290</v>
      </c>
      <c r="BF61" s="11">
        <v>23840</v>
      </c>
      <c r="BG61" s="11">
        <v>43000</v>
      </c>
      <c r="BH61" s="11">
        <v>18750</v>
      </c>
      <c r="BI61" s="11">
        <v>10273</v>
      </c>
      <c r="BJ61" s="11">
        <v>25641</v>
      </c>
      <c r="BK61" s="11">
        <v>22162</v>
      </c>
      <c r="BL61" s="11">
        <v>5741</v>
      </c>
      <c r="BM61" s="11">
        <v>5321</v>
      </c>
      <c r="BN61" s="11">
        <v>1902</v>
      </c>
      <c r="BO61" s="9">
        <v>38000</v>
      </c>
      <c r="BP61" s="9">
        <v>8031</v>
      </c>
    </row>
    <row r="62" spans="1:68" x14ac:dyDescent="0.3">
      <c r="A62" s="7">
        <v>45352</v>
      </c>
      <c r="B62" s="7" t="str">
        <f t="shared" si="0"/>
        <v>MARCH</v>
      </c>
      <c r="C62" s="8">
        <f>MONTH(Data!$A62)</f>
        <v>3</v>
      </c>
      <c r="D62" s="9">
        <v>612</v>
      </c>
      <c r="E62" s="9">
        <v>820</v>
      </c>
      <c r="F62" s="9">
        <v>189</v>
      </c>
      <c r="G62" s="9">
        <v>368</v>
      </c>
      <c r="H62" s="9">
        <v>55</v>
      </c>
      <c r="I62" s="9">
        <v>434</v>
      </c>
      <c r="J62" s="9">
        <v>190</v>
      </c>
      <c r="K62" s="9">
        <v>196</v>
      </c>
      <c r="L62" s="9">
        <v>147</v>
      </c>
      <c r="M62" s="9">
        <v>45</v>
      </c>
      <c r="N62" s="9">
        <v>34</v>
      </c>
      <c r="O62" s="9">
        <v>41</v>
      </c>
      <c r="P62" s="9">
        <v>18</v>
      </c>
      <c r="Q62" s="9">
        <v>83</v>
      </c>
      <c r="R62" s="9">
        <v>32</v>
      </c>
      <c r="S62" s="9">
        <v>30</v>
      </c>
      <c r="T62" s="9">
        <v>13</v>
      </c>
      <c r="U62" s="9">
        <v>169</v>
      </c>
      <c r="V62" s="9">
        <v>114</v>
      </c>
      <c r="W62" s="9">
        <v>8</v>
      </c>
      <c r="X62" s="9">
        <v>32</v>
      </c>
      <c r="Y62" s="9">
        <v>24</v>
      </c>
      <c r="Z62" s="9">
        <v>90</v>
      </c>
      <c r="AA62" s="9">
        <v>57</v>
      </c>
      <c r="AB62" s="9">
        <v>0</v>
      </c>
      <c r="AC62" s="9">
        <v>24</v>
      </c>
      <c r="AD62" s="9">
        <v>24</v>
      </c>
      <c r="AE62" s="9">
        <v>8</v>
      </c>
      <c r="AF62" s="9">
        <v>8</v>
      </c>
      <c r="AG62" s="9">
        <v>32</v>
      </c>
      <c r="AH62" s="9">
        <v>16</v>
      </c>
      <c r="AI62" s="9">
        <v>16</v>
      </c>
      <c r="AJ62" s="9">
        <v>0</v>
      </c>
      <c r="AK62" s="9">
        <v>57</v>
      </c>
      <c r="AL62" s="9">
        <v>24</v>
      </c>
      <c r="AM62" s="9">
        <v>16</v>
      </c>
      <c r="AN62" s="9">
        <v>16</v>
      </c>
      <c r="AO62" s="9">
        <v>0</v>
      </c>
      <c r="AP62" s="9">
        <v>0</v>
      </c>
      <c r="AQ62" s="9">
        <v>8</v>
      </c>
      <c r="AR62" s="9">
        <v>82</v>
      </c>
      <c r="AS62" s="9">
        <v>8</v>
      </c>
      <c r="AT62" s="9">
        <v>24</v>
      </c>
      <c r="AU62" s="9">
        <v>41</v>
      </c>
      <c r="AV62" s="9">
        <v>0</v>
      </c>
      <c r="AW62" s="9">
        <v>32</v>
      </c>
      <c r="AX62" s="9">
        <v>0</v>
      </c>
      <c r="AY62" s="9">
        <v>32</v>
      </c>
      <c r="AZ62" s="9">
        <v>27</v>
      </c>
      <c r="BA62" s="10">
        <v>149</v>
      </c>
      <c r="BB62" s="11">
        <v>40203.81</v>
      </c>
      <c r="BC62" s="11">
        <v>37225.75</v>
      </c>
      <c r="BD62" s="11">
        <v>14890.3</v>
      </c>
      <c r="BE62" s="11">
        <v>17868.36</v>
      </c>
      <c r="BF62" s="11">
        <v>38714.78</v>
      </c>
      <c r="BG62" s="11">
        <v>43000</v>
      </c>
      <c r="BH62" s="11">
        <v>10000</v>
      </c>
      <c r="BI62" s="11">
        <v>10273</v>
      </c>
      <c r="BJ62" s="11">
        <v>11641</v>
      </c>
      <c r="BK62" s="11">
        <v>30623</v>
      </c>
      <c r="BL62" s="11">
        <v>8722</v>
      </c>
      <c r="BM62" s="11">
        <v>6172</v>
      </c>
      <c r="BN62" s="11">
        <v>2143</v>
      </c>
      <c r="BO62" s="9">
        <v>49000</v>
      </c>
      <c r="BP62" s="9">
        <v>2867</v>
      </c>
    </row>
    <row r="63" spans="1:68" x14ac:dyDescent="0.3">
      <c r="A63" s="7">
        <v>45353</v>
      </c>
      <c r="B63" s="7" t="str">
        <f t="shared" si="0"/>
        <v>MARCH</v>
      </c>
      <c r="C63" s="8">
        <f>MONTH(Data!$A63)</f>
        <v>3</v>
      </c>
      <c r="D63" s="9">
        <v>601</v>
      </c>
      <c r="E63" s="9">
        <v>775</v>
      </c>
      <c r="F63" s="9">
        <v>144</v>
      </c>
      <c r="G63" s="9">
        <v>409</v>
      </c>
      <c r="H63" s="9">
        <v>48</v>
      </c>
      <c r="I63" s="9">
        <v>302</v>
      </c>
      <c r="J63" s="9">
        <v>427</v>
      </c>
      <c r="K63" s="9">
        <v>46</v>
      </c>
      <c r="L63" s="9">
        <v>134</v>
      </c>
      <c r="M63" s="9">
        <v>81</v>
      </c>
      <c r="N63" s="9">
        <v>52</v>
      </c>
      <c r="O63" s="9">
        <v>29</v>
      </c>
      <c r="P63" s="9">
        <v>18</v>
      </c>
      <c r="Q63" s="9">
        <v>93</v>
      </c>
      <c r="R63" s="9">
        <v>47</v>
      </c>
      <c r="S63" s="9">
        <v>18</v>
      </c>
      <c r="T63" s="9">
        <v>29</v>
      </c>
      <c r="U63" s="9">
        <v>100</v>
      </c>
      <c r="V63" s="9">
        <v>93</v>
      </c>
      <c r="W63" s="9">
        <v>15</v>
      </c>
      <c r="X63" s="9">
        <v>46</v>
      </c>
      <c r="Y63" s="9">
        <v>0</v>
      </c>
      <c r="Z63" s="9">
        <v>28</v>
      </c>
      <c r="AA63" s="9">
        <v>54</v>
      </c>
      <c r="AB63" s="9">
        <v>0</v>
      </c>
      <c r="AC63" s="9">
        <v>0</v>
      </c>
      <c r="AD63" s="9">
        <v>46</v>
      </c>
      <c r="AE63" s="9">
        <v>15</v>
      </c>
      <c r="AF63" s="9">
        <v>7</v>
      </c>
      <c r="AG63" s="9">
        <v>23</v>
      </c>
      <c r="AH63" s="9">
        <v>23</v>
      </c>
      <c r="AI63" s="9">
        <v>7</v>
      </c>
      <c r="AJ63" s="9">
        <v>23</v>
      </c>
      <c r="AK63" s="9">
        <v>77</v>
      </c>
      <c r="AL63" s="9">
        <v>23</v>
      </c>
      <c r="AM63" s="9">
        <v>7</v>
      </c>
      <c r="AN63" s="9">
        <v>15</v>
      </c>
      <c r="AO63" s="9">
        <v>7</v>
      </c>
      <c r="AP63" s="9">
        <v>15</v>
      </c>
      <c r="AQ63" s="9">
        <v>31</v>
      </c>
      <c r="AR63" s="9">
        <v>69</v>
      </c>
      <c r="AS63" s="9">
        <v>7</v>
      </c>
      <c r="AT63" s="9">
        <v>69</v>
      </c>
      <c r="AU63" s="9">
        <v>15</v>
      </c>
      <c r="AV63" s="9">
        <v>7</v>
      </c>
      <c r="AW63" s="9">
        <v>23</v>
      </c>
      <c r="AX63" s="9">
        <v>7</v>
      </c>
      <c r="AY63" s="9">
        <v>23</v>
      </c>
      <c r="AZ63" s="9">
        <v>0</v>
      </c>
      <c r="BA63" s="10">
        <v>149</v>
      </c>
      <c r="BB63" s="11">
        <v>38740</v>
      </c>
      <c r="BC63" s="11">
        <v>25330</v>
      </c>
      <c r="BD63" s="11">
        <v>29800</v>
      </c>
      <c r="BE63" s="11">
        <v>31290</v>
      </c>
      <c r="BF63" s="11">
        <v>23840</v>
      </c>
      <c r="BG63" s="11">
        <v>43000</v>
      </c>
      <c r="BH63" s="11">
        <v>10000</v>
      </c>
      <c r="BI63" s="11">
        <v>10273</v>
      </c>
      <c r="BJ63" s="11">
        <v>11641</v>
      </c>
      <c r="BK63" s="11">
        <v>30623</v>
      </c>
      <c r="BL63" s="11">
        <v>8722</v>
      </c>
      <c r="BM63" s="11">
        <v>6172</v>
      </c>
      <c r="BN63" s="11">
        <v>2143</v>
      </c>
      <c r="BO63" s="9">
        <v>49000</v>
      </c>
      <c r="BP63" s="9">
        <v>8965</v>
      </c>
    </row>
    <row r="64" spans="1:68" x14ac:dyDescent="0.3">
      <c r="A64" s="7">
        <v>45354</v>
      </c>
      <c r="B64" s="7" t="str">
        <f t="shared" si="0"/>
        <v>MARCH</v>
      </c>
      <c r="C64" s="8">
        <f>MONTH(Data!$A64)</f>
        <v>3</v>
      </c>
      <c r="D64" s="9">
        <v>597</v>
      </c>
      <c r="E64" s="9">
        <v>727</v>
      </c>
      <c r="F64" s="9">
        <v>244</v>
      </c>
      <c r="G64" s="9">
        <v>246</v>
      </c>
      <c r="H64" s="9">
        <v>107</v>
      </c>
      <c r="I64" s="9">
        <v>341</v>
      </c>
      <c r="J64" s="9">
        <v>307</v>
      </c>
      <c r="K64" s="9">
        <v>79</v>
      </c>
      <c r="L64" s="9">
        <v>162</v>
      </c>
      <c r="M64" s="9">
        <v>85</v>
      </c>
      <c r="N64" s="9">
        <v>25</v>
      </c>
      <c r="O64" s="9">
        <v>40</v>
      </c>
      <c r="P64" s="9">
        <v>25</v>
      </c>
      <c r="Q64" s="9">
        <v>104</v>
      </c>
      <c r="R64" s="9">
        <v>15</v>
      </c>
      <c r="S64" s="9">
        <v>24</v>
      </c>
      <c r="T64" s="9">
        <v>11</v>
      </c>
      <c r="U64" s="9">
        <v>106</v>
      </c>
      <c r="V64" s="9">
        <v>65</v>
      </c>
      <c r="W64" s="9">
        <v>7</v>
      </c>
      <c r="X64" s="9">
        <v>50</v>
      </c>
      <c r="Y64" s="9">
        <v>0</v>
      </c>
      <c r="Z64" s="9">
        <v>50</v>
      </c>
      <c r="AA64" s="9">
        <v>43</v>
      </c>
      <c r="AB64" s="9">
        <v>7</v>
      </c>
      <c r="AC64" s="9">
        <v>7</v>
      </c>
      <c r="AD64" s="9">
        <v>21</v>
      </c>
      <c r="AE64" s="9">
        <v>14</v>
      </c>
      <c r="AF64" s="9">
        <v>0</v>
      </c>
      <c r="AG64" s="9">
        <v>7</v>
      </c>
      <c r="AH64" s="9">
        <v>21</v>
      </c>
      <c r="AI64" s="9">
        <v>14</v>
      </c>
      <c r="AJ64" s="9">
        <v>7</v>
      </c>
      <c r="AK64" s="9">
        <v>65</v>
      </c>
      <c r="AL64" s="9">
        <v>36</v>
      </c>
      <c r="AM64" s="9">
        <v>21</v>
      </c>
      <c r="AN64" s="9">
        <v>14</v>
      </c>
      <c r="AO64" s="9">
        <v>7</v>
      </c>
      <c r="AP64" s="9">
        <v>7</v>
      </c>
      <c r="AQ64" s="9">
        <v>7</v>
      </c>
      <c r="AR64" s="9">
        <v>72</v>
      </c>
      <c r="AS64" s="9">
        <v>14</v>
      </c>
      <c r="AT64" s="9">
        <v>29</v>
      </c>
      <c r="AU64" s="9">
        <v>29</v>
      </c>
      <c r="AV64" s="9">
        <v>7</v>
      </c>
      <c r="AW64" s="9">
        <v>14</v>
      </c>
      <c r="AX64" s="9">
        <v>0</v>
      </c>
      <c r="AY64" s="9">
        <v>29</v>
      </c>
      <c r="AZ64" s="9">
        <v>63</v>
      </c>
      <c r="BA64" s="10">
        <v>148.22999999999999</v>
      </c>
      <c r="BB64" s="11">
        <v>43210</v>
      </c>
      <c r="BC64" s="11">
        <v>22350</v>
      </c>
      <c r="BD64" s="11">
        <v>28310</v>
      </c>
      <c r="BE64" s="11">
        <v>19370</v>
      </c>
      <c r="BF64" s="11">
        <v>35760</v>
      </c>
      <c r="BG64" s="11">
        <v>43000</v>
      </c>
      <c r="BH64" s="11">
        <v>10000</v>
      </c>
      <c r="BI64" s="11">
        <v>10273</v>
      </c>
      <c r="BJ64" s="11">
        <v>11641</v>
      </c>
      <c r="BK64" s="11">
        <v>30623</v>
      </c>
      <c r="BL64" s="11">
        <v>8722</v>
      </c>
      <c r="BM64" s="11">
        <v>6172</v>
      </c>
      <c r="BN64" s="11">
        <v>2143</v>
      </c>
      <c r="BO64" s="9">
        <v>49000</v>
      </c>
      <c r="BP64" s="9">
        <v>8832</v>
      </c>
    </row>
    <row r="65" spans="1:68" x14ac:dyDescent="0.3">
      <c r="A65" s="7">
        <v>45355</v>
      </c>
      <c r="B65" s="7" t="str">
        <f t="shared" si="0"/>
        <v>MARCH</v>
      </c>
      <c r="C65" s="8">
        <f>MONTH(Data!$A65)</f>
        <v>3</v>
      </c>
      <c r="D65" s="9">
        <v>596</v>
      </c>
      <c r="E65" s="9">
        <v>693</v>
      </c>
      <c r="F65" s="9">
        <v>137</v>
      </c>
      <c r="G65" s="9">
        <v>364</v>
      </c>
      <c r="H65" s="9">
        <v>95</v>
      </c>
      <c r="I65" s="9">
        <v>367</v>
      </c>
      <c r="J65" s="9">
        <v>271</v>
      </c>
      <c r="K65" s="9">
        <v>55</v>
      </c>
      <c r="L65" s="9">
        <v>188</v>
      </c>
      <c r="M65" s="9">
        <v>44</v>
      </c>
      <c r="N65" s="9">
        <v>33</v>
      </c>
      <c r="O65" s="9">
        <v>36</v>
      </c>
      <c r="P65" s="9">
        <v>22</v>
      </c>
      <c r="Q65" s="9">
        <v>104</v>
      </c>
      <c r="R65" s="9">
        <v>61</v>
      </c>
      <c r="S65" s="9">
        <v>31</v>
      </c>
      <c r="T65" s="9">
        <v>24</v>
      </c>
      <c r="U65" s="9">
        <v>53</v>
      </c>
      <c r="V65" s="9">
        <v>27</v>
      </c>
      <c r="W65" s="9">
        <v>20</v>
      </c>
      <c r="X65" s="9">
        <v>27</v>
      </c>
      <c r="Y65" s="9">
        <v>0</v>
      </c>
      <c r="Z65" s="9">
        <v>62</v>
      </c>
      <c r="AA65" s="9">
        <v>34</v>
      </c>
      <c r="AB65" s="9">
        <v>6</v>
      </c>
      <c r="AC65" s="9">
        <v>6</v>
      </c>
      <c r="AD65" s="9">
        <v>27</v>
      </c>
      <c r="AE65" s="9">
        <v>0</v>
      </c>
      <c r="AF65" s="9">
        <v>0</v>
      </c>
      <c r="AG65" s="9">
        <v>6</v>
      </c>
      <c r="AH65" s="9">
        <v>0</v>
      </c>
      <c r="AI65" s="9">
        <v>0</v>
      </c>
      <c r="AJ65" s="9">
        <v>13</v>
      </c>
      <c r="AK65" s="9">
        <v>48</v>
      </c>
      <c r="AL65" s="9">
        <v>48</v>
      </c>
      <c r="AM65" s="9">
        <v>20</v>
      </c>
      <c r="AN65" s="9">
        <v>0</v>
      </c>
      <c r="AO65" s="9">
        <v>6</v>
      </c>
      <c r="AP65" s="9">
        <v>6</v>
      </c>
      <c r="AQ65" s="9">
        <v>13</v>
      </c>
      <c r="AR65" s="9">
        <v>55</v>
      </c>
      <c r="AS65" s="9">
        <v>20</v>
      </c>
      <c r="AT65" s="9">
        <v>62</v>
      </c>
      <c r="AU65" s="9">
        <v>6</v>
      </c>
      <c r="AV65" s="9">
        <v>0</v>
      </c>
      <c r="AW65" s="9">
        <v>6</v>
      </c>
      <c r="AX65" s="9">
        <v>20</v>
      </c>
      <c r="AY65" s="9">
        <v>27</v>
      </c>
      <c r="AZ65" s="9">
        <v>128</v>
      </c>
      <c r="BA65" s="10">
        <v>146.44</v>
      </c>
      <c r="BB65" s="11">
        <v>50396.6</v>
      </c>
      <c r="BC65" s="11">
        <v>23716.05</v>
      </c>
      <c r="BD65" s="11">
        <v>22233.8</v>
      </c>
      <c r="BE65" s="11">
        <v>26680.55</v>
      </c>
      <c r="BF65" s="11">
        <v>25198.3</v>
      </c>
      <c r="BG65" s="11">
        <v>43000</v>
      </c>
      <c r="BH65" s="11">
        <v>10000</v>
      </c>
      <c r="BI65" s="11">
        <v>10273</v>
      </c>
      <c r="BJ65" s="11">
        <v>11641</v>
      </c>
      <c r="BK65" s="11">
        <v>30623</v>
      </c>
      <c r="BL65" s="11">
        <v>8722</v>
      </c>
      <c r="BM65" s="11">
        <v>6172</v>
      </c>
      <c r="BN65" s="11">
        <v>2143</v>
      </c>
      <c r="BO65" s="9">
        <v>49000</v>
      </c>
      <c r="BP65" s="9">
        <v>8082</v>
      </c>
    </row>
    <row r="66" spans="1:68" x14ac:dyDescent="0.3">
      <c r="A66" s="7">
        <v>45356</v>
      </c>
      <c r="B66" s="7" t="str">
        <f t="shared" ref="B66:B129" si="1">CHOOSE(C66,
"JANUARY",
"FEBRUARY",
"MARCH",
"APRIL",
"MAY",
"JUNE",
"JULY",
"AUGUST",
"SEPTEMBER",
"OCTOBER",
"NOVEMBER",
"DECEMBER")</f>
        <v>MARCH</v>
      </c>
      <c r="C66" s="8">
        <f>MONTH(Data!$A66)</f>
        <v>3</v>
      </c>
      <c r="D66" s="9">
        <v>601</v>
      </c>
      <c r="E66" s="9">
        <v>677</v>
      </c>
      <c r="F66" s="9">
        <v>312</v>
      </c>
      <c r="G66" s="9">
        <v>151</v>
      </c>
      <c r="H66" s="9">
        <v>138</v>
      </c>
      <c r="I66" s="9">
        <v>148</v>
      </c>
      <c r="J66" s="9">
        <v>489</v>
      </c>
      <c r="K66" s="9">
        <v>40</v>
      </c>
      <c r="L66" s="9">
        <v>175</v>
      </c>
      <c r="M66" s="9">
        <v>55</v>
      </c>
      <c r="N66" s="9">
        <v>33</v>
      </c>
      <c r="O66" s="9">
        <v>55</v>
      </c>
      <c r="P66" s="9">
        <v>22</v>
      </c>
      <c r="Q66" s="9">
        <v>114</v>
      </c>
      <c r="R66" s="9">
        <v>34</v>
      </c>
      <c r="S66" s="9">
        <v>18</v>
      </c>
      <c r="T66" s="9">
        <v>34</v>
      </c>
      <c r="U66" s="9">
        <v>61</v>
      </c>
      <c r="V66" s="9">
        <v>47</v>
      </c>
      <c r="W66" s="9">
        <v>6</v>
      </c>
      <c r="X66" s="9">
        <v>40</v>
      </c>
      <c r="Y66" s="9">
        <v>13</v>
      </c>
      <c r="Z66" s="9">
        <v>41</v>
      </c>
      <c r="AA66" s="9">
        <v>54</v>
      </c>
      <c r="AB66" s="9">
        <v>6</v>
      </c>
      <c r="AC66" s="9">
        <v>6</v>
      </c>
      <c r="AD66" s="9">
        <v>13</v>
      </c>
      <c r="AE66" s="9">
        <v>13</v>
      </c>
      <c r="AF66" s="9">
        <v>0</v>
      </c>
      <c r="AG66" s="9">
        <v>6</v>
      </c>
      <c r="AH66" s="9">
        <v>20</v>
      </c>
      <c r="AI66" s="9">
        <v>0</v>
      </c>
      <c r="AJ66" s="9">
        <v>20</v>
      </c>
      <c r="AK66" s="9">
        <v>33</v>
      </c>
      <c r="AL66" s="9">
        <v>47</v>
      </c>
      <c r="AM66" s="9">
        <v>13</v>
      </c>
      <c r="AN66" s="9">
        <v>20</v>
      </c>
      <c r="AO66" s="9">
        <v>0</v>
      </c>
      <c r="AP66" s="9">
        <v>13</v>
      </c>
      <c r="AQ66" s="9">
        <v>13</v>
      </c>
      <c r="AR66" s="9">
        <v>74</v>
      </c>
      <c r="AS66" s="9">
        <v>20</v>
      </c>
      <c r="AT66" s="9">
        <v>33</v>
      </c>
      <c r="AU66" s="9">
        <v>33</v>
      </c>
      <c r="AV66" s="9">
        <v>6</v>
      </c>
      <c r="AW66" s="9">
        <v>40</v>
      </c>
      <c r="AX66" s="9">
        <v>20</v>
      </c>
      <c r="AY66" s="9">
        <v>27</v>
      </c>
      <c r="AZ66" s="9">
        <v>0</v>
      </c>
      <c r="BA66" s="10">
        <v>142.69999999999999</v>
      </c>
      <c r="BB66" s="11">
        <v>39537.82</v>
      </c>
      <c r="BC66" s="11">
        <v>27822.91</v>
      </c>
      <c r="BD66" s="11">
        <v>23429.82</v>
      </c>
      <c r="BE66" s="11">
        <v>23429.82</v>
      </c>
      <c r="BF66" s="11">
        <v>32216</v>
      </c>
      <c r="BG66" s="11">
        <v>43000</v>
      </c>
      <c r="BH66" s="11">
        <v>10000</v>
      </c>
      <c r="BI66" s="11">
        <v>10273</v>
      </c>
      <c r="BJ66" s="11">
        <v>11641</v>
      </c>
      <c r="BK66" s="11">
        <v>30623</v>
      </c>
      <c r="BL66" s="11">
        <v>8722</v>
      </c>
      <c r="BM66" s="11">
        <v>6172</v>
      </c>
      <c r="BN66" s="11">
        <v>2143</v>
      </c>
      <c r="BO66" s="9">
        <v>49000</v>
      </c>
      <c r="BP66" s="9">
        <v>416</v>
      </c>
    </row>
    <row r="67" spans="1:68" x14ac:dyDescent="0.3">
      <c r="A67" s="7">
        <v>45357</v>
      </c>
      <c r="B67" s="7" t="str">
        <f t="shared" si="1"/>
        <v>MARCH</v>
      </c>
      <c r="C67" s="8">
        <f>MONTH(Data!$A67)</f>
        <v>3</v>
      </c>
      <c r="D67" s="9">
        <v>608</v>
      </c>
      <c r="E67" s="9">
        <v>674</v>
      </c>
      <c r="F67" s="9">
        <v>231</v>
      </c>
      <c r="G67" s="9">
        <v>232</v>
      </c>
      <c r="H67" s="9">
        <v>145</v>
      </c>
      <c r="I67" s="9">
        <v>256</v>
      </c>
      <c r="J67" s="9">
        <v>371</v>
      </c>
      <c r="K67" s="9">
        <v>47</v>
      </c>
      <c r="L67" s="9">
        <v>165</v>
      </c>
      <c r="M67" s="9">
        <v>33</v>
      </c>
      <c r="N67" s="9">
        <v>30</v>
      </c>
      <c r="O67" s="9">
        <v>41</v>
      </c>
      <c r="P67" s="9">
        <v>7</v>
      </c>
      <c r="Q67" s="9">
        <v>103</v>
      </c>
      <c r="R67" s="9">
        <v>23</v>
      </c>
      <c r="S67" s="9">
        <v>34</v>
      </c>
      <c r="T67" s="9">
        <v>13</v>
      </c>
      <c r="U67" s="9">
        <v>159</v>
      </c>
      <c r="V67" s="9">
        <v>87</v>
      </c>
      <c r="W67" s="9">
        <v>6</v>
      </c>
      <c r="X67" s="9">
        <v>47</v>
      </c>
      <c r="Y67" s="9">
        <v>0</v>
      </c>
      <c r="Z67" s="9">
        <v>54</v>
      </c>
      <c r="AA67" s="9">
        <v>47</v>
      </c>
      <c r="AB67" s="9">
        <v>6</v>
      </c>
      <c r="AC67" s="9">
        <v>20</v>
      </c>
      <c r="AD67" s="9">
        <v>20</v>
      </c>
      <c r="AE67" s="9">
        <v>0</v>
      </c>
      <c r="AF67" s="9">
        <v>6</v>
      </c>
      <c r="AG67" s="9">
        <v>26</v>
      </c>
      <c r="AH67" s="9">
        <v>6</v>
      </c>
      <c r="AI67" s="9">
        <v>13</v>
      </c>
      <c r="AJ67" s="9">
        <v>0</v>
      </c>
      <c r="AK67" s="9">
        <v>26</v>
      </c>
      <c r="AL67" s="9">
        <v>13</v>
      </c>
      <c r="AM67" s="9">
        <v>33</v>
      </c>
      <c r="AN67" s="9">
        <v>0</v>
      </c>
      <c r="AO67" s="9">
        <v>6</v>
      </c>
      <c r="AP67" s="9">
        <v>20</v>
      </c>
      <c r="AQ67" s="9">
        <v>26</v>
      </c>
      <c r="AR67" s="9">
        <v>47</v>
      </c>
      <c r="AS67" s="9">
        <v>6</v>
      </c>
      <c r="AT67" s="9">
        <v>60</v>
      </c>
      <c r="AU67" s="9">
        <v>33</v>
      </c>
      <c r="AV67" s="9">
        <v>0</v>
      </c>
      <c r="AW67" s="9">
        <v>47</v>
      </c>
      <c r="AX67" s="9">
        <v>13</v>
      </c>
      <c r="AY67" s="9">
        <v>6</v>
      </c>
      <c r="AZ67" s="9">
        <v>0</v>
      </c>
      <c r="BA67" s="10">
        <v>138.91000000000003</v>
      </c>
      <c r="BB67" s="11">
        <v>47089.15</v>
      </c>
      <c r="BC67" s="11">
        <v>32819.71</v>
      </c>
      <c r="BD67" s="11">
        <v>34246.65</v>
      </c>
      <c r="BE67" s="11">
        <v>17123.330000000002</v>
      </c>
      <c r="BF67" s="11">
        <v>11415.55</v>
      </c>
      <c r="BG67" s="11">
        <v>43000</v>
      </c>
      <c r="BH67" s="11">
        <v>10000</v>
      </c>
      <c r="BI67" s="11">
        <v>8716</v>
      </c>
      <c r="BJ67" s="11">
        <v>11641</v>
      </c>
      <c r="BK67" s="11">
        <v>30623</v>
      </c>
      <c r="BL67" s="11">
        <v>8722</v>
      </c>
      <c r="BM67" s="11">
        <v>6172</v>
      </c>
      <c r="BN67" s="11">
        <v>2143</v>
      </c>
      <c r="BO67" s="9">
        <v>49000</v>
      </c>
      <c r="BP67" s="9">
        <v>270</v>
      </c>
    </row>
    <row r="68" spans="1:68" x14ac:dyDescent="0.3">
      <c r="A68" s="7">
        <v>45358</v>
      </c>
      <c r="B68" s="7" t="str">
        <f t="shared" si="1"/>
        <v>MARCH</v>
      </c>
      <c r="C68" s="8">
        <f>MONTH(Data!$A68)</f>
        <v>3</v>
      </c>
      <c r="D68" s="9">
        <v>619</v>
      </c>
      <c r="E68" s="9">
        <v>683</v>
      </c>
      <c r="F68" s="9">
        <v>142</v>
      </c>
      <c r="G68" s="9">
        <v>409</v>
      </c>
      <c r="H68" s="9">
        <v>68</v>
      </c>
      <c r="I68" s="9">
        <v>361</v>
      </c>
      <c r="J68" s="9">
        <v>275</v>
      </c>
      <c r="K68" s="9">
        <v>47</v>
      </c>
      <c r="L68" s="9">
        <v>168</v>
      </c>
      <c r="M68" s="9">
        <v>61</v>
      </c>
      <c r="N68" s="9">
        <v>26</v>
      </c>
      <c r="O68" s="9">
        <v>42</v>
      </c>
      <c r="P68" s="9">
        <v>23</v>
      </c>
      <c r="Q68" s="9">
        <v>103</v>
      </c>
      <c r="R68" s="9">
        <v>39</v>
      </c>
      <c r="S68" s="9">
        <v>21</v>
      </c>
      <c r="T68" s="9">
        <v>18</v>
      </c>
      <c r="U68" s="9">
        <v>118</v>
      </c>
      <c r="V68" s="9">
        <v>40</v>
      </c>
      <c r="W68" s="9">
        <v>20</v>
      </c>
      <c r="X68" s="9">
        <v>20</v>
      </c>
      <c r="Y68" s="9">
        <v>20</v>
      </c>
      <c r="Z68" s="9">
        <v>82</v>
      </c>
      <c r="AA68" s="9">
        <v>34</v>
      </c>
      <c r="AB68" s="9">
        <v>20</v>
      </c>
      <c r="AC68" s="9">
        <v>13</v>
      </c>
      <c r="AD68" s="9">
        <v>13</v>
      </c>
      <c r="AE68" s="9">
        <v>20</v>
      </c>
      <c r="AF68" s="9">
        <v>0</v>
      </c>
      <c r="AG68" s="9">
        <v>34</v>
      </c>
      <c r="AH68" s="9">
        <v>20</v>
      </c>
      <c r="AI68" s="9">
        <v>13</v>
      </c>
      <c r="AJ68" s="9">
        <v>0</v>
      </c>
      <c r="AK68" s="9">
        <v>27</v>
      </c>
      <c r="AL68" s="9">
        <v>47</v>
      </c>
      <c r="AM68" s="9">
        <v>27</v>
      </c>
      <c r="AN68" s="9">
        <v>13</v>
      </c>
      <c r="AO68" s="9">
        <v>6</v>
      </c>
      <c r="AP68" s="9">
        <v>20</v>
      </c>
      <c r="AQ68" s="9">
        <v>20</v>
      </c>
      <c r="AR68" s="9">
        <v>75</v>
      </c>
      <c r="AS68" s="9">
        <v>6</v>
      </c>
      <c r="AT68" s="9">
        <v>20</v>
      </c>
      <c r="AU68" s="9">
        <v>27</v>
      </c>
      <c r="AV68" s="9">
        <v>0</v>
      </c>
      <c r="AW68" s="9">
        <v>40</v>
      </c>
      <c r="AX68" s="9">
        <v>0</v>
      </c>
      <c r="AY68" s="9">
        <v>6</v>
      </c>
      <c r="AZ68" s="9">
        <v>0</v>
      </c>
      <c r="BA68" s="10">
        <v>133.28</v>
      </c>
      <c r="BB68" s="11">
        <v>43059.57</v>
      </c>
      <c r="BC68" s="11">
        <v>19446.259999999998</v>
      </c>
      <c r="BD68" s="11">
        <v>27780.37</v>
      </c>
      <c r="BE68" s="11">
        <v>18057.240000000002</v>
      </c>
      <c r="BF68" s="11">
        <v>30558.41</v>
      </c>
      <c r="BG68" s="11">
        <v>43000</v>
      </c>
      <c r="BH68" s="11">
        <v>10000</v>
      </c>
      <c r="BI68" s="11">
        <v>8716</v>
      </c>
      <c r="BJ68" s="11">
        <v>11641</v>
      </c>
      <c r="BK68" s="11">
        <v>30623</v>
      </c>
      <c r="BL68" s="11">
        <v>8722</v>
      </c>
      <c r="BM68" s="11">
        <v>6172</v>
      </c>
      <c r="BN68" s="11">
        <v>2143</v>
      </c>
      <c r="BO68" s="9">
        <v>49000</v>
      </c>
      <c r="BP68" s="9">
        <v>7907</v>
      </c>
    </row>
    <row r="69" spans="1:68" x14ac:dyDescent="0.3">
      <c r="A69" s="7">
        <v>45359</v>
      </c>
      <c r="B69" s="7" t="str">
        <f t="shared" si="1"/>
        <v>MARCH</v>
      </c>
      <c r="C69" s="8">
        <f>MONTH(Data!$A69)</f>
        <v>3</v>
      </c>
      <c r="D69" s="9">
        <v>633</v>
      </c>
      <c r="E69" s="9">
        <v>706</v>
      </c>
      <c r="F69" s="9">
        <v>278</v>
      </c>
      <c r="G69" s="9">
        <v>280</v>
      </c>
      <c r="H69" s="9">
        <v>75</v>
      </c>
      <c r="I69" s="9">
        <v>176</v>
      </c>
      <c r="J69" s="9">
        <v>418</v>
      </c>
      <c r="K69" s="9">
        <v>112</v>
      </c>
      <c r="L69" s="9">
        <v>164</v>
      </c>
      <c r="M69" s="9">
        <v>43</v>
      </c>
      <c r="N69" s="9">
        <v>51</v>
      </c>
      <c r="O69" s="9">
        <v>51</v>
      </c>
      <c r="P69" s="9">
        <v>39</v>
      </c>
      <c r="Q69" s="9">
        <v>88</v>
      </c>
      <c r="R69" s="9">
        <v>76</v>
      </c>
      <c r="S69" s="9">
        <v>16</v>
      </c>
      <c r="T69" s="9">
        <v>12</v>
      </c>
      <c r="U69" s="9">
        <v>93</v>
      </c>
      <c r="V69" s="9">
        <v>49</v>
      </c>
      <c r="W69" s="9">
        <v>0</v>
      </c>
      <c r="X69" s="9">
        <v>35</v>
      </c>
      <c r="Y69" s="9">
        <v>0</v>
      </c>
      <c r="Z69" s="9">
        <v>49</v>
      </c>
      <c r="AA69" s="9">
        <v>49</v>
      </c>
      <c r="AB69" s="9">
        <v>0</v>
      </c>
      <c r="AC69" s="9">
        <v>7</v>
      </c>
      <c r="AD69" s="9">
        <v>42</v>
      </c>
      <c r="AE69" s="9">
        <v>0</v>
      </c>
      <c r="AF69" s="9">
        <v>0</v>
      </c>
      <c r="AG69" s="9">
        <v>35</v>
      </c>
      <c r="AH69" s="9">
        <v>7</v>
      </c>
      <c r="AI69" s="9">
        <v>14</v>
      </c>
      <c r="AJ69" s="9">
        <v>14</v>
      </c>
      <c r="AK69" s="9">
        <v>35</v>
      </c>
      <c r="AL69" s="9">
        <v>21</v>
      </c>
      <c r="AM69" s="9">
        <v>14</v>
      </c>
      <c r="AN69" s="9">
        <v>21</v>
      </c>
      <c r="AO69" s="9">
        <v>0</v>
      </c>
      <c r="AP69" s="9">
        <v>0</v>
      </c>
      <c r="AQ69" s="9">
        <v>28</v>
      </c>
      <c r="AR69" s="9">
        <v>77</v>
      </c>
      <c r="AS69" s="9">
        <v>7</v>
      </c>
      <c r="AT69" s="9">
        <v>49</v>
      </c>
      <c r="AU69" s="9">
        <v>28</v>
      </c>
      <c r="AV69" s="9">
        <v>0</v>
      </c>
      <c r="AW69" s="9">
        <v>14</v>
      </c>
      <c r="AX69" s="9">
        <v>0</v>
      </c>
      <c r="AY69" s="9">
        <v>14</v>
      </c>
      <c r="AZ69" s="9">
        <v>97</v>
      </c>
      <c r="BA69" s="10">
        <v>127.49000000000001</v>
      </c>
      <c r="BB69" s="11">
        <v>46648.99</v>
      </c>
      <c r="BC69" s="11">
        <v>22658.080000000002</v>
      </c>
      <c r="BD69" s="11">
        <v>23990.91</v>
      </c>
      <c r="BE69" s="11">
        <v>29322.23</v>
      </c>
      <c r="BF69" s="11">
        <v>10662.63</v>
      </c>
      <c r="BG69" s="11">
        <v>43000</v>
      </c>
      <c r="BH69" s="11">
        <v>17500</v>
      </c>
      <c r="BI69" s="11">
        <v>8716</v>
      </c>
      <c r="BJ69" s="11">
        <v>28195</v>
      </c>
      <c r="BK69" s="11">
        <v>30623</v>
      </c>
      <c r="BL69" s="11">
        <v>8722</v>
      </c>
      <c r="BM69" s="11">
        <v>6172</v>
      </c>
      <c r="BN69" s="11">
        <v>2143</v>
      </c>
      <c r="BO69" s="9">
        <v>49000</v>
      </c>
      <c r="BP69" s="9">
        <v>8615</v>
      </c>
    </row>
    <row r="70" spans="1:68" x14ac:dyDescent="0.3">
      <c r="A70" s="7">
        <v>45360</v>
      </c>
      <c r="B70" s="7" t="str">
        <f t="shared" si="1"/>
        <v>MARCH</v>
      </c>
      <c r="C70" s="8">
        <f>MONTH(Data!$A70)</f>
        <v>3</v>
      </c>
      <c r="D70" s="9">
        <v>654</v>
      </c>
      <c r="E70" s="9">
        <v>744</v>
      </c>
      <c r="F70" s="9">
        <v>215</v>
      </c>
      <c r="G70" s="9">
        <v>335</v>
      </c>
      <c r="H70" s="9">
        <v>104</v>
      </c>
      <c r="I70" s="9">
        <v>148</v>
      </c>
      <c r="J70" s="9">
        <v>470</v>
      </c>
      <c r="K70" s="9">
        <v>126</v>
      </c>
      <c r="L70" s="9">
        <v>141</v>
      </c>
      <c r="M70" s="9">
        <v>56</v>
      </c>
      <c r="N70" s="9">
        <v>60</v>
      </c>
      <c r="O70" s="9">
        <v>48</v>
      </c>
      <c r="P70" s="9">
        <v>32</v>
      </c>
      <c r="Q70" s="9">
        <v>124</v>
      </c>
      <c r="R70" s="9">
        <v>37</v>
      </c>
      <c r="S70" s="9">
        <v>34</v>
      </c>
      <c r="T70" s="9">
        <v>22</v>
      </c>
      <c r="U70" s="9">
        <v>100</v>
      </c>
      <c r="V70" s="9">
        <v>89</v>
      </c>
      <c r="W70" s="9">
        <v>22</v>
      </c>
      <c r="X70" s="9">
        <v>22</v>
      </c>
      <c r="Y70" s="9">
        <v>0</v>
      </c>
      <c r="Z70" s="9">
        <v>63</v>
      </c>
      <c r="AA70" s="9">
        <v>59</v>
      </c>
      <c r="AB70" s="9">
        <v>22</v>
      </c>
      <c r="AC70" s="9">
        <v>7</v>
      </c>
      <c r="AD70" s="9">
        <v>14</v>
      </c>
      <c r="AE70" s="9">
        <v>22</v>
      </c>
      <c r="AF70" s="9">
        <v>0</v>
      </c>
      <c r="AG70" s="9">
        <v>29</v>
      </c>
      <c r="AH70" s="9">
        <v>7</v>
      </c>
      <c r="AI70" s="9">
        <v>22</v>
      </c>
      <c r="AJ70" s="9">
        <v>14</v>
      </c>
      <c r="AK70" s="9">
        <v>52</v>
      </c>
      <c r="AL70" s="9">
        <v>22</v>
      </c>
      <c r="AM70" s="9">
        <v>22</v>
      </c>
      <c r="AN70" s="9">
        <v>0</v>
      </c>
      <c r="AO70" s="9">
        <v>0</v>
      </c>
      <c r="AP70" s="9">
        <v>7</v>
      </c>
      <c r="AQ70" s="9">
        <v>22</v>
      </c>
      <c r="AR70" s="9">
        <v>81</v>
      </c>
      <c r="AS70" s="9">
        <v>7</v>
      </c>
      <c r="AT70" s="9">
        <v>52</v>
      </c>
      <c r="AU70" s="9">
        <v>22</v>
      </c>
      <c r="AV70" s="9">
        <v>7</v>
      </c>
      <c r="AW70" s="9">
        <v>44</v>
      </c>
      <c r="AX70" s="9">
        <v>7</v>
      </c>
      <c r="AY70" s="9">
        <v>7</v>
      </c>
      <c r="AZ70" s="9">
        <v>0</v>
      </c>
      <c r="BA70" s="10">
        <v>122.54</v>
      </c>
      <c r="BB70" s="11">
        <v>31869.73</v>
      </c>
      <c r="BC70" s="11">
        <v>28045.360000000001</v>
      </c>
      <c r="BD70" s="11">
        <v>19121.84</v>
      </c>
      <c r="BE70" s="11">
        <v>20396.63</v>
      </c>
      <c r="BF70" s="11">
        <v>28045.360000000001</v>
      </c>
      <c r="BG70" s="11">
        <v>43000</v>
      </c>
      <c r="BH70" s="11">
        <v>17500</v>
      </c>
      <c r="BI70" s="11">
        <v>8716</v>
      </c>
      <c r="BJ70" s="11">
        <v>28195</v>
      </c>
      <c r="BK70" s="11">
        <v>30623</v>
      </c>
      <c r="BL70" s="11">
        <v>8722</v>
      </c>
      <c r="BM70" s="11">
        <v>6172</v>
      </c>
      <c r="BN70" s="11">
        <v>2143</v>
      </c>
      <c r="BO70" s="9">
        <v>49000</v>
      </c>
      <c r="BP70" s="9">
        <v>8144</v>
      </c>
    </row>
    <row r="71" spans="1:68" x14ac:dyDescent="0.3">
      <c r="A71" s="7">
        <v>45361</v>
      </c>
      <c r="B71" s="7" t="str">
        <f t="shared" si="1"/>
        <v>MARCH</v>
      </c>
      <c r="C71" s="8">
        <f>MONTH(Data!$A71)</f>
        <v>3</v>
      </c>
      <c r="D71" s="9">
        <v>676</v>
      </c>
      <c r="E71" s="9">
        <v>778</v>
      </c>
      <c r="F71" s="9">
        <v>148</v>
      </c>
      <c r="G71" s="9">
        <v>481</v>
      </c>
      <c r="H71" s="9">
        <v>47</v>
      </c>
      <c r="I71" s="9">
        <v>186</v>
      </c>
      <c r="J71" s="9">
        <v>530</v>
      </c>
      <c r="K71" s="9">
        <v>62</v>
      </c>
      <c r="L71" s="9">
        <v>150</v>
      </c>
      <c r="M71" s="9">
        <v>50</v>
      </c>
      <c r="N71" s="9">
        <v>37</v>
      </c>
      <c r="O71" s="9">
        <v>58</v>
      </c>
      <c r="P71" s="9">
        <v>12</v>
      </c>
      <c r="Q71" s="9">
        <v>123</v>
      </c>
      <c r="R71" s="9">
        <v>33</v>
      </c>
      <c r="S71" s="9">
        <v>38</v>
      </c>
      <c r="T71" s="9">
        <v>15</v>
      </c>
      <c r="U71" s="9">
        <v>160</v>
      </c>
      <c r="V71" s="9">
        <v>77</v>
      </c>
      <c r="W71" s="9">
        <v>15</v>
      </c>
      <c r="X71" s="9">
        <v>38</v>
      </c>
      <c r="Y71" s="9">
        <v>7</v>
      </c>
      <c r="Z71" s="9">
        <v>92</v>
      </c>
      <c r="AA71" s="9">
        <v>54</v>
      </c>
      <c r="AB71" s="9">
        <v>7</v>
      </c>
      <c r="AC71" s="9">
        <v>0</v>
      </c>
      <c r="AD71" s="9">
        <v>15</v>
      </c>
      <c r="AE71" s="9">
        <v>15</v>
      </c>
      <c r="AF71" s="9">
        <v>7</v>
      </c>
      <c r="AG71" s="9">
        <v>23</v>
      </c>
      <c r="AH71" s="9">
        <v>0</v>
      </c>
      <c r="AI71" s="9">
        <v>7</v>
      </c>
      <c r="AJ71" s="9">
        <v>7</v>
      </c>
      <c r="AK71" s="9">
        <v>31</v>
      </c>
      <c r="AL71" s="9">
        <v>46</v>
      </c>
      <c r="AM71" s="9">
        <v>15</v>
      </c>
      <c r="AN71" s="9">
        <v>7</v>
      </c>
      <c r="AO71" s="9">
        <v>0</v>
      </c>
      <c r="AP71" s="9">
        <v>0</v>
      </c>
      <c r="AQ71" s="9">
        <v>31</v>
      </c>
      <c r="AR71" s="9">
        <v>77</v>
      </c>
      <c r="AS71" s="9">
        <v>7</v>
      </c>
      <c r="AT71" s="9">
        <v>70</v>
      </c>
      <c r="AU71" s="9">
        <v>31</v>
      </c>
      <c r="AV71" s="9">
        <v>7</v>
      </c>
      <c r="AW71" s="9">
        <v>54</v>
      </c>
      <c r="AX71" s="9">
        <v>23</v>
      </c>
      <c r="AY71" s="9">
        <v>15</v>
      </c>
      <c r="AZ71" s="9">
        <v>0</v>
      </c>
      <c r="BA71" s="10">
        <v>119.2</v>
      </c>
      <c r="BB71" s="11">
        <v>31860.23</v>
      </c>
      <c r="BC71" s="11">
        <v>20831.689999999999</v>
      </c>
      <c r="BD71" s="11">
        <v>24507.87</v>
      </c>
      <c r="BE71" s="11">
        <v>25733.26</v>
      </c>
      <c r="BF71" s="11">
        <v>19606.3</v>
      </c>
      <c r="BG71" s="11">
        <v>43000</v>
      </c>
      <c r="BH71" s="11">
        <v>17500</v>
      </c>
      <c r="BI71" s="11">
        <v>8716</v>
      </c>
      <c r="BJ71" s="11">
        <v>28195</v>
      </c>
      <c r="BK71" s="11">
        <v>30623</v>
      </c>
      <c r="BL71" s="11">
        <v>8722</v>
      </c>
      <c r="BM71" s="11">
        <v>6172</v>
      </c>
      <c r="BN71" s="11">
        <v>2143</v>
      </c>
      <c r="BO71" s="9">
        <v>49000</v>
      </c>
      <c r="BP71" s="9">
        <v>3895</v>
      </c>
    </row>
    <row r="72" spans="1:68" x14ac:dyDescent="0.3">
      <c r="A72" s="7">
        <v>45362</v>
      </c>
      <c r="B72" s="7" t="str">
        <f t="shared" si="1"/>
        <v>MARCH</v>
      </c>
      <c r="C72" s="8">
        <f>MONTH(Data!$A72)</f>
        <v>3</v>
      </c>
      <c r="D72" s="9">
        <v>703</v>
      </c>
      <c r="E72" s="9">
        <v>792</v>
      </c>
      <c r="F72" s="9">
        <v>182</v>
      </c>
      <c r="G72" s="9">
        <v>381</v>
      </c>
      <c r="H72" s="9">
        <v>140</v>
      </c>
      <c r="I72" s="9">
        <v>356</v>
      </c>
      <c r="J72" s="9">
        <v>302</v>
      </c>
      <c r="K72" s="9">
        <v>134</v>
      </c>
      <c r="L72" s="9">
        <v>196</v>
      </c>
      <c r="M72" s="9">
        <v>56</v>
      </c>
      <c r="N72" s="9">
        <v>56</v>
      </c>
      <c r="O72" s="9">
        <v>61</v>
      </c>
      <c r="P72" s="9">
        <v>30</v>
      </c>
      <c r="Q72" s="9">
        <v>98</v>
      </c>
      <c r="R72" s="9">
        <v>34</v>
      </c>
      <c r="S72" s="9">
        <v>29</v>
      </c>
      <c r="T72" s="9">
        <v>16</v>
      </c>
      <c r="U72" s="9">
        <v>127</v>
      </c>
      <c r="V72" s="9">
        <v>47</v>
      </c>
      <c r="W72" s="9">
        <v>7</v>
      </c>
      <c r="X72" s="9">
        <v>47</v>
      </c>
      <c r="Y72" s="9">
        <v>15</v>
      </c>
      <c r="Z72" s="9">
        <v>87</v>
      </c>
      <c r="AA72" s="9">
        <v>47</v>
      </c>
      <c r="AB72" s="9">
        <v>7</v>
      </c>
      <c r="AC72" s="9">
        <v>7</v>
      </c>
      <c r="AD72" s="9">
        <v>47</v>
      </c>
      <c r="AE72" s="9">
        <v>23</v>
      </c>
      <c r="AF72" s="9">
        <v>7</v>
      </c>
      <c r="AG72" s="9">
        <v>15</v>
      </c>
      <c r="AH72" s="9">
        <v>23</v>
      </c>
      <c r="AI72" s="9">
        <v>15</v>
      </c>
      <c r="AJ72" s="9">
        <v>23</v>
      </c>
      <c r="AK72" s="9">
        <v>79</v>
      </c>
      <c r="AL72" s="9">
        <v>15</v>
      </c>
      <c r="AM72" s="9">
        <v>15</v>
      </c>
      <c r="AN72" s="9">
        <v>23</v>
      </c>
      <c r="AO72" s="9">
        <v>0</v>
      </c>
      <c r="AP72" s="9">
        <v>7</v>
      </c>
      <c r="AQ72" s="9">
        <v>7</v>
      </c>
      <c r="AR72" s="9">
        <v>87</v>
      </c>
      <c r="AS72" s="9">
        <v>15</v>
      </c>
      <c r="AT72" s="9">
        <v>55</v>
      </c>
      <c r="AU72" s="9">
        <v>23</v>
      </c>
      <c r="AV72" s="9">
        <v>0</v>
      </c>
      <c r="AW72" s="9">
        <v>15</v>
      </c>
      <c r="AX72" s="9">
        <v>23</v>
      </c>
      <c r="AY72" s="9">
        <v>7</v>
      </c>
      <c r="AZ72" s="9">
        <v>4</v>
      </c>
      <c r="BA72" s="10">
        <v>116.21</v>
      </c>
      <c r="BB72" s="11">
        <v>32183.72</v>
      </c>
      <c r="BC72" s="11">
        <v>16687.86</v>
      </c>
      <c r="BD72" s="11">
        <v>13111.89</v>
      </c>
      <c r="BE72" s="11">
        <v>11919.9</v>
      </c>
      <c r="BF72" s="11">
        <v>45295.61</v>
      </c>
      <c r="BG72" s="11">
        <v>43000</v>
      </c>
      <c r="BH72" s="11">
        <v>17500</v>
      </c>
      <c r="BI72" s="11">
        <v>8716</v>
      </c>
      <c r="BJ72" s="11">
        <v>28195</v>
      </c>
      <c r="BK72" s="11">
        <v>30623</v>
      </c>
      <c r="BL72" s="11">
        <v>8722</v>
      </c>
      <c r="BM72" s="11">
        <v>6172</v>
      </c>
      <c r="BN72" s="11">
        <v>2143</v>
      </c>
      <c r="BO72" s="9">
        <v>49000</v>
      </c>
      <c r="BP72" s="9">
        <v>7029</v>
      </c>
    </row>
    <row r="73" spans="1:68" x14ac:dyDescent="0.3">
      <c r="A73" s="7">
        <v>45363</v>
      </c>
      <c r="B73" s="7" t="str">
        <f t="shared" si="1"/>
        <v>MARCH</v>
      </c>
      <c r="C73" s="8">
        <f>MONTH(Data!$A73)</f>
        <v>3</v>
      </c>
      <c r="D73" s="9">
        <v>730</v>
      </c>
      <c r="E73" s="9">
        <v>796</v>
      </c>
      <c r="F73" s="9">
        <v>379</v>
      </c>
      <c r="G73" s="9">
        <v>242</v>
      </c>
      <c r="H73" s="9">
        <v>109</v>
      </c>
      <c r="I73" s="9">
        <v>286</v>
      </c>
      <c r="J73" s="9">
        <v>439</v>
      </c>
      <c r="K73" s="9">
        <v>71</v>
      </c>
      <c r="L73" s="9">
        <v>190</v>
      </c>
      <c r="M73" s="9">
        <v>135</v>
      </c>
      <c r="N73" s="9">
        <v>45</v>
      </c>
      <c r="O73" s="9">
        <v>31</v>
      </c>
      <c r="P73" s="9">
        <v>9</v>
      </c>
      <c r="Q73" s="9">
        <v>97</v>
      </c>
      <c r="R73" s="9">
        <v>19</v>
      </c>
      <c r="S73" s="9">
        <v>36</v>
      </c>
      <c r="T73" s="9">
        <v>22</v>
      </c>
      <c r="U73" s="9">
        <v>146</v>
      </c>
      <c r="V73" s="9">
        <v>111</v>
      </c>
      <c r="W73" s="9">
        <v>23</v>
      </c>
      <c r="X73" s="9">
        <v>23</v>
      </c>
      <c r="Y73" s="9">
        <v>15</v>
      </c>
      <c r="Z73" s="9">
        <v>108</v>
      </c>
      <c r="AA73" s="9">
        <v>39</v>
      </c>
      <c r="AB73" s="9">
        <v>23</v>
      </c>
      <c r="AC73" s="9">
        <v>15</v>
      </c>
      <c r="AD73" s="9">
        <v>31</v>
      </c>
      <c r="AE73" s="9">
        <v>0</v>
      </c>
      <c r="AF73" s="9">
        <v>0</v>
      </c>
      <c r="AG73" s="9">
        <v>7</v>
      </c>
      <c r="AH73" s="9">
        <v>0</v>
      </c>
      <c r="AI73" s="9">
        <v>15</v>
      </c>
      <c r="AJ73" s="9">
        <v>7</v>
      </c>
      <c r="AK73" s="9">
        <v>63</v>
      </c>
      <c r="AL73" s="9">
        <v>31</v>
      </c>
      <c r="AM73" s="9">
        <v>7</v>
      </c>
      <c r="AN73" s="9">
        <v>23</v>
      </c>
      <c r="AO73" s="9">
        <v>0</v>
      </c>
      <c r="AP73" s="9">
        <v>0</v>
      </c>
      <c r="AQ73" s="9">
        <v>7</v>
      </c>
      <c r="AR73" s="9">
        <v>79</v>
      </c>
      <c r="AS73" s="9">
        <v>23</v>
      </c>
      <c r="AT73" s="9">
        <v>31</v>
      </c>
      <c r="AU73" s="9">
        <v>39</v>
      </c>
      <c r="AV73" s="9">
        <v>7</v>
      </c>
      <c r="AW73" s="9">
        <v>47</v>
      </c>
      <c r="AX73" s="9">
        <v>15</v>
      </c>
      <c r="AY73" s="9">
        <v>7</v>
      </c>
      <c r="AZ73" s="9">
        <v>0</v>
      </c>
      <c r="BA73" s="10">
        <v>114.29999999999998</v>
      </c>
      <c r="BB73" s="11">
        <v>39508.800000000003</v>
      </c>
      <c r="BC73" s="11">
        <v>16268.33</v>
      </c>
      <c r="BD73" s="11">
        <v>23240.47</v>
      </c>
      <c r="BE73" s="11">
        <v>16268.33</v>
      </c>
      <c r="BF73" s="11">
        <v>20916.419999999998</v>
      </c>
      <c r="BG73" s="11">
        <v>43000</v>
      </c>
      <c r="BH73" s="11">
        <v>17500</v>
      </c>
      <c r="BI73" s="11">
        <v>8716</v>
      </c>
      <c r="BJ73" s="11">
        <v>29323</v>
      </c>
      <c r="BK73" s="11">
        <v>30623</v>
      </c>
      <c r="BL73" s="11">
        <v>8722</v>
      </c>
      <c r="BM73" s="11">
        <v>6172</v>
      </c>
      <c r="BN73" s="11">
        <v>2143</v>
      </c>
      <c r="BO73" s="9">
        <v>49000</v>
      </c>
      <c r="BP73" s="9">
        <v>4115</v>
      </c>
    </row>
    <row r="74" spans="1:68" x14ac:dyDescent="0.3">
      <c r="A74" s="7">
        <v>45364</v>
      </c>
      <c r="B74" s="7" t="str">
        <f t="shared" si="1"/>
        <v>MARCH</v>
      </c>
      <c r="C74" s="8">
        <f>MONTH(Data!$A74)</f>
        <v>3</v>
      </c>
      <c r="D74" s="9">
        <v>754</v>
      </c>
      <c r="E74" s="9">
        <v>788</v>
      </c>
      <c r="F74" s="9">
        <v>256</v>
      </c>
      <c r="G74" s="9">
        <v>363</v>
      </c>
      <c r="H74" s="9">
        <v>135</v>
      </c>
      <c r="I74" s="9">
        <v>370</v>
      </c>
      <c r="J74" s="9">
        <v>269</v>
      </c>
      <c r="K74" s="9">
        <v>149</v>
      </c>
      <c r="L74" s="9">
        <v>219</v>
      </c>
      <c r="M74" s="9">
        <v>23</v>
      </c>
      <c r="N74" s="9">
        <v>70</v>
      </c>
      <c r="O74" s="9">
        <v>46</v>
      </c>
      <c r="P74" s="9">
        <v>28</v>
      </c>
      <c r="Q74" s="9">
        <v>108</v>
      </c>
      <c r="R74" s="9">
        <v>48</v>
      </c>
      <c r="S74" s="9">
        <v>28</v>
      </c>
      <c r="T74" s="9">
        <v>31</v>
      </c>
      <c r="U74" s="9">
        <v>153</v>
      </c>
      <c r="V74" s="9">
        <v>31</v>
      </c>
      <c r="W74" s="9">
        <v>7</v>
      </c>
      <c r="X74" s="9">
        <v>39</v>
      </c>
      <c r="Y74" s="9">
        <v>7</v>
      </c>
      <c r="Z74" s="9">
        <v>82</v>
      </c>
      <c r="AA74" s="9">
        <v>55</v>
      </c>
      <c r="AB74" s="9">
        <v>23</v>
      </c>
      <c r="AC74" s="9">
        <v>15</v>
      </c>
      <c r="AD74" s="9">
        <v>31</v>
      </c>
      <c r="AE74" s="9">
        <v>23</v>
      </c>
      <c r="AF74" s="9">
        <v>7</v>
      </c>
      <c r="AG74" s="9">
        <v>15</v>
      </c>
      <c r="AH74" s="9">
        <v>7</v>
      </c>
      <c r="AI74" s="9">
        <v>15</v>
      </c>
      <c r="AJ74" s="9">
        <v>15</v>
      </c>
      <c r="AK74" s="9">
        <v>70</v>
      </c>
      <c r="AL74" s="9">
        <v>7</v>
      </c>
      <c r="AM74" s="9">
        <v>39</v>
      </c>
      <c r="AN74" s="9">
        <v>7</v>
      </c>
      <c r="AO74" s="9">
        <v>0</v>
      </c>
      <c r="AP74" s="9">
        <v>23</v>
      </c>
      <c r="AQ74" s="9">
        <v>31</v>
      </c>
      <c r="AR74" s="9">
        <v>78</v>
      </c>
      <c r="AS74" s="9">
        <v>15</v>
      </c>
      <c r="AT74" s="9">
        <v>63</v>
      </c>
      <c r="AU74" s="9">
        <v>23</v>
      </c>
      <c r="AV74" s="9">
        <v>7</v>
      </c>
      <c r="AW74" s="9">
        <v>15</v>
      </c>
      <c r="AX74" s="9">
        <v>31</v>
      </c>
      <c r="AY74" s="9">
        <v>7</v>
      </c>
      <c r="AZ74" s="9">
        <v>0</v>
      </c>
      <c r="BA74" s="10">
        <v>113.39000000000001</v>
      </c>
      <c r="BB74" s="11">
        <v>35433.800000000003</v>
      </c>
      <c r="BC74" s="11">
        <v>14859.34</v>
      </c>
      <c r="BD74" s="11">
        <v>11430.26</v>
      </c>
      <c r="BE74" s="11">
        <v>14859.34</v>
      </c>
      <c r="BF74" s="11">
        <v>37719.85</v>
      </c>
      <c r="BG74" s="11">
        <v>43000</v>
      </c>
      <c r="BH74" s="11">
        <v>17500</v>
      </c>
      <c r="BI74" s="11">
        <v>8716</v>
      </c>
      <c r="BJ74" s="11">
        <v>29323</v>
      </c>
      <c r="BK74" s="11">
        <v>30623</v>
      </c>
      <c r="BL74" s="11">
        <v>8722</v>
      </c>
      <c r="BM74" s="11">
        <v>6172</v>
      </c>
      <c r="BN74" s="11">
        <v>2143</v>
      </c>
      <c r="BO74" s="9">
        <v>49000</v>
      </c>
      <c r="BP74" s="9">
        <v>580</v>
      </c>
    </row>
    <row r="75" spans="1:68" x14ac:dyDescent="0.3">
      <c r="A75" s="7">
        <v>45365</v>
      </c>
      <c r="B75" s="7" t="str">
        <f t="shared" si="1"/>
        <v>MARCH</v>
      </c>
      <c r="C75" s="8">
        <f>MONTH(Data!$A75)</f>
        <v>3</v>
      </c>
      <c r="D75" s="9">
        <v>775</v>
      </c>
      <c r="E75" s="9">
        <v>778</v>
      </c>
      <c r="F75" s="9">
        <v>395</v>
      </c>
      <c r="G75" s="9">
        <v>241</v>
      </c>
      <c r="H75" s="9">
        <v>139</v>
      </c>
      <c r="I75" s="9">
        <v>404</v>
      </c>
      <c r="J75" s="9">
        <v>312</v>
      </c>
      <c r="K75" s="9">
        <v>62</v>
      </c>
      <c r="L75" s="9">
        <v>264</v>
      </c>
      <c r="M75" s="9">
        <v>33</v>
      </c>
      <c r="N75" s="9">
        <v>67</v>
      </c>
      <c r="O75" s="9">
        <v>43</v>
      </c>
      <c r="P75" s="9">
        <v>48</v>
      </c>
      <c r="Q75" s="9">
        <v>159</v>
      </c>
      <c r="R75" s="9">
        <v>47</v>
      </c>
      <c r="S75" s="9">
        <v>44</v>
      </c>
      <c r="T75" s="9">
        <v>35</v>
      </c>
      <c r="U75" s="9">
        <v>35</v>
      </c>
      <c r="V75" s="9">
        <v>38</v>
      </c>
      <c r="W75" s="9">
        <v>0</v>
      </c>
      <c r="X75" s="9">
        <v>23</v>
      </c>
      <c r="Y75" s="9">
        <v>15</v>
      </c>
      <c r="Z75" s="9">
        <v>70</v>
      </c>
      <c r="AA75" s="9">
        <v>54</v>
      </c>
      <c r="AB75" s="9">
        <v>23</v>
      </c>
      <c r="AC75" s="9">
        <v>23</v>
      </c>
      <c r="AD75" s="9">
        <v>31</v>
      </c>
      <c r="AE75" s="9">
        <v>15</v>
      </c>
      <c r="AF75" s="9">
        <v>0</v>
      </c>
      <c r="AG75" s="9">
        <v>15</v>
      </c>
      <c r="AH75" s="9">
        <v>15</v>
      </c>
      <c r="AI75" s="9">
        <v>0</v>
      </c>
      <c r="AJ75" s="9">
        <v>7</v>
      </c>
      <c r="AK75" s="9">
        <v>31</v>
      </c>
      <c r="AL75" s="9">
        <v>23</v>
      </c>
      <c r="AM75" s="9">
        <v>23</v>
      </c>
      <c r="AN75" s="9">
        <v>0</v>
      </c>
      <c r="AO75" s="9">
        <v>0</v>
      </c>
      <c r="AP75" s="9">
        <v>0</v>
      </c>
      <c r="AQ75" s="9">
        <v>7</v>
      </c>
      <c r="AR75" s="9">
        <v>54</v>
      </c>
      <c r="AS75" s="9">
        <v>23</v>
      </c>
      <c r="AT75" s="9">
        <v>23</v>
      </c>
      <c r="AU75" s="9">
        <v>38</v>
      </c>
      <c r="AV75" s="9">
        <v>7</v>
      </c>
      <c r="AW75" s="9">
        <v>15</v>
      </c>
      <c r="AX75" s="9">
        <v>0</v>
      </c>
      <c r="AY75" s="9">
        <v>31</v>
      </c>
      <c r="AZ75" s="9">
        <v>174</v>
      </c>
      <c r="BA75" s="10">
        <v>112.62999999999998</v>
      </c>
      <c r="BB75" s="11">
        <v>31747.31</v>
      </c>
      <c r="BC75" s="11">
        <v>28345.81</v>
      </c>
      <c r="BD75" s="11">
        <v>27211.98</v>
      </c>
      <c r="BE75" s="11">
        <v>17007.490000000002</v>
      </c>
      <c r="BF75" s="11">
        <v>9070.66</v>
      </c>
      <c r="BG75" s="11">
        <v>43000</v>
      </c>
      <c r="BH75" s="11">
        <v>17500</v>
      </c>
      <c r="BI75" s="11">
        <v>8716</v>
      </c>
      <c r="BJ75" s="11">
        <v>29323</v>
      </c>
      <c r="BK75" s="11">
        <v>30623</v>
      </c>
      <c r="BL75" s="11">
        <v>8722</v>
      </c>
      <c r="BM75" s="11">
        <v>6172</v>
      </c>
      <c r="BN75" s="11">
        <v>2143</v>
      </c>
      <c r="BO75" s="9">
        <v>49000</v>
      </c>
      <c r="BP75" s="9">
        <v>7422</v>
      </c>
    </row>
    <row r="76" spans="1:68" x14ac:dyDescent="0.3">
      <c r="A76" s="7">
        <v>45366</v>
      </c>
      <c r="B76" s="7" t="str">
        <f t="shared" si="1"/>
        <v>MARCH</v>
      </c>
      <c r="C76" s="8">
        <f>MONTH(Data!$A76)</f>
        <v>3</v>
      </c>
      <c r="D76" s="9">
        <v>795</v>
      </c>
      <c r="E76" s="9">
        <v>752</v>
      </c>
      <c r="F76" s="9">
        <v>174</v>
      </c>
      <c r="G76" s="9">
        <v>470</v>
      </c>
      <c r="H76" s="9">
        <v>151</v>
      </c>
      <c r="I76" s="9">
        <v>345</v>
      </c>
      <c r="J76" s="9">
        <v>250</v>
      </c>
      <c r="K76" s="9">
        <v>157</v>
      </c>
      <c r="L76" s="9">
        <v>246</v>
      </c>
      <c r="M76" s="9">
        <v>128</v>
      </c>
      <c r="N76" s="9">
        <v>73</v>
      </c>
      <c r="O76" s="9">
        <v>34</v>
      </c>
      <c r="P76" s="9">
        <v>34</v>
      </c>
      <c r="Q76" s="9">
        <v>129</v>
      </c>
      <c r="R76" s="9">
        <v>87</v>
      </c>
      <c r="S76" s="9">
        <v>21</v>
      </c>
      <c r="T76" s="9">
        <v>33</v>
      </c>
      <c r="U76" s="9">
        <v>10</v>
      </c>
      <c r="V76" s="9">
        <v>90</v>
      </c>
      <c r="W76" s="9">
        <v>7</v>
      </c>
      <c r="X76" s="9">
        <v>22</v>
      </c>
      <c r="Y76" s="9">
        <v>22</v>
      </c>
      <c r="Z76" s="9">
        <v>34</v>
      </c>
      <c r="AA76" s="9">
        <v>60</v>
      </c>
      <c r="AB76" s="9">
        <v>22</v>
      </c>
      <c r="AC76" s="9">
        <v>15</v>
      </c>
      <c r="AD76" s="9">
        <v>15</v>
      </c>
      <c r="AE76" s="9">
        <v>0</v>
      </c>
      <c r="AF76" s="9">
        <v>0</v>
      </c>
      <c r="AG76" s="9">
        <v>22</v>
      </c>
      <c r="AH76" s="9">
        <v>22</v>
      </c>
      <c r="AI76" s="9">
        <v>7</v>
      </c>
      <c r="AJ76" s="9">
        <v>15</v>
      </c>
      <c r="AK76" s="9">
        <v>67</v>
      </c>
      <c r="AL76" s="9">
        <v>52</v>
      </c>
      <c r="AM76" s="9">
        <v>37</v>
      </c>
      <c r="AN76" s="9">
        <v>22</v>
      </c>
      <c r="AO76" s="9">
        <v>7</v>
      </c>
      <c r="AP76" s="9">
        <v>7</v>
      </c>
      <c r="AQ76" s="9">
        <v>22</v>
      </c>
      <c r="AR76" s="9">
        <v>60</v>
      </c>
      <c r="AS76" s="9">
        <v>15</v>
      </c>
      <c r="AT76" s="9">
        <v>30</v>
      </c>
      <c r="AU76" s="9">
        <v>37</v>
      </c>
      <c r="AV76" s="9">
        <v>7</v>
      </c>
      <c r="AW76" s="9">
        <v>22</v>
      </c>
      <c r="AX76" s="9">
        <v>7</v>
      </c>
      <c r="AY76" s="9">
        <v>7</v>
      </c>
      <c r="AZ76" s="9">
        <v>0</v>
      </c>
      <c r="BA76" s="10">
        <v>112.78</v>
      </c>
      <c r="BB76" s="11">
        <v>32662.52</v>
      </c>
      <c r="BC76" s="11">
        <v>28157.34</v>
      </c>
      <c r="BD76" s="11">
        <v>13515.53</v>
      </c>
      <c r="BE76" s="11">
        <v>25904.76</v>
      </c>
      <c r="BF76" s="11">
        <v>12389.23</v>
      </c>
      <c r="BG76" s="11">
        <v>39500</v>
      </c>
      <c r="BH76" s="11">
        <v>17500</v>
      </c>
      <c r="BI76" s="11">
        <v>8716</v>
      </c>
      <c r="BJ76" s="11">
        <v>29323</v>
      </c>
      <c r="BK76" s="11">
        <v>30623</v>
      </c>
      <c r="BL76" s="11">
        <v>8722</v>
      </c>
      <c r="BM76" s="11">
        <v>6172</v>
      </c>
      <c r="BN76" s="11">
        <v>2143</v>
      </c>
      <c r="BO76" s="9">
        <v>49000</v>
      </c>
      <c r="BP76" s="9">
        <v>1784</v>
      </c>
    </row>
    <row r="77" spans="1:68" x14ac:dyDescent="0.3">
      <c r="A77" s="7">
        <v>45367</v>
      </c>
      <c r="B77" s="7" t="str">
        <f t="shared" si="1"/>
        <v>MARCH</v>
      </c>
      <c r="C77" s="8">
        <f>MONTH(Data!$A77)</f>
        <v>3</v>
      </c>
      <c r="D77" s="9">
        <v>805</v>
      </c>
      <c r="E77" s="9">
        <v>713</v>
      </c>
      <c r="F77" s="9">
        <v>273</v>
      </c>
      <c r="G77" s="9">
        <v>476</v>
      </c>
      <c r="H77" s="9">
        <v>56</v>
      </c>
      <c r="I77" s="9">
        <v>292</v>
      </c>
      <c r="J77" s="9">
        <v>307</v>
      </c>
      <c r="K77" s="9">
        <v>114</v>
      </c>
      <c r="L77" s="9">
        <v>209</v>
      </c>
      <c r="M77" s="9">
        <v>134</v>
      </c>
      <c r="N77" s="9">
        <v>49</v>
      </c>
      <c r="O77" s="9">
        <v>69</v>
      </c>
      <c r="P77" s="9">
        <v>19</v>
      </c>
      <c r="Q77" s="9">
        <v>156</v>
      </c>
      <c r="R77" s="9">
        <v>42</v>
      </c>
      <c r="S77" s="9">
        <v>33</v>
      </c>
      <c r="T77" s="9">
        <v>21</v>
      </c>
      <c r="U77" s="9">
        <v>73</v>
      </c>
      <c r="V77" s="9">
        <v>42</v>
      </c>
      <c r="W77" s="9">
        <v>21</v>
      </c>
      <c r="X77" s="9">
        <v>21</v>
      </c>
      <c r="Y77" s="9">
        <v>21</v>
      </c>
      <c r="Z77" s="9">
        <v>49</v>
      </c>
      <c r="AA77" s="9">
        <v>42</v>
      </c>
      <c r="AB77" s="9">
        <v>21</v>
      </c>
      <c r="AC77" s="9">
        <v>0</v>
      </c>
      <c r="AD77" s="9">
        <v>42</v>
      </c>
      <c r="AE77" s="9">
        <v>0</v>
      </c>
      <c r="AF77" s="9">
        <v>7</v>
      </c>
      <c r="AG77" s="9">
        <v>28</v>
      </c>
      <c r="AH77" s="9">
        <v>14</v>
      </c>
      <c r="AI77" s="9">
        <v>21</v>
      </c>
      <c r="AJ77" s="9">
        <v>7</v>
      </c>
      <c r="AK77" s="9">
        <v>35</v>
      </c>
      <c r="AL77" s="9">
        <v>35</v>
      </c>
      <c r="AM77" s="9">
        <v>21</v>
      </c>
      <c r="AN77" s="9">
        <v>21</v>
      </c>
      <c r="AO77" s="9">
        <v>0</v>
      </c>
      <c r="AP77" s="9">
        <v>7</v>
      </c>
      <c r="AQ77" s="9">
        <v>21</v>
      </c>
      <c r="AR77" s="9">
        <v>78</v>
      </c>
      <c r="AS77" s="9">
        <v>21</v>
      </c>
      <c r="AT77" s="9">
        <v>57</v>
      </c>
      <c r="AU77" s="9">
        <v>21</v>
      </c>
      <c r="AV77" s="9">
        <v>0</v>
      </c>
      <c r="AW77" s="9">
        <v>28</v>
      </c>
      <c r="AX77" s="9">
        <v>14</v>
      </c>
      <c r="AY77" s="9">
        <v>0</v>
      </c>
      <c r="AZ77" s="9">
        <v>18</v>
      </c>
      <c r="BA77" s="10">
        <v>114.27000000000001</v>
      </c>
      <c r="BB77" s="11">
        <v>34961.230000000003</v>
      </c>
      <c r="BC77" s="11">
        <v>18044.509999999998</v>
      </c>
      <c r="BD77" s="11">
        <v>27066.76</v>
      </c>
      <c r="BE77" s="11">
        <v>16916.72</v>
      </c>
      <c r="BF77" s="11">
        <v>15788.94</v>
      </c>
      <c r="BG77" s="11">
        <v>39500</v>
      </c>
      <c r="BH77" s="11">
        <v>17500</v>
      </c>
      <c r="BI77" s="11">
        <v>8716</v>
      </c>
      <c r="BJ77" s="11">
        <v>29323</v>
      </c>
      <c r="BK77" s="11">
        <v>30623</v>
      </c>
      <c r="BL77" s="11">
        <v>8722</v>
      </c>
      <c r="BM77" s="11">
        <v>6172</v>
      </c>
      <c r="BN77" s="11">
        <v>2143</v>
      </c>
      <c r="BO77" s="9">
        <v>49000</v>
      </c>
      <c r="BP77" s="9">
        <v>3574</v>
      </c>
    </row>
    <row r="78" spans="1:68" x14ac:dyDescent="0.3">
      <c r="A78" s="7">
        <v>45368</v>
      </c>
      <c r="B78" s="7" t="str">
        <f t="shared" si="1"/>
        <v>MARCH</v>
      </c>
      <c r="C78" s="8">
        <f>MONTH(Data!$A78)</f>
        <v>3</v>
      </c>
      <c r="D78" s="9">
        <v>816</v>
      </c>
      <c r="E78" s="9">
        <v>665</v>
      </c>
      <c r="F78" s="9">
        <v>285</v>
      </c>
      <c r="G78" s="9">
        <v>376</v>
      </c>
      <c r="H78" s="9">
        <v>155</v>
      </c>
      <c r="I78" s="9">
        <v>352</v>
      </c>
      <c r="J78" s="9">
        <v>227</v>
      </c>
      <c r="K78" s="9">
        <v>86</v>
      </c>
      <c r="L78" s="9">
        <v>202</v>
      </c>
      <c r="M78" s="9">
        <v>65</v>
      </c>
      <c r="N78" s="9">
        <v>50</v>
      </c>
      <c r="O78" s="9">
        <v>35</v>
      </c>
      <c r="P78" s="9">
        <v>45</v>
      </c>
      <c r="Q78" s="9">
        <v>105</v>
      </c>
      <c r="R78" s="9">
        <v>55</v>
      </c>
      <c r="S78" s="9">
        <v>40</v>
      </c>
      <c r="T78" s="9">
        <v>34</v>
      </c>
      <c r="U78" s="9">
        <v>185</v>
      </c>
      <c r="V78" s="9">
        <v>86</v>
      </c>
      <c r="W78" s="9">
        <v>13</v>
      </c>
      <c r="X78" s="9">
        <v>46</v>
      </c>
      <c r="Y78" s="9">
        <v>13</v>
      </c>
      <c r="Z78" s="9">
        <v>2</v>
      </c>
      <c r="AA78" s="9">
        <v>46</v>
      </c>
      <c r="AB78" s="9">
        <v>13</v>
      </c>
      <c r="AC78" s="9">
        <v>6</v>
      </c>
      <c r="AD78" s="9">
        <v>13</v>
      </c>
      <c r="AE78" s="9">
        <v>6</v>
      </c>
      <c r="AF78" s="9">
        <v>6</v>
      </c>
      <c r="AG78" s="9">
        <v>13</v>
      </c>
      <c r="AH78" s="9">
        <v>19</v>
      </c>
      <c r="AI78" s="9">
        <v>13</v>
      </c>
      <c r="AJ78" s="9">
        <v>19</v>
      </c>
      <c r="AK78" s="9">
        <v>39</v>
      </c>
      <c r="AL78" s="9">
        <v>46</v>
      </c>
      <c r="AM78" s="9">
        <v>6</v>
      </c>
      <c r="AN78" s="9">
        <v>13</v>
      </c>
      <c r="AO78" s="9">
        <v>6</v>
      </c>
      <c r="AP78" s="9">
        <v>26</v>
      </c>
      <c r="AQ78" s="9">
        <v>19</v>
      </c>
      <c r="AR78" s="9">
        <v>66</v>
      </c>
      <c r="AS78" s="9">
        <v>19</v>
      </c>
      <c r="AT78" s="9">
        <v>53</v>
      </c>
      <c r="AU78" s="9">
        <v>33</v>
      </c>
      <c r="AV78" s="9">
        <v>6</v>
      </c>
      <c r="AW78" s="9">
        <v>6</v>
      </c>
      <c r="AX78" s="9">
        <v>13</v>
      </c>
      <c r="AY78" s="9">
        <v>0</v>
      </c>
      <c r="AZ78" s="9">
        <v>0</v>
      </c>
      <c r="BA78" s="10">
        <v>117.63000000000001</v>
      </c>
      <c r="BB78" s="11">
        <v>38851.78</v>
      </c>
      <c r="BC78" s="11">
        <v>19425.89</v>
      </c>
      <c r="BD78" s="11">
        <v>19425.89</v>
      </c>
      <c r="BE78" s="11">
        <v>10284.290000000001</v>
      </c>
      <c r="BF78" s="11">
        <v>26282.09</v>
      </c>
      <c r="BG78" s="11">
        <v>39500</v>
      </c>
      <c r="BH78" s="11">
        <v>17500</v>
      </c>
      <c r="BI78" s="11">
        <v>8716</v>
      </c>
      <c r="BJ78" s="11">
        <v>29323</v>
      </c>
      <c r="BK78" s="11">
        <v>30623</v>
      </c>
      <c r="BL78" s="11">
        <v>8722</v>
      </c>
      <c r="BM78" s="11">
        <v>6172</v>
      </c>
      <c r="BN78" s="11">
        <v>2143</v>
      </c>
      <c r="BO78" s="9">
        <v>49000</v>
      </c>
      <c r="BP78" s="9">
        <v>2379</v>
      </c>
    </row>
    <row r="79" spans="1:68" x14ac:dyDescent="0.3">
      <c r="A79" s="7">
        <v>45369</v>
      </c>
      <c r="B79" s="7" t="str">
        <f t="shared" si="1"/>
        <v>MARCH</v>
      </c>
      <c r="C79" s="8">
        <f>MONTH(Data!$A79)</f>
        <v>3</v>
      </c>
      <c r="D79" s="9">
        <v>819</v>
      </c>
      <c r="E79" s="9">
        <v>619</v>
      </c>
      <c r="F79" s="9">
        <v>352</v>
      </c>
      <c r="G79" s="9">
        <v>361</v>
      </c>
      <c r="H79" s="9">
        <v>106</v>
      </c>
      <c r="I79" s="9">
        <v>136</v>
      </c>
      <c r="J79" s="9">
        <v>415</v>
      </c>
      <c r="K79" s="9">
        <v>68</v>
      </c>
      <c r="L79" s="9">
        <v>203</v>
      </c>
      <c r="M79" s="9">
        <v>177</v>
      </c>
      <c r="N79" s="9">
        <v>55</v>
      </c>
      <c r="O79" s="9">
        <v>35</v>
      </c>
      <c r="P79" s="9">
        <v>35</v>
      </c>
      <c r="Q79" s="9">
        <v>121</v>
      </c>
      <c r="R79" s="9">
        <v>87</v>
      </c>
      <c r="S79" s="9">
        <v>28</v>
      </c>
      <c r="T79" s="9">
        <v>34</v>
      </c>
      <c r="U79" s="9">
        <v>44</v>
      </c>
      <c r="V79" s="9">
        <v>24</v>
      </c>
      <c r="W79" s="9">
        <v>12</v>
      </c>
      <c r="X79" s="9">
        <v>37</v>
      </c>
      <c r="Y79" s="9">
        <v>6</v>
      </c>
      <c r="Z79" s="9">
        <v>18</v>
      </c>
      <c r="AA79" s="9">
        <v>55</v>
      </c>
      <c r="AB79" s="9">
        <v>12</v>
      </c>
      <c r="AC79" s="9">
        <v>0</v>
      </c>
      <c r="AD79" s="9">
        <v>18</v>
      </c>
      <c r="AE79" s="9">
        <v>12</v>
      </c>
      <c r="AF79" s="9">
        <v>0</v>
      </c>
      <c r="AG79" s="9">
        <v>12</v>
      </c>
      <c r="AH79" s="9">
        <v>18</v>
      </c>
      <c r="AI79" s="9">
        <v>12</v>
      </c>
      <c r="AJ79" s="9">
        <v>12</v>
      </c>
      <c r="AK79" s="9">
        <v>61</v>
      </c>
      <c r="AL79" s="9">
        <v>43</v>
      </c>
      <c r="AM79" s="9">
        <v>18</v>
      </c>
      <c r="AN79" s="9">
        <v>12</v>
      </c>
      <c r="AO79" s="9">
        <v>6</v>
      </c>
      <c r="AP79" s="9">
        <v>18</v>
      </c>
      <c r="AQ79" s="9">
        <v>18</v>
      </c>
      <c r="AR79" s="9">
        <v>43</v>
      </c>
      <c r="AS79" s="9">
        <v>18</v>
      </c>
      <c r="AT79" s="9">
        <v>55</v>
      </c>
      <c r="AU79" s="9">
        <v>12</v>
      </c>
      <c r="AV79" s="9">
        <v>6</v>
      </c>
      <c r="AW79" s="9">
        <v>43</v>
      </c>
      <c r="AX79" s="9">
        <v>18</v>
      </c>
      <c r="AY79" s="9">
        <v>0</v>
      </c>
      <c r="AZ79" s="9">
        <v>0</v>
      </c>
      <c r="BA79" s="10">
        <v>121.21</v>
      </c>
      <c r="BB79" s="11">
        <v>31762.75</v>
      </c>
      <c r="BC79" s="11">
        <v>19998.77</v>
      </c>
      <c r="BD79" s="11">
        <v>16469.580000000002</v>
      </c>
      <c r="BE79" s="11">
        <v>24704.36</v>
      </c>
      <c r="BF79" s="11">
        <v>24704.36</v>
      </c>
      <c r="BG79" s="11">
        <v>39500</v>
      </c>
      <c r="BH79" s="11">
        <v>17500</v>
      </c>
      <c r="BI79" s="11">
        <v>8716</v>
      </c>
      <c r="BJ79" s="11">
        <v>29323</v>
      </c>
      <c r="BK79" s="11">
        <v>30623</v>
      </c>
      <c r="BL79" s="11">
        <v>8722</v>
      </c>
      <c r="BM79" s="11">
        <v>6172</v>
      </c>
      <c r="BN79" s="11">
        <v>2143</v>
      </c>
      <c r="BO79" s="9">
        <v>49000</v>
      </c>
      <c r="BP79" s="9">
        <v>6058</v>
      </c>
    </row>
    <row r="80" spans="1:68" x14ac:dyDescent="0.3">
      <c r="A80" s="7">
        <v>45370</v>
      </c>
      <c r="B80" s="7" t="str">
        <f t="shared" si="1"/>
        <v>MARCH</v>
      </c>
      <c r="C80" s="8">
        <f>MONTH(Data!$A80)</f>
        <v>3</v>
      </c>
      <c r="D80" s="9">
        <v>822</v>
      </c>
      <c r="E80" s="9">
        <v>596</v>
      </c>
      <c r="F80" s="9">
        <v>419</v>
      </c>
      <c r="G80" s="9">
        <v>321</v>
      </c>
      <c r="H80" s="9">
        <v>82</v>
      </c>
      <c r="I80" s="9">
        <v>202</v>
      </c>
      <c r="J80" s="9">
        <v>281</v>
      </c>
      <c r="K80" s="9">
        <v>113</v>
      </c>
      <c r="L80" s="9">
        <v>193</v>
      </c>
      <c r="M80" s="9">
        <v>107</v>
      </c>
      <c r="N80" s="9">
        <v>45</v>
      </c>
      <c r="O80" s="9">
        <v>30</v>
      </c>
      <c r="P80" s="9">
        <v>40</v>
      </c>
      <c r="Q80" s="9">
        <v>106</v>
      </c>
      <c r="R80" s="9">
        <v>24</v>
      </c>
      <c r="S80" s="9">
        <v>31</v>
      </c>
      <c r="T80" s="9">
        <v>21</v>
      </c>
      <c r="U80" s="9">
        <v>225</v>
      </c>
      <c r="V80" s="9">
        <v>65</v>
      </c>
      <c r="W80" s="9">
        <v>11</v>
      </c>
      <c r="X80" s="9">
        <v>23</v>
      </c>
      <c r="Y80" s="9">
        <v>11</v>
      </c>
      <c r="Z80" s="9">
        <v>39</v>
      </c>
      <c r="AA80" s="9">
        <v>53</v>
      </c>
      <c r="AB80" s="9">
        <v>17</v>
      </c>
      <c r="AC80" s="9">
        <v>17</v>
      </c>
      <c r="AD80" s="9">
        <v>23</v>
      </c>
      <c r="AE80" s="9">
        <v>17</v>
      </c>
      <c r="AF80" s="9">
        <v>5</v>
      </c>
      <c r="AG80" s="9">
        <v>11</v>
      </c>
      <c r="AH80" s="9">
        <v>0</v>
      </c>
      <c r="AI80" s="9">
        <v>0</v>
      </c>
      <c r="AJ80" s="9">
        <v>11</v>
      </c>
      <c r="AK80" s="9">
        <v>35</v>
      </c>
      <c r="AL80" s="9">
        <v>29</v>
      </c>
      <c r="AM80" s="9">
        <v>23</v>
      </c>
      <c r="AN80" s="9">
        <v>5</v>
      </c>
      <c r="AO80" s="9">
        <v>0</v>
      </c>
      <c r="AP80" s="9">
        <v>5</v>
      </c>
      <c r="AQ80" s="9">
        <v>11</v>
      </c>
      <c r="AR80" s="9">
        <v>65</v>
      </c>
      <c r="AS80" s="9">
        <v>11</v>
      </c>
      <c r="AT80" s="9">
        <v>29</v>
      </c>
      <c r="AU80" s="9">
        <v>23</v>
      </c>
      <c r="AV80" s="9">
        <v>0</v>
      </c>
      <c r="AW80" s="9">
        <v>17</v>
      </c>
      <c r="AX80" s="9">
        <v>23</v>
      </c>
      <c r="AY80" s="9">
        <v>17</v>
      </c>
      <c r="AZ80" s="9">
        <v>0</v>
      </c>
      <c r="BA80" s="10">
        <v>125.35999999999999</v>
      </c>
      <c r="BB80" s="11">
        <v>35152.21</v>
      </c>
      <c r="BC80" s="11">
        <v>23030.76</v>
      </c>
      <c r="BD80" s="11">
        <v>15757.89</v>
      </c>
      <c r="BE80" s="11">
        <v>10909.31</v>
      </c>
      <c r="BF80" s="11">
        <v>36364.36</v>
      </c>
      <c r="BG80" s="11">
        <v>39500</v>
      </c>
      <c r="BH80" s="11">
        <v>17500</v>
      </c>
      <c r="BI80" s="11">
        <v>8716</v>
      </c>
      <c r="BJ80" s="11">
        <v>29323</v>
      </c>
      <c r="BK80" s="11">
        <v>30623</v>
      </c>
      <c r="BL80" s="11">
        <v>8722</v>
      </c>
      <c r="BM80" s="11">
        <v>6172</v>
      </c>
      <c r="BN80" s="11">
        <v>2143</v>
      </c>
      <c r="BO80" s="9">
        <v>49000</v>
      </c>
      <c r="BP80" s="9">
        <v>7799</v>
      </c>
    </row>
    <row r="81" spans="1:68" x14ac:dyDescent="0.3">
      <c r="A81" s="7">
        <v>45371</v>
      </c>
      <c r="B81" s="7" t="str">
        <f t="shared" si="1"/>
        <v>MARCH</v>
      </c>
      <c r="C81" s="8">
        <f>MONTH(Data!$A81)</f>
        <v>3</v>
      </c>
      <c r="D81" s="9">
        <v>820</v>
      </c>
      <c r="E81" s="9">
        <v>583</v>
      </c>
      <c r="F81" s="9">
        <v>188</v>
      </c>
      <c r="G81" s="9">
        <v>452</v>
      </c>
      <c r="H81" s="9">
        <v>180</v>
      </c>
      <c r="I81" s="9">
        <v>122</v>
      </c>
      <c r="J81" s="9">
        <v>345</v>
      </c>
      <c r="K81" s="9">
        <v>116</v>
      </c>
      <c r="L81" s="9">
        <v>183</v>
      </c>
      <c r="M81" s="9">
        <v>81</v>
      </c>
      <c r="N81" s="9">
        <v>45</v>
      </c>
      <c r="O81" s="9">
        <v>71</v>
      </c>
      <c r="P81" s="9">
        <v>10</v>
      </c>
      <c r="Q81" s="9">
        <v>168</v>
      </c>
      <c r="R81" s="9">
        <v>68</v>
      </c>
      <c r="S81" s="9">
        <v>37</v>
      </c>
      <c r="T81" s="9">
        <v>24</v>
      </c>
      <c r="U81" s="9">
        <v>133</v>
      </c>
      <c r="V81" s="9">
        <v>75</v>
      </c>
      <c r="W81" s="9">
        <v>0</v>
      </c>
      <c r="X81" s="9">
        <v>17</v>
      </c>
      <c r="Y81" s="9">
        <v>0</v>
      </c>
      <c r="Z81" s="9">
        <v>49</v>
      </c>
      <c r="AA81" s="9">
        <v>40</v>
      </c>
      <c r="AB81" s="9">
        <v>0</v>
      </c>
      <c r="AC81" s="9">
        <v>5</v>
      </c>
      <c r="AD81" s="9">
        <v>34</v>
      </c>
      <c r="AE81" s="9">
        <v>0</v>
      </c>
      <c r="AF81" s="9">
        <v>5</v>
      </c>
      <c r="AG81" s="9">
        <v>29</v>
      </c>
      <c r="AH81" s="9">
        <v>5</v>
      </c>
      <c r="AI81" s="9">
        <v>0</v>
      </c>
      <c r="AJ81" s="9">
        <v>11</v>
      </c>
      <c r="AK81" s="9">
        <v>52</v>
      </c>
      <c r="AL81" s="9">
        <v>11</v>
      </c>
      <c r="AM81" s="9">
        <v>17</v>
      </c>
      <c r="AN81" s="9">
        <v>17</v>
      </c>
      <c r="AO81" s="9">
        <v>0</v>
      </c>
      <c r="AP81" s="9">
        <v>23</v>
      </c>
      <c r="AQ81" s="9">
        <v>23</v>
      </c>
      <c r="AR81" s="9">
        <v>46</v>
      </c>
      <c r="AS81" s="9">
        <v>17</v>
      </c>
      <c r="AT81" s="9">
        <v>23</v>
      </c>
      <c r="AU81" s="9">
        <v>11</v>
      </c>
      <c r="AV81" s="9">
        <v>5</v>
      </c>
      <c r="AW81" s="9">
        <v>40</v>
      </c>
      <c r="AX81" s="9">
        <v>23</v>
      </c>
      <c r="AY81" s="9">
        <v>5</v>
      </c>
      <c r="AZ81" s="9">
        <v>0</v>
      </c>
      <c r="BA81" s="10">
        <v>126.65</v>
      </c>
      <c r="BB81" s="11">
        <v>33846.82</v>
      </c>
      <c r="BC81" s="11">
        <v>30086.07</v>
      </c>
      <c r="BD81" s="11">
        <v>25071.72</v>
      </c>
      <c r="BE81" s="11">
        <v>15043.03</v>
      </c>
      <c r="BF81" s="11">
        <v>21310.959999999999</v>
      </c>
      <c r="BG81" s="11">
        <v>39500</v>
      </c>
      <c r="BH81" s="11">
        <v>17500</v>
      </c>
      <c r="BI81" s="11">
        <v>8716</v>
      </c>
      <c r="BJ81" s="11">
        <v>29323</v>
      </c>
      <c r="BK81" s="11">
        <v>30623</v>
      </c>
      <c r="BL81" s="11">
        <v>8722</v>
      </c>
      <c r="BM81" s="11">
        <v>6172</v>
      </c>
      <c r="BN81" s="11">
        <v>2143</v>
      </c>
      <c r="BO81" s="9">
        <v>49000</v>
      </c>
      <c r="BP81" s="9">
        <v>399</v>
      </c>
    </row>
    <row r="82" spans="1:68" x14ac:dyDescent="0.3">
      <c r="A82" s="7">
        <v>45372</v>
      </c>
      <c r="B82" s="7" t="str">
        <f t="shared" si="1"/>
        <v>MARCH</v>
      </c>
      <c r="C82" s="8">
        <f>MONTH(Data!$A82)</f>
        <v>3</v>
      </c>
      <c r="D82" s="9">
        <v>812</v>
      </c>
      <c r="E82" s="9">
        <v>580</v>
      </c>
      <c r="F82" s="9">
        <v>414</v>
      </c>
      <c r="G82" s="9">
        <v>204</v>
      </c>
      <c r="H82" s="9">
        <v>194</v>
      </c>
      <c r="I82" s="9">
        <v>284</v>
      </c>
      <c r="J82" s="9">
        <v>215</v>
      </c>
      <c r="K82" s="9">
        <v>81</v>
      </c>
      <c r="L82" s="9">
        <v>191</v>
      </c>
      <c r="M82" s="9">
        <v>161</v>
      </c>
      <c r="N82" s="9">
        <v>50</v>
      </c>
      <c r="O82" s="9">
        <v>60</v>
      </c>
      <c r="P82" s="9">
        <v>45</v>
      </c>
      <c r="Q82" s="9">
        <v>145</v>
      </c>
      <c r="R82" s="9">
        <v>86</v>
      </c>
      <c r="S82" s="9">
        <v>37</v>
      </c>
      <c r="T82" s="9">
        <v>37</v>
      </c>
      <c r="U82" s="9">
        <v>0</v>
      </c>
      <c r="V82" s="9">
        <v>40</v>
      </c>
      <c r="W82" s="9">
        <v>0</v>
      </c>
      <c r="X82" s="9">
        <v>17</v>
      </c>
      <c r="Y82" s="9">
        <v>17</v>
      </c>
      <c r="Z82" s="9">
        <v>75</v>
      </c>
      <c r="AA82" s="9">
        <v>52</v>
      </c>
      <c r="AB82" s="9">
        <v>0</v>
      </c>
      <c r="AC82" s="9">
        <v>17</v>
      </c>
      <c r="AD82" s="9">
        <v>17</v>
      </c>
      <c r="AE82" s="9">
        <v>11</v>
      </c>
      <c r="AF82" s="9">
        <v>0</v>
      </c>
      <c r="AG82" s="9">
        <v>23</v>
      </c>
      <c r="AH82" s="9">
        <v>0</v>
      </c>
      <c r="AI82" s="9">
        <v>17</v>
      </c>
      <c r="AJ82" s="9">
        <v>11</v>
      </c>
      <c r="AK82" s="9">
        <v>58</v>
      </c>
      <c r="AL82" s="9">
        <v>11</v>
      </c>
      <c r="AM82" s="9">
        <v>11</v>
      </c>
      <c r="AN82" s="9">
        <v>17</v>
      </c>
      <c r="AO82" s="9">
        <v>0</v>
      </c>
      <c r="AP82" s="9">
        <v>11</v>
      </c>
      <c r="AQ82" s="9">
        <v>23</v>
      </c>
      <c r="AR82" s="9">
        <v>63</v>
      </c>
      <c r="AS82" s="9">
        <v>11</v>
      </c>
      <c r="AT82" s="9">
        <v>34</v>
      </c>
      <c r="AU82" s="9">
        <v>5</v>
      </c>
      <c r="AV82" s="9">
        <v>0</v>
      </c>
      <c r="AW82" s="9">
        <v>17</v>
      </c>
      <c r="AX82" s="9">
        <v>5</v>
      </c>
      <c r="AY82" s="9">
        <v>0</v>
      </c>
      <c r="AZ82" s="9">
        <v>17</v>
      </c>
      <c r="BA82" s="10">
        <v>127.03999999999999</v>
      </c>
      <c r="BB82" s="11">
        <v>40528.92</v>
      </c>
      <c r="BC82" s="11">
        <v>17731.400000000001</v>
      </c>
      <c r="BD82" s="11">
        <v>12665.29</v>
      </c>
      <c r="BE82" s="11">
        <v>27863.63</v>
      </c>
      <c r="BF82" s="11">
        <v>27863.63</v>
      </c>
      <c r="BG82" s="11">
        <v>39500</v>
      </c>
      <c r="BH82" s="11">
        <v>17500</v>
      </c>
      <c r="BI82" s="11">
        <v>8716</v>
      </c>
      <c r="BJ82" s="11">
        <v>29323</v>
      </c>
      <c r="BK82" s="11">
        <v>30623</v>
      </c>
      <c r="BL82" s="11">
        <v>8722</v>
      </c>
      <c r="BM82" s="11">
        <v>6172</v>
      </c>
      <c r="BN82" s="11">
        <v>2143</v>
      </c>
      <c r="BO82" s="9">
        <v>49000</v>
      </c>
      <c r="BP82" s="9">
        <v>6914</v>
      </c>
    </row>
    <row r="83" spans="1:68" x14ac:dyDescent="0.3">
      <c r="A83" s="7">
        <v>45373</v>
      </c>
      <c r="B83" s="7" t="str">
        <f t="shared" si="1"/>
        <v>MARCH</v>
      </c>
      <c r="C83" s="8">
        <f>MONTH(Data!$A83)</f>
        <v>3</v>
      </c>
      <c r="D83" s="9">
        <v>794</v>
      </c>
      <c r="E83" s="9">
        <v>583</v>
      </c>
      <c r="F83" s="9">
        <v>198</v>
      </c>
      <c r="G83" s="9">
        <v>517</v>
      </c>
      <c r="H83" s="9">
        <v>79</v>
      </c>
      <c r="I83" s="9">
        <v>279</v>
      </c>
      <c r="J83" s="9">
        <v>264</v>
      </c>
      <c r="K83" s="9">
        <v>40</v>
      </c>
      <c r="L83" s="9">
        <v>193</v>
      </c>
      <c r="M83" s="9">
        <v>167</v>
      </c>
      <c r="N83" s="9">
        <v>39</v>
      </c>
      <c r="O83" s="9">
        <v>59</v>
      </c>
      <c r="P83" s="9">
        <v>39</v>
      </c>
      <c r="Q83" s="9">
        <v>159</v>
      </c>
      <c r="R83" s="9">
        <v>87</v>
      </c>
      <c r="S83" s="9">
        <v>36</v>
      </c>
      <c r="T83" s="9">
        <v>15</v>
      </c>
      <c r="U83" s="9">
        <v>0</v>
      </c>
      <c r="V83" s="9">
        <v>46</v>
      </c>
      <c r="W83" s="9">
        <v>17</v>
      </c>
      <c r="X83" s="9">
        <v>29</v>
      </c>
      <c r="Y83" s="9">
        <v>11</v>
      </c>
      <c r="Z83" s="9">
        <v>46</v>
      </c>
      <c r="AA83" s="9">
        <v>46</v>
      </c>
      <c r="AB83" s="9">
        <v>5</v>
      </c>
      <c r="AC83" s="9">
        <v>0</v>
      </c>
      <c r="AD83" s="9">
        <v>34</v>
      </c>
      <c r="AE83" s="9">
        <v>0</v>
      </c>
      <c r="AF83" s="9">
        <v>0</v>
      </c>
      <c r="AG83" s="9">
        <v>11</v>
      </c>
      <c r="AH83" s="9">
        <v>5</v>
      </c>
      <c r="AI83" s="9">
        <v>11</v>
      </c>
      <c r="AJ83" s="9">
        <v>5</v>
      </c>
      <c r="AK83" s="9">
        <v>40</v>
      </c>
      <c r="AL83" s="9">
        <v>40</v>
      </c>
      <c r="AM83" s="9">
        <v>5</v>
      </c>
      <c r="AN83" s="9">
        <v>5</v>
      </c>
      <c r="AO83" s="9">
        <v>0</v>
      </c>
      <c r="AP83" s="9">
        <v>5</v>
      </c>
      <c r="AQ83" s="9">
        <v>23</v>
      </c>
      <c r="AR83" s="9">
        <v>58</v>
      </c>
      <c r="AS83" s="9">
        <v>5</v>
      </c>
      <c r="AT83" s="9">
        <v>40</v>
      </c>
      <c r="AU83" s="9">
        <v>29</v>
      </c>
      <c r="AV83" s="9">
        <v>0</v>
      </c>
      <c r="AW83" s="9">
        <v>5</v>
      </c>
      <c r="AX83" s="9">
        <v>11</v>
      </c>
      <c r="AY83" s="9">
        <v>23</v>
      </c>
      <c r="AZ83" s="9">
        <v>28</v>
      </c>
      <c r="BA83" s="10">
        <v>125.71</v>
      </c>
      <c r="BB83" s="11">
        <v>43190.33</v>
      </c>
      <c r="BC83" s="11">
        <v>21595.16</v>
      </c>
      <c r="BD83" s="11">
        <v>22865.47</v>
      </c>
      <c r="BE83" s="11">
        <v>26676.38</v>
      </c>
      <c r="BF83" s="11">
        <v>12703.04</v>
      </c>
      <c r="BG83" s="11">
        <v>39500</v>
      </c>
      <c r="BH83" s="11">
        <v>10000</v>
      </c>
      <c r="BI83" s="11">
        <v>8716</v>
      </c>
      <c r="BJ83" s="11">
        <v>9237</v>
      </c>
      <c r="BK83" s="11">
        <v>30623</v>
      </c>
      <c r="BL83" s="11">
        <v>8722</v>
      </c>
      <c r="BM83" s="11">
        <v>6172</v>
      </c>
      <c r="BN83" s="11">
        <v>2143</v>
      </c>
      <c r="BO83" s="9">
        <v>49000</v>
      </c>
      <c r="BP83" s="9">
        <v>3481</v>
      </c>
    </row>
    <row r="84" spans="1:68" x14ac:dyDescent="0.3">
      <c r="A84" s="7">
        <v>45374</v>
      </c>
      <c r="B84" s="7" t="str">
        <f t="shared" si="1"/>
        <v>MARCH</v>
      </c>
      <c r="C84" s="8">
        <f>MONTH(Data!$A84)</f>
        <v>3</v>
      </c>
      <c r="D84" s="9">
        <v>768</v>
      </c>
      <c r="E84" s="9">
        <v>594</v>
      </c>
      <c r="F84" s="9">
        <v>192</v>
      </c>
      <c r="G84" s="9">
        <v>392</v>
      </c>
      <c r="H84" s="9">
        <v>184</v>
      </c>
      <c r="I84" s="9">
        <v>273</v>
      </c>
      <c r="J84" s="9">
        <v>262</v>
      </c>
      <c r="K84" s="9">
        <v>59</v>
      </c>
      <c r="L84" s="9">
        <v>257</v>
      </c>
      <c r="M84" s="9">
        <v>80</v>
      </c>
      <c r="N84" s="9">
        <v>52</v>
      </c>
      <c r="O84" s="9">
        <v>57</v>
      </c>
      <c r="P84" s="9">
        <v>33</v>
      </c>
      <c r="Q84" s="9">
        <v>116</v>
      </c>
      <c r="R84" s="9">
        <v>64</v>
      </c>
      <c r="S84" s="9">
        <v>26</v>
      </c>
      <c r="T84" s="9">
        <v>37</v>
      </c>
      <c r="U84" s="9">
        <v>46</v>
      </c>
      <c r="V84" s="9">
        <v>59</v>
      </c>
      <c r="W84" s="9">
        <v>11</v>
      </c>
      <c r="X84" s="9">
        <v>35</v>
      </c>
      <c r="Y84" s="9">
        <v>0</v>
      </c>
      <c r="Z84" s="9">
        <v>0</v>
      </c>
      <c r="AA84" s="9">
        <v>35</v>
      </c>
      <c r="AB84" s="9">
        <v>0</v>
      </c>
      <c r="AC84" s="9">
        <v>17</v>
      </c>
      <c r="AD84" s="9">
        <v>23</v>
      </c>
      <c r="AE84" s="9">
        <v>17</v>
      </c>
      <c r="AF84" s="9">
        <v>5</v>
      </c>
      <c r="AG84" s="9">
        <v>17</v>
      </c>
      <c r="AH84" s="9">
        <v>17</v>
      </c>
      <c r="AI84" s="9">
        <v>5</v>
      </c>
      <c r="AJ84" s="9">
        <v>0</v>
      </c>
      <c r="AK84" s="9">
        <v>53</v>
      </c>
      <c r="AL84" s="9">
        <v>41</v>
      </c>
      <c r="AM84" s="9">
        <v>29</v>
      </c>
      <c r="AN84" s="9">
        <v>17</v>
      </c>
      <c r="AO84" s="9">
        <v>5</v>
      </c>
      <c r="AP84" s="9">
        <v>0</v>
      </c>
      <c r="AQ84" s="9">
        <v>5</v>
      </c>
      <c r="AR84" s="9">
        <v>65</v>
      </c>
      <c r="AS84" s="9">
        <v>5</v>
      </c>
      <c r="AT84" s="9">
        <v>53</v>
      </c>
      <c r="AU84" s="9">
        <v>17</v>
      </c>
      <c r="AV84" s="9">
        <v>0</v>
      </c>
      <c r="AW84" s="9">
        <v>35</v>
      </c>
      <c r="AX84" s="9">
        <v>17</v>
      </c>
      <c r="AY84" s="9">
        <v>11</v>
      </c>
      <c r="AZ84" s="9">
        <v>0</v>
      </c>
      <c r="BA84" s="10">
        <v>122.73</v>
      </c>
      <c r="BB84" s="11">
        <v>31425.3</v>
      </c>
      <c r="BC84" s="11">
        <v>16341.16</v>
      </c>
      <c r="BD84" s="11">
        <v>21369.21</v>
      </c>
      <c r="BE84" s="11">
        <v>25140.240000000002</v>
      </c>
      <c r="BF84" s="11">
        <v>31425.3</v>
      </c>
      <c r="BG84" s="11">
        <v>39500</v>
      </c>
      <c r="BH84" s="11">
        <v>10000</v>
      </c>
      <c r="BI84" s="11">
        <v>8716</v>
      </c>
      <c r="BJ84" s="11">
        <v>9237</v>
      </c>
      <c r="BK84" s="11">
        <v>30623</v>
      </c>
      <c r="BL84" s="11">
        <v>8722</v>
      </c>
      <c r="BM84" s="11">
        <v>6172</v>
      </c>
      <c r="BN84" s="11">
        <v>2143</v>
      </c>
      <c r="BO84" s="9">
        <v>49000</v>
      </c>
      <c r="BP84" s="9">
        <v>3390</v>
      </c>
    </row>
    <row r="85" spans="1:68" x14ac:dyDescent="0.3">
      <c r="A85" s="7">
        <v>45375</v>
      </c>
      <c r="B85" s="7" t="str">
        <f t="shared" si="1"/>
        <v>MARCH</v>
      </c>
      <c r="C85" s="8">
        <f>MONTH(Data!$A85)</f>
        <v>3</v>
      </c>
      <c r="D85" s="9">
        <v>747</v>
      </c>
      <c r="E85" s="9">
        <v>619</v>
      </c>
      <c r="F85" s="9">
        <v>395</v>
      </c>
      <c r="G85" s="9">
        <v>315</v>
      </c>
      <c r="H85" s="9">
        <v>37</v>
      </c>
      <c r="I85" s="9">
        <v>160</v>
      </c>
      <c r="J85" s="9">
        <v>385</v>
      </c>
      <c r="K85" s="9">
        <v>74</v>
      </c>
      <c r="L85" s="9">
        <v>185</v>
      </c>
      <c r="M85" s="9">
        <v>101</v>
      </c>
      <c r="N85" s="9">
        <v>55</v>
      </c>
      <c r="O85" s="9">
        <v>64</v>
      </c>
      <c r="P85" s="9">
        <v>23</v>
      </c>
      <c r="Q85" s="9">
        <v>105</v>
      </c>
      <c r="R85" s="9">
        <v>79</v>
      </c>
      <c r="S85" s="9">
        <v>28</v>
      </c>
      <c r="T85" s="9">
        <v>22</v>
      </c>
      <c r="U85" s="9">
        <v>85</v>
      </c>
      <c r="V85" s="9">
        <v>24</v>
      </c>
      <c r="W85" s="9">
        <v>0</v>
      </c>
      <c r="X85" s="9">
        <v>43</v>
      </c>
      <c r="Y85" s="9">
        <v>0</v>
      </c>
      <c r="Z85" s="9">
        <v>61</v>
      </c>
      <c r="AA85" s="9">
        <v>55</v>
      </c>
      <c r="AB85" s="9">
        <v>18</v>
      </c>
      <c r="AC85" s="9">
        <v>12</v>
      </c>
      <c r="AD85" s="9">
        <v>37</v>
      </c>
      <c r="AE85" s="9">
        <v>0</v>
      </c>
      <c r="AF85" s="9">
        <v>0</v>
      </c>
      <c r="AG85" s="9">
        <v>18</v>
      </c>
      <c r="AH85" s="9">
        <v>12</v>
      </c>
      <c r="AI85" s="9">
        <v>6</v>
      </c>
      <c r="AJ85" s="9">
        <v>6</v>
      </c>
      <c r="AK85" s="9">
        <v>61</v>
      </c>
      <c r="AL85" s="9">
        <v>18</v>
      </c>
      <c r="AM85" s="9">
        <v>12</v>
      </c>
      <c r="AN85" s="9">
        <v>0</v>
      </c>
      <c r="AO85" s="9">
        <v>0</v>
      </c>
      <c r="AP85" s="9">
        <v>0</v>
      </c>
      <c r="AQ85" s="9">
        <v>18</v>
      </c>
      <c r="AR85" s="9">
        <v>61</v>
      </c>
      <c r="AS85" s="9">
        <v>12</v>
      </c>
      <c r="AT85" s="9">
        <v>55</v>
      </c>
      <c r="AU85" s="9">
        <v>30</v>
      </c>
      <c r="AV85" s="9">
        <v>0</v>
      </c>
      <c r="AW85" s="9">
        <v>37</v>
      </c>
      <c r="AX85" s="9">
        <v>0</v>
      </c>
      <c r="AY85" s="9">
        <v>6</v>
      </c>
      <c r="AZ85" s="9">
        <v>17</v>
      </c>
      <c r="BA85" s="10">
        <v>120.23</v>
      </c>
      <c r="BB85" s="11">
        <v>38045.07</v>
      </c>
      <c r="BC85" s="11">
        <v>17181.64</v>
      </c>
      <c r="BD85" s="11">
        <v>22090.69</v>
      </c>
      <c r="BE85" s="11">
        <v>12272.6</v>
      </c>
      <c r="BF85" s="11">
        <v>33136.03</v>
      </c>
      <c r="BG85" s="11">
        <v>39500</v>
      </c>
      <c r="BH85" s="11">
        <v>10000</v>
      </c>
      <c r="BI85" s="11">
        <v>8716</v>
      </c>
      <c r="BJ85" s="11">
        <v>9237</v>
      </c>
      <c r="BK85" s="11">
        <v>30623</v>
      </c>
      <c r="BL85" s="11">
        <v>8722</v>
      </c>
      <c r="BM85" s="11">
        <v>6172</v>
      </c>
      <c r="BN85" s="11">
        <v>2143</v>
      </c>
      <c r="BO85" s="9">
        <v>49000</v>
      </c>
      <c r="BP85" s="9">
        <v>8555</v>
      </c>
    </row>
    <row r="86" spans="1:68" x14ac:dyDescent="0.3">
      <c r="A86" s="7">
        <v>45376</v>
      </c>
      <c r="B86" s="7" t="str">
        <f t="shared" si="1"/>
        <v>MARCH</v>
      </c>
      <c r="C86" s="8">
        <f>MONTH(Data!$A86)</f>
        <v>3</v>
      </c>
      <c r="D86" s="9">
        <v>725</v>
      </c>
      <c r="E86" s="9">
        <v>659</v>
      </c>
      <c r="F86" s="9">
        <v>261</v>
      </c>
      <c r="G86" s="9">
        <v>334</v>
      </c>
      <c r="H86" s="9">
        <v>130</v>
      </c>
      <c r="I86" s="9">
        <v>342</v>
      </c>
      <c r="J86" s="9">
        <v>173</v>
      </c>
      <c r="K86" s="9">
        <v>144</v>
      </c>
      <c r="L86" s="9">
        <v>202</v>
      </c>
      <c r="M86" s="9">
        <v>98</v>
      </c>
      <c r="N86" s="9">
        <v>44</v>
      </c>
      <c r="O86" s="9">
        <v>49</v>
      </c>
      <c r="P86" s="9">
        <v>35</v>
      </c>
      <c r="Q86" s="9">
        <v>123</v>
      </c>
      <c r="R86" s="9">
        <v>44</v>
      </c>
      <c r="S86" s="9">
        <v>30</v>
      </c>
      <c r="T86" s="9">
        <v>22</v>
      </c>
      <c r="U86" s="9">
        <v>78</v>
      </c>
      <c r="V86" s="9">
        <v>65</v>
      </c>
      <c r="W86" s="9">
        <v>6</v>
      </c>
      <c r="X86" s="9">
        <v>32</v>
      </c>
      <c r="Y86" s="9">
        <v>0</v>
      </c>
      <c r="Z86" s="9">
        <v>52</v>
      </c>
      <c r="AA86" s="9">
        <v>52</v>
      </c>
      <c r="AB86" s="9">
        <v>13</v>
      </c>
      <c r="AC86" s="9">
        <v>13</v>
      </c>
      <c r="AD86" s="9">
        <v>19</v>
      </c>
      <c r="AE86" s="9">
        <v>6</v>
      </c>
      <c r="AF86" s="9">
        <v>0</v>
      </c>
      <c r="AG86" s="9">
        <v>6</v>
      </c>
      <c r="AH86" s="9">
        <v>13</v>
      </c>
      <c r="AI86" s="9">
        <v>13</v>
      </c>
      <c r="AJ86" s="9">
        <v>13</v>
      </c>
      <c r="AK86" s="9">
        <v>39</v>
      </c>
      <c r="AL86" s="9">
        <v>32</v>
      </c>
      <c r="AM86" s="9">
        <v>6</v>
      </c>
      <c r="AN86" s="9">
        <v>0</v>
      </c>
      <c r="AO86" s="9">
        <v>6</v>
      </c>
      <c r="AP86" s="9">
        <v>19</v>
      </c>
      <c r="AQ86" s="9">
        <v>13</v>
      </c>
      <c r="AR86" s="9">
        <v>46</v>
      </c>
      <c r="AS86" s="9">
        <v>13</v>
      </c>
      <c r="AT86" s="9">
        <v>19</v>
      </c>
      <c r="AU86" s="9">
        <v>26</v>
      </c>
      <c r="AV86" s="9">
        <v>6</v>
      </c>
      <c r="AW86" s="9">
        <v>6</v>
      </c>
      <c r="AX86" s="9">
        <v>0</v>
      </c>
      <c r="AY86" s="9">
        <v>26</v>
      </c>
      <c r="AZ86" s="9">
        <v>99</v>
      </c>
      <c r="BA86" s="10">
        <v>119.4</v>
      </c>
      <c r="BB86" s="11">
        <v>31263.21</v>
      </c>
      <c r="BC86" s="11">
        <v>26453.49</v>
      </c>
      <c r="BD86" s="11">
        <v>12024.31</v>
      </c>
      <c r="BE86" s="11">
        <v>14429.18</v>
      </c>
      <c r="BF86" s="11">
        <v>36072.94</v>
      </c>
      <c r="BG86" s="11">
        <v>39500</v>
      </c>
      <c r="BH86" s="11">
        <v>10000</v>
      </c>
      <c r="BI86" s="11">
        <v>8716</v>
      </c>
      <c r="BJ86" s="11">
        <v>9237</v>
      </c>
      <c r="BK86" s="11">
        <v>30623</v>
      </c>
      <c r="BL86" s="11">
        <v>8722</v>
      </c>
      <c r="BM86" s="11">
        <v>6172</v>
      </c>
      <c r="BN86" s="11">
        <v>2143</v>
      </c>
      <c r="BO86" s="9">
        <v>49000</v>
      </c>
      <c r="BP86" s="9">
        <v>6073</v>
      </c>
    </row>
    <row r="87" spans="1:68" x14ac:dyDescent="0.3">
      <c r="A87" s="7">
        <v>45377</v>
      </c>
      <c r="B87" s="7" t="str">
        <f t="shared" si="1"/>
        <v>MARCH</v>
      </c>
      <c r="C87" s="8">
        <f>MONTH(Data!$A87)</f>
        <v>3</v>
      </c>
      <c r="D87" s="9">
        <v>713</v>
      </c>
      <c r="E87" s="9">
        <v>714</v>
      </c>
      <c r="F87" s="9">
        <v>171</v>
      </c>
      <c r="G87" s="9">
        <v>464</v>
      </c>
      <c r="H87" s="9">
        <v>78</v>
      </c>
      <c r="I87" s="9">
        <v>278</v>
      </c>
      <c r="J87" s="9">
        <v>358</v>
      </c>
      <c r="K87" s="9">
        <v>78</v>
      </c>
      <c r="L87" s="9">
        <v>194</v>
      </c>
      <c r="M87" s="9">
        <v>110</v>
      </c>
      <c r="N87" s="9">
        <v>53</v>
      </c>
      <c r="O87" s="9">
        <v>66</v>
      </c>
      <c r="P87" s="9">
        <v>22</v>
      </c>
      <c r="Q87" s="9">
        <v>113</v>
      </c>
      <c r="R87" s="9">
        <v>62</v>
      </c>
      <c r="S87" s="9">
        <v>37</v>
      </c>
      <c r="T87" s="9">
        <v>24</v>
      </c>
      <c r="U87" s="9">
        <v>32</v>
      </c>
      <c r="V87" s="9">
        <v>64</v>
      </c>
      <c r="W87" s="9">
        <v>14</v>
      </c>
      <c r="X87" s="9">
        <v>35</v>
      </c>
      <c r="Y87" s="9">
        <v>21</v>
      </c>
      <c r="Z87" s="9">
        <v>67</v>
      </c>
      <c r="AA87" s="9">
        <v>49</v>
      </c>
      <c r="AB87" s="9">
        <v>14</v>
      </c>
      <c r="AC87" s="9">
        <v>7</v>
      </c>
      <c r="AD87" s="9">
        <v>28</v>
      </c>
      <c r="AE87" s="9">
        <v>7</v>
      </c>
      <c r="AF87" s="9">
        <v>0</v>
      </c>
      <c r="AG87" s="9">
        <v>35</v>
      </c>
      <c r="AH87" s="9">
        <v>7</v>
      </c>
      <c r="AI87" s="9">
        <v>21</v>
      </c>
      <c r="AJ87" s="9">
        <v>21</v>
      </c>
      <c r="AK87" s="9">
        <v>64</v>
      </c>
      <c r="AL87" s="9">
        <v>7</v>
      </c>
      <c r="AM87" s="9">
        <v>7</v>
      </c>
      <c r="AN87" s="9">
        <v>7</v>
      </c>
      <c r="AO87" s="9">
        <v>0</v>
      </c>
      <c r="AP87" s="9">
        <v>7</v>
      </c>
      <c r="AQ87" s="9">
        <v>7</v>
      </c>
      <c r="AR87" s="9">
        <v>64</v>
      </c>
      <c r="AS87" s="9">
        <v>21</v>
      </c>
      <c r="AT87" s="9">
        <v>42</v>
      </c>
      <c r="AU87" s="9">
        <v>35</v>
      </c>
      <c r="AV87" s="9">
        <v>7</v>
      </c>
      <c r="AW87" s="9">
        <v>49</v>
      </c>
      <c r="AX87" s="9">
        <v>7</v>
      </c>
      <c r="AY87" s="9">
        <v>0</v>
      </c>
      <c r="AZ87" s="9">
        <v>0</v>
      </c>
      <c r="BA87" s="10">
        <v>119.9</v>
      </c>
      <c r="BB87" s="11">
        <v>38205.300000000003</v>
      </c>
      <c r="BC87" s="11">
        <v>27460.06</v>
      </c>
      <c r="BD87" s="11">
        <v>27460.06</v>
      </c>
      <c r="BE87" s="11">
        <v>16266.14</v>
      </c>
      <c r="BF87" s="11">
        <v>10000</v>
      </c>
      <c r="BG87" s="11">
        <v>39500</v>
      </c>
      <c r="BH87" s="11">
        <v>10000</v>
      </c>
      <c r="BI87" s="11">
        <v>8716</v>
      </c>
      <c r="BJ87" s="11">
        <v>9237</v>
      </c>
      <c r="BK87" s="11">
        <v>30623</v>
      </c>
      <c r="BL87" s="11">
        <v>8722</v>
      </c>
      <c r="BM87" s="11">
        <v>6172</v>
      </c>
      <c r="BN87" s="11">
        <v>2143</v>
      </c>
      <c r="BO87" s="9">
        <v>49000</v>
      </c>
      <c r="BP87" s="9">
        <v>4483</v>
      </c>
    </row>
    <row r="88" spans="1:68" x14ac:dyDescent="0.3">
      <c r="A88" s="7">
        <v>45378</v>
      </c>
      <c r="B88" s="7" t="str">
        <f t="shared" si="1"/>
        <v>MARCH</v>
      </c>
      <c r="C88" s="8">
        <f>MONTH(Data!$A88)</f>
        <v>3</v>
      </c>
      <c r="D88" s="9">
        <v>710</v>
      </c>
      <c r="E88" s="9">
        <v>759</v>
      </c>
      <c r="F88" s="9">
        <v>227</v>
      </c>
      <c r="G88" s="9">
        <v>327</v>
      </c>
      <c r="H88" s="9">
        <v>156</v>
      </c>
      <c r="I88" s="9">
        <v>174</v>
      </c>
      <c r="J88" s="9">
        <v>494</v>
      </c>
      <c r="K88" s="9">
        <v>91</v>
      </c>
      <c r="L88" s="9">
        <v>198</v>
      </c>
      <c r="M88" s="9">
        <v>132</v>
      </c>
      <c r="N88" s="9">
        <v>39</v>
      </c>
      <c r="O88" s="9">
        <v>48</v>
      </c>
      <c r="P88" s="9">
        <v>8</v>
      </c>
      <c r="Q88" s="9">
        <v>102</v>
      </c>
      <c r="R88" s="9">
        <v>45</v>
      </c>
      <c r="S88" s="9">
        <v>21</v>
      </c>
      <c r="T88" s="9">
        <v>29</v>
      </c>
      <c r="U88" s="9">
        <v>88</v>
      </c>
      <c r="V88" s="9">
        <v>91</v>
      </c>
      <c r="W88" s="9">
        <v>7</v>
      </c>
      <c r="X88" s="9">
        <v>53</v>
      </c>
      <c r="Y88" s="9">
        <v>15</v>
      </c>
      <c r="Z88" s="9">
        <v>98</v>
      </c>
      <c r="AA88" s="9">
        <v>60</v>
      </c>
      <c r="AB88" s="9">
        <v>7</v>
      </c>
      <c r="AC88" s="9">
        <v>7</v>
      </c>
      <c r="AD88" s="9">
        <v>22</v>
      </c>
      <c r="AE88" s="9">
        <v>15</v>
      </c>
      <c r="AF88" s="9">
        <v>7</v>
      </c>
      <c r="AG88" s="9">
        <v>15</v>
      </c>
      <c r="AH88" s="9">
        <v>7</v>
      </c>
      <c r="AI88" s="9">
        <v>7</v>
      </c>
      <c r="AJ88" s="9">
        <v>0</v>
      </c>
      <c r="AK88" s="9">
        <v>60</v>
      </c>
      <c r="AL88" s="9">
        <v>7</v>
      </c>
      <c r="AM88" s="9">
        <v>30</v>
      </c>
      <c r="AN88" s="9">
        <v>22</v>
      </c>
      <c r="AO88" s="9">
        <v>7</v>
      </c>
      <c r="AP88" s="9">
        <v>7</v>
      </c>
      <c r="AQ88" s="9">
        <v>15</v>
      </c>
      <c r="AR88" s="9">
        <v>53</v>
      </c>
      <c r="AS88" s="9">
        <v>7</v>
      </c>
      <c r="AT88" s="9">
        <v>37</v>
      </c>
      <c r="AU88" s="9">
        <v>15</v>
      </c>
      <c r="AV88" s="9">
        <v>0</v>
      </c>
      <c r="AW88" s="9">
        <v>15</v>
      </c>
      <c r="AX88" s="9">
        <v>7</v>
      </c>
      <c r="AY88" s="9">
        <v>15</v>
      </c>
      <c r="AZ88" s="9">
        <v>51</v>
      </c>
      <c r="BA88" s="10">
        <v>121.42000000000002</v>
      </c>
      <c r="BB88" s="11">
        <v>41963.360000000001</v>
      </c>
      <c r="BC88" s="11">
        <v>21581.16</v>
      </c>
      <c r="BD88" s="11">
        <v>14387.44</v>
      </c>
      <c r="BE88" s="11">
        <v>14387.44</v>
      </c>
      <c r="BF88" s="11">
        <v>27575.919999999998</v>
      </c>
      <c r="BG88" s="11">
        <v>39500</v>
      </c>
      <c r="BH88" s="11">
        <v>10000</v>
      </c>
      <c r="BI88" s="11">
        <v>8716</v>
      </c>
      <c r="BJ88" s="11">
        <v>9237</v>
      </c>
      <c r="BK88" s="11">
        <v>30623</v>
      </c>
      <c r="BL88" s="11">
        <v>8722</v>
      </c>
      <c r="BM88" s="11">
        <v>6172</v>
      </c>
      <c r="BN88" s="11">
        <v>2143</v>
      </c>
      <c r="BO88" s="9">
        <v>49000</v>
      </c>
      <c r="BP88" s="9">
        <v>3842</v>
      </c>
    </row>
    <row r="89" spans="1:68" x14ac:dyDescent="0.3">
      <c r="A89" s="7">
        <v>45379</v>
      </c>
      <c r="B89" s="7" t="str">
        <f t="shared" si="1"/>
        <v>MARCH</v>
      </c>
      <c r="C89" s="8">
        <f>MONTH(Data!$A89)</f>
        <v>3</v>
      </c>
      <c r="D89" s="9">
        <v>710</v>
      </c>
      <c r="E89" s="9">
        <v>788</v>
      </c>
      <c r="F89" s="9">
        <v>163</v>
      </c>
      <c r="G89" s="9">
        <v>498</v>
      </c>
      <c r="H89" s="9">
        <v>49</v>
      </c>
      <c r="I89" s="9">
        <v>283</v>
      </c>
      <c r="J89" s="9">
        <v>387</v>
      </c>
      <c r="K89" s="9">
        <v>118</v>
      </c>
      <c r="L89" s="9">
        <v>215</v>
      </c>
      <c r="M89" s="9">
        <v>92</v>
      </c>
      <c r="N89" s="9">
        <v>44</v>
      </c>
      <c r="O89" s="9">
        <v>35</v>
      </c>
      <c r="P89" s="9">
        <v>13</v>
      </c>
      <c r="Q89" s="9">
        <v>140</v>
      </c>
      <c r="R89" s="9">
        <v>18</v>
      </c>
      <c r="S89" s="9">
        <v>18</v>
      </c>
      <c r="T89" s="9">
        <v>32</v>
      </c>
      <c r="U89" s="9">
        <v>103</v>
      </c>
      <c r="V89" s="9">
        <v>94</v>
      </c>
      <c r="W89" s="9">
        <v>23</v>
      </c>
      <c r="X89" s="9">
        <v>55</v>
      </c>
      <c r="Y89" s="9">
        <v>0</v>
      </c>
      <c r="Z89" s="9">
        <v>29</v>
      </c>
      <c r="AA89" s="9">
        <v>63</v>
      </c>
      <c r="AB89" s="9">
        <v>23</v>
      </c>
      <c r="AC89" s="9">
        <v>0</v>
      </c>
      <c r="AD89" s="9">
        <v>47</v>
      </c>
      <c r="AE89" s="9">
        <v>0</v>
      </c>
      <c r="AF89" s="9">
        <v>0</v>
      </c>
      <c r="AG89" s="9">
        <v>7</v>
      </c>
      <c r="AH89" s="9">
        <v>7</v>
      </c>
      <c r="AI89" s="9">
        <v>7</v>
      </c>
      <c r="AJ89" s="9">
        <v>0</v>
      </c>
      <c r="AK89" s="9">
        <v>70</v>
      </c>
      <c r="AL89" s="9">
        <v>47</v>
      </c>
      <c r="AM89" s="9">
        <v>23</v>
      </c>
      <c r="AN89" s="9">
        <v>0</v>
      </c>
      <c r="AO89" s="9">
        <v>0</v>
      </c>
      <c r="AP89" s="9">
        <v>31</v>
      </c>
      <c r="AQ89" s="9">
        <v>7</v>
      </c>
      <c r="AR89" s="9">
        <v>70</v>
      </c>
      <c r="AS89" s="9">
        <v>7</v>
      </c>
      <c r="AT89" s="9">
        <v>47</v>
      </c>
      <c r="AU89" s="9">
        <v>39</v>
      </c>
      <c r="AV89" s="9">
        <v>7</v>
      </c>
      <c r="AW89" s="9">
        <v>55</v>
      </c>
      <c r="AX89" s="9">
        <v>23</v>
      </c>
      <c r="AY89" s="9">
        <v>7</v>
      </c>
      <c r="AZ89" s="9">
        <v>0</v>
      </c>
      <c r="BA89" s="10">
        <v>123.85999999999999</v>
      </c>
      <c r="BB89" s="11">
        <v>37640.019999999997</v>
      </c>
      <c r="BC89" s="11">
        <v>25498.080000000002</v>
      </c>
      <c r="BD89" s="11">
        <v>16998.72</v>
      </c>
      <c r="BE89" s="11">
        <v>26712.27</v>
      </c>
      <c r="BF89" s="11">
        <v>14570.33</v>
      </c>
      <c r="BG89" s="11">
        <v>39500</v>
      </c>
      <c r="BH89" s="11">
        <v>17500</v>
      </c>
      <c r="BI89" s="11">
        <v>8716</v>
      </c>
      <c r="BJ89" s="11">
        <v>30237</v>
      </c>
      <c r="BK89" s="11">
        <v>30623</v>
      </c>
      <c r="BL89" s="11">
        <v>8722</v>
      </c>
      <c r="BM89" s="11">
        <v>6172</v>
      </c>
      <c r="BN89" s="11">
        <v>2143</v>
      </c>
      <c r="BO89" s="9">
        <v>49000</v>
      </c>
      <c r="BP89" s="9">
        <v>5162</v>
      </c>
    </row>
    <row r="90" spans="1:68" x14ac:dyDescent="0.3">
      <c r="A90" s="7">
        <v>45380</v>
      </c>
      <c r="B90" s="7" t="str">
        <f t="shared" si="1"/>
        <v>MARCH</v>
      </c>
      <c r="C90" s="8">
        <f>MONTH(Data!$A90)</f>
        <v>3</v>
      </c>
      <c r="D90" s="9">
        <v>716</v>
      </c>
      <c r="E90" s="9">
        <v>809</v>
      </c>
      <c r="F90" s="9">
        <v>343</v>
      </c>
      <c r="G90" s="9">
        <v>252</v>
      </c>
      <c r="H90" s="9">
        <v>121</v>
      </c>
      <c r="I90" s="9">
        <v>258</v>
      </c>
      <c r="J90" s="9">
        <v>487</v>
      </c>
      <c r="K90" s="9">
        <v>64</v>
      </c>
      <c r="L90" s="9">
        <v>173</v>
      </c>
      <c r="M90" s="9">
        <v>62</v>
      </c>
      <c r="N90" s="9">
        <v>57</v>
      </c>
      <c r="O90" s="9">
        <v>31</v>
      </c>
      <c r="P90" s="9">
        <v>26</v>
      </c>
      <c r="Q90" s="9">
        <v>125</v>
      </c>
      <c r="R90" s="9">
        <v>51</v>
      </c>
      <c r="S90" s="9">
        <v>21</v>
      </c>
      <c r="T90" s="9">
        <v>40</v>
      </c>
      <c r="U90" s="9">
        <v>130</v>
      </c>
      <c r="V90" s="9">
        <v>40</v>
      </c>
      <c r="W90" s="9">
        <v>0</v>
      </c>
      <c r="X90" s="9">
        <v>48</v>
      </c>
      <c r="Y90" s="9">
        <v>24</v>
      </c>
      <c r="Z90" s="9">
        <v>80</v>
      </c>
      <c r="AA90" s="9">
        <v>40</v>
      </c>
      <c r="AB90" s="9">
        <v>0</v>
      </c>
      <c r="AC90" s="9">
        <v>8</v>
      </c>
      <c r="AD90" s="9">
        <v>48</v>
      </c>
      <c r="AE90" s="9">
        <v>8</v>
      </c>
      <c r="AF90" s="9">
        <v>0</v>
      </c>
      <c r="AG90" s="9">
        <v>16</v>
      </c>
      <c r="AH90" s="9">
        <v>24</v>
      </c>
      <c r="AI90" s="9">
        <v>8</v>
      </c>
      <c r="AJ90" s="9">
        <v>0</v>
      </c>
      <c r="AK90" s="9">
        <v>64</v>
      </c>
      <c r="AL90" s="9">
        <v>8</v>
      </c>
      <c r="AM90" s="9">
        <v>8</v>
      </c>
      <c r="AN90" s="9">
        <v>8</v>
      </c>
      <c r="AO90" s="9">
        <v>8</v>
      </c>
      <c r="AP90" s="9">
        <v>16</v>
      </c>
      <c r="AQ90" s="9">
        <v>24</v>
      </c>
      <c r="AR90" s="9">
        <v>88</v>
      </c>
      <c r="AS90" s="9">
        <v>16</v>
      </c>
      <c r="AT90" s="9">
        <v>24</v>
      </c>
      <c r="AU90" s="9">
        <v>40</v>
      </c>
      <c r="AV90" s="9">
        <v>0</v>
      </c>
      <c r="AW90" s="9">
        <v>48</v>
      </c>
      <c r="AX90" s="9">
        <v>0</v>
      </c>
      <c r="AY90" s="9">
        <v>8</v>
      </c>
      <c r="AZ90" s="9">
        <v>105</v>
      </c>
      <c r="BA90" s="10">
        <v>128.19999999999999</v>
      </c>
      <c r="BB90" s="11">
        <v>32201.33</v>
      </c>
      <c r="BC90" s="11">
        <v>16100.67</v>
      </c>
      <c r="BD90" s="11">
        <v>28485.79</v>
      </c>
      <c r="BE90" s="11">
        <v>28485.79</v>
      </c>
      <c r="BF90" s="11">
        <v>18577.689999999999</v>
      </c>
      <c r="BG90" s="11">
        <v>39500</v>
      </c>
      <c r="BH90" s="11">
        <v>17500</v>
      </c>
      <c r="BI90" s="11">
        <v>8716</v>
      </c>
      <c r="BJ90" s="11">
        <v>30237</v>
      </c>
      <c r="BK90" s="11">
        <v>30623</v>
      </c>
      <c r="BL90" s="11">
        <v>8722</v>
      </c>
      <c r="BM90" s="11">
        <v>6172</v>
      </c>
      <c r="BN90" s="11">
        <v>2143</v>
      </c>
      <c r="BO90" s="9">
        <v>49000</v>
      </c>
      <c r="BP90" s="9">
        <v>770</v>
      </c>
    </row>
    <row r="91" spans="1:68" x14ac:dyDescent="0.3">
      <c r="A91" s="7">
        <v>45381</v>
      </c>
      <c r="B91" s="7" t="str">
        <f t="shared" si="1"/>
        <v>MARCH</v>
      </c>
      <c r="C91" s="8">
        <f>MONTH(Data!$A91)</f>
        <v>3</v>
      </c>
      <c r="D91" s="9">
        <v>726</v>
      </c>
      <c r="E91" s="9">
        <v>816</v>
      </c>
      <c r="F91" s="9">
        <v>203</v>
      </c>
      <c r="G91" s="9">
        <v>415</v>
      </c>
      <c r="H91" s="9">
        <v>108</v>
      </c>
      <c r="I91" s="9">
        <v>375</v>
      </c>
      <c r="J91" s="9">
        <v>278</v>
      </c>
      <c r="K91" s="9">
        <v>163</v>
      </c>
      <c r="L91" s="9">
        <v>202</v>
      </c>
      <c r="M91" s="9">
        <v>103</v>
      </c>
      <c r="N91" s="9">
        <v>40</v>
      </c>
      <c r="O91" s="9">
        <v>49</v>
      </c>
      <c r="P91" s="9">
        <v>45</v>
      </c>
      <c r="Q91" s="9">
        <v>121</v>
      </c>
      <c r="R91" s="9">
        <v>49</v>
      </c>
      <c r="S91" s="9">
        <v>35</v>
      </c>
      <c r="T91" s="9">
        <v>19</v>
      </c>
      <c r="U91" s="9">
        <v>63</v>
      </c>
      <c r="V91" s="9">
        <v>48</v>
      </c>
      <c r="W91" s="9">
        <v>16</v>
      </c>
      <c r="X91" s="9">
        <v>24</v>
      </c>
      <c r="Y91" s="9">
        <v>16</v>
      </c>
      <c r="Z91" s="9">
        <v>65</v>
      </c>
      <c r="AA91" s="9">
        <v>73</v>
      </c>
      <c r="AB91" s="9">
        <v>24</v>
      </c>
      <c r="AC91" s="9">
        <v>8</v>
      </c>
      <c r="AD91" s="9">
        <v>40</v>
      </c>
      <c r="AE91" s="9">
        <v>16</v>
      </c>
      <c r="AF91" s="9">
        <v>0</v>
      </c>
      <c r="AG91" s="9">
        <v>32</v>
      </c>
      <c r="AH91" s="9">
        <v>8</v>
      </c>
      <c r="AI91" s="9">
        <v>8</v>
      </c>
      <c r="AJ91" s="9">
        <v>8</v>
      </c>
      <c r="AK91" s="9">
        <v>81</v>
      </c>
      <c r="AL91" s="9">
        <v>24</v>
      </c>
      <c r="AM91" s="9">
        <v>24</v>
      </c>
      <c r="AN91" s="9">
        <v>24</v>
      </c>
      <c r="AO91" s="9">
        <v>8</v>
      </c>
      <c r="AP91" s="9">
        <v>16</v>
      </c>
      <c r="AQ91" s="9">
        <v>32</v>
      </c>
      <c r="AR91" s="9">
        <v>65</v>
      </c>
      <c r="AS91" s="9">
        <v>24</v>
      </c>
      <c r="AT91" s="9">
        <v>32</v>
      </c>
      <c r="AU91" s="9">
        <v>24</v>
      </c>
      <c r="AV91" s="9">
        <v>0</v>
      </c>
      <c r="AW91" s="9">
        <v>40</v>
      </c>
      <c r="AX91" s="9">
        <v>32</v>
      </c>
      <c r="AY91" s="9">
        <v>0</v>
      </c>
      <c r="AZ91" s="9">
        <v>4</v>
      </c>
      <c r="BA91" s="10">
        <v>134</v>
      </c>
      <c r="BB91" s="11">
        <v>37175.269999999997</v>
      </c>
      <c r="BC91" s="11">
        <v>29483.83</v>
      </c>
      <c r="BD91" s="11">
        <v>19228.59</v>
      </c>
      <c r="BE91" s="11">
        <v>11537.15</v>
      </c>
      <c r="BF91" s="11">
        <v>30765.74</v>
      </c>
      <c r="BG91" s="11">
        <v>39500</v>
      </c>
      <c r="BH91" s="11">
        <v>17500</v>
      </c>
      <c r="BI91" s="11">
        <v>8716</v>
      </c>
      <c r="BJ91" s="11">
        <v>30237</v>
      </c>
      <c r="BK91" s="11">
        <v>30623</v>
      </c>
      <c r="BL91" s="11">
        <v>8722</v>
      </c>
      <c r="BM91" s="11">
        <v>6172</v>
      </c>
      <c r="BN91" s="11">
        <v>2143</v>
      </c>
      <c r="BO91" s="9">
        <v>49000</v>
      </c>
      <c r="BP91" s="9">
        <v>1713</v>
      </c>
    </row>
    <row r="92" spans="1:68" x14ac:dyDescent="0.3">
      <c r="A92" s="7">
        <v>45382</v>
      </c>
      <c r="B92" s="7" t="str">
        <f t="shared" si="1"/>
        <v>MARCH</v>
      </c>
      <c r="C92" s="8">
        <f>MONTH(Data!$A92)</f>
        <v>3</v>
      </c>
      <c r="D92" s="9">
        <v>739</v>
      </c>
      <c r="E92" s="9">
        <v>819</v>
      </c>
      <c r="F92" s="9">
        <v>347</v>
      </c>
      <c r="G92" s="9">
        <v>348</v>
      </c>
      <c r="H92" s="9">
        <v>44</v>
      </c>
      <c r="I92" s="9">
        <v>368</v>
      </c>
      <c r="J92" s="9">
        <v>271</v>
      </c>
      <c r="K92" s="9">
        <v>180</v>
      </c>
      <c r="L92" s="9">
        <v>201</v>
      </c>
      <c r="M92" s="9">
        <v>50</v>
      </c>
      <c r="N92" s="9">
        <v>50</v>
      </c>
      <c r="O92" s="9">
        <v>59</v>
      </c>
      <c r="P92" s="9">
        <v>32</v>
      </c>
      <c r="Q92" s="9">
        <v>115</v>
      </c>
      <c r="R92" s="9">
        <v>95</v>
      </c>
      <c r="S92" s="9">
        <v>19</v>
      </c>
      <c r="T92" s="9">
        <v>22</v>
      </c>
      <c r="U92" s="9">
        <v>96</v>
      </c>
      <c r="V92" s="9">
        <v>57</v>
      </c>
      <c r="W92" s="9">
        <v>16</v>
      </c>
      <c r="X92" s="9">
        <v>40</v>
      </c>
      <c r="Y92" s="9">
        <v>8</v>
      </c>
      <c r="Z92" s="9">
        <v>36</v>
      </c>
      <c r="AA92" s="9">
        <v>49</v>
      </c>
      <c r="AB92" s="9">
        <v>8</v>
      </c>
      <c r="AC92" s="9">
        <v>8</v>
      </c>
      <c r="AD92" s="9">
        <v>49</v>
      </c>
      <c r="AE92" s="9">
        <v>8</v>
      </c>
      <c r="AF92" s="9">
        <v>0</v>
      </c>
      <c r="AG92" s="9">
        <v>16</v>
      </c>
      <c r="AH92" s="9">
        <v>0</v>
      </c>
      <c r="AI92" s="9">
        <v>8</v>
      </c>
      <c r="AJ92" s="9">
        <v>24</v>
      </c>
      <c r="AK92" s="9">
        <v>81</v>
      </c>
      <c r="AL92" s="9">
        <v>49</v>
      </c>
      <c r="AM92" s="9">
        <v>40</v>
      </c>
      <c r="AN92" s="9">
        <v>24</v>
      </c>
      <c r="AO92" s="9">
        <v>8</v>
      </c>
      <c r="AP92" s="9">
        <v>32</v>
      </c>
      <c r="AQ92" s="9">
        <v>24</v>
      </c>
      <c r="AR92" s="9">
        <v>81</v>
      </c>
      <c r="AS92" s="9">
        <v>16</v>
      </c>
      <c r="AT92" s="9">
        <v>65</v>
      </c>
      <c r="AU92" s="9">
        <v>24</v>
      </c>
      <c r="AV92" s="9">
        <v>0</v>
      </c>
      <c r="AW92" s="9">
        <v>8</v>
      </c>
      <c r="AX92" s="9">
        <v>24</v>
      </c>
      <c r="AY92" s="9">
        <v>16</v>
      </c>
      <c r="AZ92" s="9">
        <v>0</v>
      </c>
      <c r="BA92" s="10">
        <v>134</v>
      </c>
      <c r="BB92" s="11">
        <v>45560</v>
      </c>
      <c r="BC92" s="11">
        <v>17420</v>
      </c>
      <c r="BD92" s="11">
        <v>29480</v>
      </c>
      <c r="BE92" s="11">
        <v>20100</v>
      </c>
      <c r="BF92" s="11">
        <v>21440</v>
      </c>
      <c r="BG92" s="11">
        <v>39500</v>
      </c>
      <c r="BH92" s="11">
        <v>17500</v>
      </c>
      <c r="BI92" s="11">
        <v>8716</v>
      </c>
      <c r="BJ92" s="11">
        <v>30237</v>
      </c>
      <c r="BK92" s="11">
        <v>30623</v>
      </c>
      <c r="BL92" s="11">
        <v>8722</v>
      </c>
      <c r="BM92" s="11">
        <v>6172</v>
      </c>
      <c r="BN92" s="11">
        <v>2143</v>
      </c>
      <c r="BO92" s="9">
        <v>49000</v>
      </c>
      <c r="BP92" s="9">
        <v>7602</v>
      </c>
    </row>
    <row r="93" spans="1:68" x14ac:dyDescent="0.3">
      <c r="A93" s="7">
        <v>45383</v>
      </c>
      <c r="B93" s="7" t="str">
        <f t="shared" si="1"/>
        <v>APRIL</v>
      </c>
      <c r="C93" s="8">
        <f>MONTH(Data!$A93)</f>
        <v>4</v>
      </c>
      <c r="D93" s="9">
        <v>764</v>
      </c>
      <c r="E93" s="9">
        <v>714</v>
      </c>
      <c r="F93" s="9">
        <v>168</v>
      </c>
      <c r="G93" s="9">
        <v>413</v>
      </c>
      <c r="H93" s="9">
        <v>183</v>
      </c>
      <c r="I93" s="9">
        <v>214</v>
      </c>
      <c r="J93" s="9">
        <v>358</v>
      </c>
      <c r="K93" s="9">
        <v>142</v>
      </c>
      <c r="L93" s="9">
        <v>222</v>
      </c>
      <c r="M93" s="9">
        <v>165</v>
      </c>
      <c r="N93" s="9">
        <v>56</v>
      </c>
      <c r="O93" s="9">
        <v>33</v>
      </c>
      <c r="P93" s="9">
        <v>14</v>
      </c>
      <c r="Q93" s="9">
        <v>121</v>
      </c>
      <c r="R93" s="9">
        <v>63</v>
      </c>
      <c r="S93" s="9">
        <v>40</v>
      </c>
      <c r="T93" s="9">
        <v>29</v>
      </c>
      <c r="U93" s="9">
        <v>21</v>
      </c>
      <c r="V93" s="9">
        <v>57</v>
      </c>
      <c r="W93" s="9">
        <v>0</v>
      </c>
      <c r="X93" s="9">
        <v>21</v>
      </c>
      <c r="Y93" s="9">
        <v>0</v>
      </c>
      <c r="Z93" s="9">
        <v>71</v>
      </c>
      <c r="AA93" s="9">
        <v>64</v>
      </c>
      <c r="AB93" s="9">
        <v>14</v>
      </c>
      <c r="AC93" s="9">
        <v>0</v>
      </c>
      <c r="AD93" s="9">
        <v>14</v>
      </c>
      <c r="AE93" s="9">
        <v>14</v>
      </c>
      <c r="AF93" s="9">
        <v>0</v>
      </c>
      <c r="AG93" s="9">
        <v>35</v>
      </c>
      <c r="AH93" s="9">
        <v>7</v>
      </c>
      <c r="AI93" s="9">
        <v>14</v>
      </c>
      <c r="AJ93" s="9">
        <v>0</v>
      </c>
      <c r="AK93" s="9">
        <v>71</v>
      </c>
      <c r="AL93" s="9">
        <v>49</v>
      </c>
      <c r="AM93" s="9">
        <v>14</v>
      </c>
      <c r="AN93" s="9">
        <v>7</v>
      </c>
      <c r="AO93" s="9">
        <v>0</v>
      </c>
      <c r="AP93" s="9">
        <v>21</v>
      </c>
      <c r="AQ93" s="9">
        <v>7</v>
      </c>
      <c r="AR93" s="9">
        <v>57</v>
      </c>
      <c r="AS93" s="9">
        <v>21</v>
      </c>
      <c r="AT93" s="9">
        <v>28</v>
      </c>
      <c r="AU93" s="9">
        <v>28</v>
      </c>
      <c r="AV93" s="9">
        <v>7</v>
      </c>
      <c r="AW93" s="9">
        <v>49</v>
      </c>
      <c r="AX93" s="9">
        <v>21</v>
      </c>
      <c r="AY93" s="9">
        <v>21</v>
      </c>
      <c r="AZ93" s="9">
        <v>2</v>
      </c>
      <c r="BA93" s="10">
        <v>139.97999999999999</v>
      </c>
      <c r="BB93" s="11">
        <v>45560</v>
      </c>
      <c r="BC93" s="11">
        <v>17420</v>
      </c>
      <c r="BD93" s="11">
        <v>29480</v>
      </c>
      <c r="BE93" s="11">
        <v>20100</v>
      </c>
      <c r="BF93" s="11">
        <v>21440</v>
      </c>
      <c r="BG93" s="11">
        <v>39500</v>
      </c>
      <c r="BH93" s="11">
        <v>16250</v>
      </c>
      <c r="BI93" s="11">
        <v>8716</v>
      </c>
      <c r="BJ93" s="11">
        <v>30237</v>
      </c>
      <c r="BK93" s="11">
        <v>35764</v>
      </c>
      <c r="BL93" s="11">
        <v>13723</v>
      </c>
      <c r="BM93" s="11">
        <v>8643</v>
      </c>
      <c r="BN93" s="11">
        <v>5764</v>
      </c>
      <c r="BO93" s="9">
        <v>72000</v>
      </c>
      <c r="BP93" s="9">
        <v>2565</v>
      </c>
    </row>
    <row r="94" spans="1:68" x14ac:dyDescent="0.3">
      <c r="A94" s="7">
        <v>45384</v>
      </c>
      <c r="B94" s="7" t="str">
        <f t="shared" si="1"/>
        <v>APRIL</v>
      </c>
      <c r="C94" s="8">
        <f>MONTH(Data!$A94)</f>
        <v>4</v>
      </c>
      <c r="D94" s="9">
        <v>790</v>
      </c>
      <c r="E94" s="9">
        <v>706</v>
      </c>
      <c r="F94" s="9">
        <v>410</v>
      </c>
      <c r="G94" s="9">
        <v>254</v>
      </c>
      <c r="H94" s="9">
        <v>126</v>
      </c>
      <c r="I94" s="9">
        <v>176</v>
      </c>
      <c r="J94" s="9">
        <v>389</v>
      </c>
      <c r="K94" s="9">
        <v>141</v>
      </c>
      <c r="L94" s="9">
        <v>210</v>
      </c>
      <c r="M94" s="9">
        <v>166</v>
      </c>
      <c r="N94" s="9">
        <v>44</v>
      </c>
      <c r="O94" s="9">
        <v>34</v>
      </c>
      <c r="P94" s="9">
        <v>48</v>
      </c>
      <c r="Q94" s="9">
        <v>117</v>
      </c>
      <c r="R94" s="9">
        <v>81</v>
      </c>
      <c r="S94" s="9">
        <v>45</v>
      </c>
      <c r="T94" s="9">
        <v>45</v>
      </c>
      <c r="U94" s="9">
        <v>0</v>
      </c>
      <c r="V94" s="9">
        <v>56</v>
      </c>
      <c r="W94" s="9">
        <v>14</v>
      </c>
      <c r="X94" s="9">
        <v>35</v>
      </c>
      <c r="Y94" s="9">
        <v>7</v>
      </c>
      <c r="Z94" s="9">
        <v>98</v>
      </c>
      <c r="AA94" s="9">
        <v>35</v>
      </c>
      <c r="AB94" s="9">
        <v>0</v>
      </c>
      <c r="AC94" s="9">
        <v>14</v>
      </c>
      <c r="AD94" s="9">
        <v>35</v>
      </c>
      <c r="AE94" s="9">
        <v>7</v>
      </c>
      <c r="AF94" s="9">
        <v>7</v>
      </c>
      <c r="AG94" s="9">
        <v>21</v>
      </c>
      <c r="AH94" s="9">
        <v>7</v>
      </c>
      <c r="AI94" s="9">
        <v>7</v>
      </c>
      <c r="AJ94" s="9">
        <v>14</v>
      </c>
      <c r="AK94" s="9">
        <v>28</v>
      </c>
      <c r="AL94" s="9">
        <v>14</v>
      </c>
      <c r="AM94" s="9">
        <v>7</v>
      </c>
      <c r="AN94" s="9">
        <v>21</v>
      </c>
      <c r="AO94" s="9">
        <v>0</v>
      </c>
      <c r="AP94" s="9">
        <v>14</v>
      </c>
      <c r="AQ94" s="9">
        <v>21</v>
      </c>
      <c r="AR94" s="9">
        <v>56</v>
      </c>
      <c r="AS94" s="9">
        <v>21</v>
      </c>
      <c r="AT94" s="9">
        <v>56</v>
      </c>
      <c r="AU94" s="9">
        <v>28</v>
      </c>
      <c r="AV94" s="9">
        <v>7</v>
      </c>
      <c r="AW94" s="9">
        <v>28</v>
      </c>
      <c r="AX94" s="9">
        <v>28</v>
      </c>
      <c r="AY94" s="9">
        <v>7</v>
      </c>
      <c r="AZ94" s="9">
        <v>13</v>
      </c>
      <c r="BA94" s="10">
        <v>142.29</v>
      </c>
      <c r="BB94" s="11">
        <v>44791.38</v>
      </c>
      <c r="BC94" s="11">
        <v>33593.54</v>
      </c>
      <c r="BD94" s="11">
        <v>13997.31</v>
      </c>
      <c r="BE94" s="11">
        <v>22395.69</v>
      </c>
      <c r="BF94" s="11">
        <v>25195.15</v>
      </c>
      <c r="BG94" s="11">
        <v>39500</v>
      </c>
      <c r="BH94" s="11">
        <v>16250</v>
      </c>
      <c r="BI94" s="11">
        <v>8716</v>
      </c>
      <c r="BJ94" s="11">
        <v>30237</v>
      </c>
      <c r="BK94" s="11">
        <v>35764</v>
      </c>
      <c r="BL94" s="11">
        <v>13723</v>
      </c>
      <c r="BM94" s="11">
        <v>8643</v>
      </c>
      <c r="BN94" s="11">
        <v>5764</v>
      </c>
      <c r="BO94" s="9">
        <v>72000</v>
      </c>
      <c r="BP94" s="9">
        <v>8785</v>
      </c>
    </row>
    <row r="95" spans="1:68" x14ac:dyDescent="0.3">
      <c r="A95" s="7">
        <v>45385</v>
      </c>
      <c r="B95" s="7" t="str">
        <f t="shared" si="1"/>
        <v>APRIL</v>
      </c>
      <c r="C95" s="8">
        <f>MONTH(Data!$A95)</f>
        <v>4</v>
      </c>
      <c r="D95" s="9">
        <v>811</v>
      </c>
      <c r="E95" s="9">
        <v>691</v>
      </c>
      <c r="F95" s="9">
        <v>202</v>
      </c>
      <c r="G95" s="9">
        <v>504</v>
      </c>
      <c r="H95" s="9">
        <v>105</v>
      </c>
      <c r="I95" s="9">
        <v>283</v>
      </c>
      <c r="J95" s="9">
        <v>312</v>
      </c>
      <c r="K95" s="9">
        <v>96</v>
      </c>
      <c r="L95" s="9">
        <v>191</v>
      </c>
      <c r="M95" s="9">
        <v>160</v>
      </c>
      <c r="N95" s="9">
        <v>65</v>
      </c>
      <c r="O95" s="9">
        <v>50</v>
      </c>
      <c r="P95" s="9">
        <v>45</v>
      </c>
      <c r="Q95" s="9">
        <v>107</v>
      </c>
      <c r="R95" s="9">
        <v>77</v>
      </c>
      <c r="S95" s="9">
        <v>27</v>
      </c>
      <c r="T95" s="9">
        <v>46</v>
      </c>
      <c r="U95" s="9">
        <v>43</v>
      </c>
      <c r="V95" s="9">
        <v>27</v>
      </c>
      <c r="W95" s="9">
        <v>13</v>
      </c>
      <c r="X95" s="9">
        <v>27</v>
      </c>
      <c r="Y95" s="9">
        <v>0</v>
      </c>
      <c r="Z95" s="9">
        <v>89</v>
      </c>
      <c r="AA95" s="9">
        <v>41</v>
      </c>
      <c r="AB95" s="9">
        <v>6</v>
      </c>
      <c r="AC95" s="9">
        <v>13</v>
      </c>
      <c r="AD95" s="9">
        <v>20</v>
      </c>
      <c r="AE95" s="9">
        <v>20</v>
      </c>
      <c r="AF95" s="9">
        <v>0</v>
      </c>
      <c r="AG95" s="9">
        <v>34</v>
      </c>
      <c r="AH95" s="9">
        <v>6</v>
      </c>
      <c r="AI95" s="9">
        <v>6</v>
      </c>
      <c r="AJ95" s="9">
        <v>20</v>
      </c>
      <c r="AK95" s="9">
        <v>69</v>
      </c>
      <c r="AL95" s="9">
        <v>41</v>
      </c>
      <c r="AM95" s="9">
        <v>13</v>
      </c>
      <c r="AN95" s="9">
        <v>0</v>
      </c>
      <c r="AO95" s="9">
        <v>0</v>
      </c>
      <c r="AP95" s="9">
        <v>27</v>
      </c>
      <c r="AQ95" s="9">
        <v>20</v>
      </c>
      <c r="AR95" s="9">
        <v>69</v>
      </c>
      <c r="AS95" s="9">
        <v>6</v>
      </c>
      <c r="AT95" s="9">
        <v>20</v>
      </c>
      <c r="AU95" s="9">
        <v>13</v>
      </c>
      <c r="AV95" s="9">
        <v>6</v>
      </c>
      <c r="AW95" s="9">
        <v>13</v>
      </c>
      <c r="AX95" s="9">
        <v>27</v>
      </c>
      <c r="AY95" s="9">
        <v>6</v>
      </c>
      <c r="AZ95" s="9">
        <v>39</v>
      </c>
      <c r="BA95" s="10">
        <v>142.87</v>
      </c>
      <c r="BB95" s="11">
        <v>44107.87</v>
      </c>
      <c r="BC95" s="11">
        <v>31302.36</v>
      </c>
      <c r="BD95" s="11">
        <v>35570.86</v>
      </c>
      <c r="BE95" s="11">
        <v>18496.849999999999</v>
      </c>
      <c r="BF95" s="11">
        <v>12805.51</v>
      </c>
      <c r="BG95" s="11">
        <v>39500</v>
      </c>
      <c r="BH95" s="11">
        <v>16250</v>
      </c>
      <c r="BI95" s="11">
        <v>8716</v>
      </c>
      <c r="BJ95" s="11">
        <v>29175</v>
      </c>
      <c r="BK95" s="11">
        <v>35764</v>
      </c>
      <c r="BL95" s="11">
        <v>13723</v>
      </c>
      <c r="BM95" s="11">
        <v>8643</v>
      </c>
      <c r="BN95" s="11">
        <v>5764</v>
      </c>
      <c r="BO95" s="9">
        <v>72000</v>
      </c>
      <c r="BP95" s="9">
        <v>3119</v>
      </c>
    </row>
    <row r="96" spans="1:68" x14ac:dyDescent="0.3">
      <c r="A96" s="7">
        <v>45386</v>
      </c>
      <c r="B96" s="7" t="str">
        <f t="shared" si="1"/>
        <v>APRIL</v>
      </c>
      <c r="C96" s="8">
        <f>MONTH(Data!$A96)</f>
        <v>4</v>
      </c>
      <c r="D96" s="9">
        <v>842</v>
      </c>
      <c r="E96" s="9">
        <v>666</v>
      </c>
      <c r="F96" s="9">
        <v>311</v>
      </c>
      <c r="G96" s="9">
        <v>405</v>
      </c>
      <c r="H96" s="9">
        <v>126</v>
      </c>
      <c r="I96" s="9">
        <v>339</v>
      </c>
      <c r="J96" s="9">
        <v>268</v>
      </c>
      <c r="K96" s="9">
        <v>59</v>
      </c>
      <c r="L96" s="9">
        <v>203</v>
      </c>
      <c r="M96" s="9">
        <v>73</v>
      </c>
      <c r="N96" s="9">
        <v>73</v>
      </c>
      <c r="O96" s="9">
        <v>31</v>
      </c>
      <c r="P96" s="9">
        <v>20</v>
      </c>
      <c r="Q96" s="9">
        <v>143</v>
      </c>
      <c r="R96" s="9">
        <v>99</v>
      </c>
      <c r="S96" s="9">
        <v>35</v>
      </c>
      <c r="T96" s="9">
        <v>47</v>
      </c>
      <c r="U96" s="9">
        <v>118</v>
      </c>
      <c r="V96" s="9">
        <v>33</v>
      </c>
      <c r="W96" s="9">
        <v>6</v>
      </c>
      <c r="X96" s="9">
        <v>33</v>
      </c>
      <c r="Y96" s="9">
        <v>19</v>
      </c>
      <c r="Z96" s="9">
        <v>71</v>
      </c>
      <c r="AA96" s="9">
        <v>59</v>
      </c>
      <c r="AB96" s="9">
        <v>0</v>
      </c>
      <c r="AC96" s="9">
        <v>0</v>
      </c>
      <c r="AD96" s="9">
        <v>13</v>
      </c>
      <c r="AE96" s="9">
        <v>13</v>
      </c>
      <c r="AF96" s="9">
        <v>6</v>
      </c>
      <c r="AG96" s="9">
        <v>19</v>
      </c>
      <c r="AH96" s="9">
        <v>19</v>
      </c>
      <c r="AI96" s="9">
        <v>6</v>
      </c>
      <c r="AJ96" s="9">
        <v>6</v>
      </c>
      <c r="AK96" s="9">
        <v>59</v>
      </c>
      <c r="AL96" s="9">
        <v>19</v>
      </c>
      <c r="AM96" s="9">
        <v>26</v>
      </c>
      <c r="AN96" s="9">
        <v>19</v>
      </c>
      <c r="AO96" s="9">
        <v>6</v>
      </c>
      <c r="AP96" s="9">
        <v>26</v>
      </c>
      <c r="AQ96" s="9">
        <v>26</v>
      </c>
      <c r="AR96" s="9">
        <v>53</v>
      </c>
      <c r="AS96" s="9">
        <v>13</v>
      </c>
      <c r="AT96" s="9">
        <v>39</v>
      </c>
      <c r="AU96" s="9">
        <v>6</v>
      </c>
      <c r="AV96" s="9">
        <v>6</v>
      </c>
      <c r="AW96" s="9">
        <v>39</v>
      </c>
      <c r="AX96" s="9">
        <v>13</v>
      </c>
      <c r="AY96" s="9">
        <v>13</v>
      </c>
      <c r="AZ96" s="9">
        <v>0</v>
      </c>
      <c r="BA96" s="10">
        <v>139.89999999999998</v>
      </c>
      <c r="BB96" s="11">
        <v>37147.370000000003</v>
      </c>
      <c r="BC96" s="11">
        <v>28574.9</v>
      </c>
      <c r="BD96" s="11">
        <v>35718.629999999997</v>
      </c>
      <c r="BE96" s="11">
        <v>31432.39</v>
      </c>
      <c r="BF96" s="11">
        <v>10001.219999999999</v>
      </c>
      <c r="BG96" s="11">
        <v>39500</v>
      </c>
      <c r="BH96" s="11">
        <v>16250</v>
      </c>
      <c r="BI96" s="11">
        <v>8716</v>
      </c>
      <c r="BJ96" s="11">
        <v>29175</v>
      </c>
      <c r="BK96" s="11">
        <v>35764</v>
      </c>
      <c r="BL96" s="11">
        <v>13723</v>
      </c>
      <c r="BM96" s="11">
        <v>8643</v>
      </c>
      <c r="BN96" s="11">
        <v>5764</v>
      </c>
      <c r="BO96" s="9">
        <v>72000</v>
      </c>
      <c r="BP96" s="9">
        <v>233</v>
      </c>
    </row>
    <row r="97" spans="1:68" x14ac:dyDescent="0.3">
      <c r="A97" s="7">
        <v>45387</v>
      </c>
      <c r="B97" s="7" t="str">
        <f t="shared" si="1"/>
        <v>APRIL</v>
      </c>
      <c r="C97" s="8">
        <f>MONTH(Data!$A97)</f>
        <v>4</v>
      </c>
      <c r="D97" s="9">
        <v>863</v>
      </c>
      <c r="E97" s="9">
        <v>641</v>
      </c>
      <c r="F97" s="9">
        <v>241</v>
      </c>
      <c r="G97" s="9">
        <v>415</v>
      </c>
      <c r="H97" s="9">
        <v>207</v>
      </c>
      <c r="I97" s="9">
        <v>326</v>
      </c>
      <c r="J97" s="9">
        <v>251</v>
      </c>
      <c r="K97" s="9">
        <v>64</v>
      </c>
      <c r="L97" s="9">
        <v>235</v>
      </c>
      <c r="M97" s="9">
        <v>165</v>
      </c>
      <c r="N97" s="9">
        <v>42</v>
      </c>
      <c r="O97" s="9">
        <v>80</v>
      </c>
      <c r="P97" s="9">
        <v>37</v>
      </c>
      <c r="Q97" s="9">
        <v>154</v>
      </c>
      <c r="R97" s="9">
        <v>52</v>
      </c>
      <c r="S97" s="9">
        <v>36</v>
      </c>
      <c r="T97" s="9">
        <v>42</v>
      </c>
      <c r="U97" s="9">
        <v>20</v>
      </c>
      <c r="V97" s="9">
        <v>25</v>
      </c>
      <c r="W97" s="9">
        <v>12</v>
      </c>
      <c r="X97" s="9">
        <v>44</v>
      </c>
      <c r="Y97" s="9">
        <v>6</v>
      </c>
      <c r="Z97" s="9">
        <v>44</v>
      </c>
      <c r="AA97" s="9">
        <v>51</v>
      </c>
      <c r="AB97" s="9">
        <v>6</v>
      </c>
      <c r="AC97" s="9">
        <v>19</v>
      </c>
      <c r="AD97" s="9">
        <v>38</v>
      </c>
      <c r="AE97" s="9">
        <v>12</v>
      </c>
      <c r="AF97" s="9">
        <v>0</v>
      </c>
      <c r="AG97" s="9">
        <v>25</v>
      </c>
      <c r="AH97" s="9">
        <v>19</v>
      </c>
      <c r="AI97" s="9">
        <v>6</v>
      </c>
      <c r="AJ97" s="9">
        <v>19</v>
      </c>
      <c r="AK97" s="9">
        <v>44</v>
      </c>
      <c r="AL97" s="9">
        <v>25</v>
      </c>
      <c r="AM97" s="9">
        <v>32</v>
      </c>
      <c r="AN97" s="9">
        <v>6</v>
      </c>
      <c r="AO97" s="9">
        <v>0</v>
      </c>
      <c r="AP97" s="9">
        <v>19</v>
      </c>
      <c r="AQ97" s="9">
        <v>6</v>
      </c>
      <c r="AR97" s="9">
        <v>64</v>
      </c>
      <c r="AS97" s="9">
        <v>6</v>
      </c>
      <c r="AT97" s="9">
        <v>32</v>
      </c>
      <c r="AU97" s="9">
        <v>19</v>
      </c>
      <c r="AV97" s="9">
        <v>0</v>
      </c>
      <c r="AW97" s="9">
        <v>6</v>
      </c>
      <c r="AX97" s="9">
        <v>6</v>
      </c>
      <c r="AY97" s="9">
        <v>19</v>
      </c>
      <c r="AZ97" s="9">
        <v>31</v>
      </c>
      <c r="BA97" s="10">
        <v>135.85</v>
      </c>
      <c r="BB97" s="11">
        <v>37773.53</v>
      </c>
      <c r="BC97" s="11">
        <v>26581.37</v>
      </c>
      <c r="BD97" s="11">
        <v>25182.35</v>
      </c>
      <c r="BE97" s="11">
        <v>20985.29</v>
      </c>
      <c r="BF97" s="11">
        <v>29379.41</v>
      </c>
      <c r="BG97" s="11">
        <v>39500</v>
      </c>
      <c r="BH97" s="11">
        <v>16250</v>
      </c>
      <c r="BI97" s="11">
        <v>8716</v>
      </c>
      <c r="BJ97" s="11">
        <v>29175</v>
      </c>
      <c r="BK97" s="11">
        <v>35764</v>
      </c>
      <c r="BL97" s="11">
        <v>13723</v>
      </c>
      <c r="BM97" s="11">
        <v>8643</v>
      </c>
      <c r="BN97" s="11">
        <v>5764</v>
      </c>
      <c r="BO97" s="9">
        <v>72000</v>
      </c>
      <c r="BP97" s="9">
        <v>791</v>
      </c>
    </row>
    <row r="98" spans="1:68" x14ac:dyDescent="0.3">
      <c r="A98" s="7">
        <v>45388</v>
      </c>
      <c r="B98" s="7" t="str">
        <f t="shared" si="1"/>
        <v>APRIL</v>
      </c>
      <c r="C98" s="8">
        <f>MONTH(Data!$A98)</f>
        <v>4</v>
      </c>
      <c r="D98" s="9">
        <v>878</v>
      </c>
      <c r="E98" s="9">
        <v>609</v>
      </c>
      <c r="F98" s="9">
        <v>219</v>
      </c>
      <c r="G98" s="9">
        <v>501</v>
      </c>
      <c r="H98" s="9">
        <v>158</v>
      </c>
      <c r="I98" s="9">
        <v>213</v>
      </c>
      <c r="J98" s="9">
        <v>342</v>
      </c>
      <c r="K98" s="9">
        <v>54</v>
      </c>
      <c r="L98" s="9">
        <v>185</v>
      </c>
      <c r="M98" s="9">
        <v>136</v>
      </c>
      <c r="N98" s="9">
        <v>59</v>
      </c>
      <c r="O98" s="9">
        <v>27</v>
      </c>
      <c r="P98" s="9">
        <v>43</v>
      </c>
      <c r="Q98" s="9">
        <v>160</v>
      </c>
      <c r="R98" s="9">
        <v>96</v>
      </c>
      <c r="S98" s="9">
        <v>23</v>
      </c>
      <c r="T98" s="9">
        <v>36</v>
      </c>
      <c r="U98" s="9">
        <v>113</v>
      </c>
      <c r="V98" s="9">
        <v>42</v>
      </c>
      <c r="W98" s="9">
        <v>18</v>
      </c>
      <c r="X98" s="9">
        <v>42</v>
      </c>
      <c r="Y98" s="9">
        <v>12</v>
      </c>
      <c r="Z98" s="9">
        <v>3</v>
      </c>
      <c r="AA98" s="9">
        <v>42</v>
      </c>
      <c r="AB98" s="9">
        <v>18</v>
      </c>
      <c r="AC98" s="9">
        <v>6</v>
      </c>
      <c r="AD98" s="9">
        <v>18</v>
      </c>
      <c r="AE98" s="9">
        <v>18</v>
      </c>
      <c r="AF98" s="9">
        <v>6</v>
      </c>
      <c r="AG98" s="9">
        <v>30</v>
      </c>
      <c r="AH98" s="9">
        <v>6</v>
      </c>
      <c r="AI98" s="9">
        <v>6</v>
      </c>
      <c r="AJ98" s="9">
        <v>18</v>
      </c>
      <c r="AK98" s="9">
        <v>42</v>
      </c>
      <c r="AL98" s="9">
        <v>36</v>
      </c>
      <c r="AM98" s="9">
        <v>24</v>
      </c>
      <c r="AN98" s="9">
        <v>0</v>
      </c>
      <c r="AO98" s="9">
        <v>0</v>
      </c>
      <c r="AP98" s="9">
        <v>12</v>
      </c>
      <c r="AQ98" s="9">
        <v>24</v>
      </c>
      <c r="AR98" s="9">
        <v>60</v>
      </c>
      <c r="AS98" s="9">
        <v>18</v>
      </c>
      <c r="AT98" s="9">
        <v>54</v>
      </c>
      <c r="AU98" s="9">
        <v>12</v>
      </c>
      <c r="AV98" s="9">
        <v>0</v>
      </c>
      <c r="AW98" s="9">
        <v>12</v>
      </c>
      <c r="AX98" s="9">
        <v>12</v>
      </c>
      <c r="AY98" s="9">
        <v>18</v>
      </c>
      <c r="AZ98" s="9">
        <v>0</v>
      </c>
      <c r="BA98" s="10">
        <v>129.76</v>
      </c>
      <c r="BB98" s="11">
        <v>47551.3</v>
      </c>
      <c r="BC98" s="11">
        <v>17661.91</v>
      </c>
      <c r="BD98" s="11">
        <v>17661.91</v>
      </c>
      <c r="BE98" s="11">
        <v>14944.69</v>
      </c>
      <c r="BF98" s="11">
        <v>38041.040000000001</v>
      </c>
      <c r="BG98" s="11">
        <v>39500</v>
      </c>
      <c r="BH98" s="11">
        <v>16250</v>
      </c>
      <c r="BI98" s="11">
        <v>8716</v>
      </c>
      <c r="BJ98" s="11">
        <v>29175</v>
      </c>
      <c r="BK98" s="11">
        <v>35764</v>
      </c>
      <c r="BL98" s="11">
        <v>13723</v>
      </c>
      <c r="BM98" s="11">
        <v>8643</v>
      </c>
      <c r="BN98" s="11">
        <v>5764</v>
      </c>
      <c r="BO98" s="9">
        <v>72000</v>
      </c>
      <c r="BP98" s="9">
        <v>4181</v>
      </c>
    </row>
    <row r="99" spans="1:68" x14ac:dyDescent="0.3">
      <c r="A99" s="7">
        <v>45389</v>
      </c>
      <c r="B99" s="7" t="str">
        <f t="shared" si="1"/>
        <v>APRIL</v>
      </c>
      <c r="C99" s="8">
        <f>MONTH(Data!$A99)</f>
        <v>4</v>
      </c>
      <c r="D99" s="9">
        <v>886</v>
      </c>
      <c r="E99" s="9">
        <v>579</v>
      </c>
      <c r="F99" s="9">
        <v>336</v>
      </c>
      <c r="G99" s="9">
        <v>382</v>
      </c>
      <c r="H99" s="9">
        <v>168</v>
      </c>
      <c r="I99" s="9">
        <v>121</v>
      </c>
      <c r="J99" s="9">
        <v>412</v>
      </c>
      <c r="K99" s="9">
        <v>46</v>
      </c>
      <c r="L99" s="9">
        <v>241</v>
      </c>
      <c r="M99" s="9">
        <v>120</v>
      </c>
      <c r="N99" s="9">
        <v>54</v>
      </c>
      <c r="O99" s="9">
        <v>32</v>
      </c>
      <c r="P99" s="9">
        <v>16</v>
      </c>
      <c r="Q99" s="9">
        <v>138</v>
      </c>
      <c r="R99" s="9">
        <v>33</v>
      </c>
      <c r="S99" s="9">
        <v>43</v>
      </c>
      <c r="T99" s="9">
        <v>16</v>
      </c>
      <c r="U99" s="9">
        <v>193</v>
      </c>
      <c r="V99" s="9">
        <v>46</v>
      </c>
      <c r="W99" s="9">
        <v>5</v>
      </c>
      <c r="X99" s="9">
        <v>28</v>
      </c>
      <c r="Y99" s="9">
        <v>11</v>
      </c>
      <c r="Z99" s="9">
        <v>81</v>
      </c>
      <c r="AA99" s="9">
        <v>40</v>
      </c>
      <c r="AB99" s="9">
        <v>17</v>
      </c>
      <c r="AC99" s="9">
        <v>17</v>
      </c>
      <c r="AD99" s="9">
        <v>34</v>
      </c>
      <c r="AE99" s="9">
        <v>5</v>
      </c>
      <c r="AF99" s="9">
        <v>5</v>
      </c>
      <c r="AG99" s="9">
        <v>11</v>
      </c>
      <c r="AH99" s="9">
        <v>11</v>
      </c>
      <c r="AI99" s="9">
        <v>0</v>
      </c>
      <c r="AJ99" s="9">
        <v>17</v>
      </c>
      <c r="AK99" s="9">
        <v>23</v>
      </c>
      <c r="AL99" s="9">
        <v>5</v>
      </c>
      <c r="AM99" s="9">
        <v>23</v>
      </c>
      <c r="AN99" s="9">
        <v>0</v>
      </c>
      <c r="AO99" s="9">
        <v>5</v>
      </c>
      <c r="AP99" s="9">
        <v>5</v>
      </c>
      <c r="AQ99" s="9">
        <v>17</v>
      </c>
      <c r="AR99" s="9">
        <v>57</v>
      </c>
      <c r="AS99" s="9">
        <v>11</v>
      </c>
      <c r="AT99" s="9">
        <v>40</v>
      </c>
      <c r="AU99" s="9">
        <v>5</v>
      </c>
      <c r="AV99" s="9">
        <v>5</v>
      </c>
      <c r="AW99" s="9">
        <v>17</v>
      </c>
      <c r="AX99" s="9">
        <v>0</v>
      </c>
      <c r="AY99" s="9">
        <v>23</v>
      </c>
      <c r="AZ99" s="9">
        <v>15</v>
      </c>
      <c r="BA99" s="10">
        <v>122.49000000000001</v>
      </c>
      <c r="BB99" s="11">
        <v>32441.25</v>
      </c>
      <c r="BC99" s="11">
        <v>32441.25</v>
      </c>
      <c r="BD99" s="11">
        <v>18167.099999999999</v>
      </c>
      <c r="BE99" s="11">
        <v>19464.75</v>
      </c>
      <c r="BF99" s="11">
        <v>27250.65</v>
      </c>
      <c r="BG99" s="11">
        <v>39500</v>
      </c>
      <c r="BH99" s="11">
        <v>16250</v>
      </c>
      <c r="BI99" s="11">
        <v>8716</v>
      </c>
      <c r="BJ99" s="11">
        <v>21175</v>
      </c>
      <c r="BK99" s="11">
        <v>35764</v>
      </c>
      <c r="BL99" s="11">
        <v>13723</v>
      </c>
      <c r="BM99" s="11">
        <v>8643</v>
      </c>
      <c r="BN99" s="11">
        <v>5764</v>
      </c>
      <c r="BO99" s="9">
        <v>72000</v>
      </c>
      <c r="BP99" s="9">
        <v>8420</v>
      </c>
    </row>
    <row r="100" spans="1:68" x14ac:dyDescent="0.3">
      <c r="A100" s="7">
        <v>45390</v>
      </c>
      <c r="B100" s="7" t="str">
        <f t="shared" si="1"/>
        <v>APRIL</v>
      </c>
      <c r="C100" s="8">
        <f>MONTH(Data!$A100)</f>
        <v>4</v>
      </c>
      <c r="D100" s="9">
        <v>892</v>
      </c>
      <c r="E100" s="9">
        <v>547</v>
      </c>
      <c r="F100" s="9">
        <v>463</v>
      </c>
      <c r="G100" s="9">
        <v>260</v>
      </c>
      <c r="H100" s="9">
        <v>169</v>
      </c>
      <c r="I100" s="9">
        <v>125</v>
      </c>
      <c r="J100" s="9">
        <v>324</v>
      </c>
      <c r="K100" s="9">
        <v>98</v>
      </c>
      <c r="L100" s="9">
        <v>221</v>
      </c>
      <c r="M100" s="9">
        <v>176</v>
      </c>
      <c r="N100" s="9">
        <v>55</v>
      </c>
      <c r="O100" s="9">
        <v>55</v>
      </c>
      <c r="P100" s="9">
        <v>38</v>
      </c>
      <c r="Q100" s="9">
        <v>166</v>
      </c>
      <c r="R100" s="9">
        <v>111</v>
      </c>
      <c r="S100" s="9">
        <v>40</v>
      </c>
      <c r="T100" s="9">
        <v>30</v>
      </c>
      <c r="U100" s="9">
        <v>0</v>
      </c>
      <c r="V100" s="9">
        <v>38</v>
      </c>
      <c r="W100" s="9">
        <v>10</v>
      </c>
      <c r="X100" s="9">
        <v>38</v>
      </c>
      <c r="Y100" s="9">
        <v>16</v>
      </c>
      <c r="Z100" s="9">
        <v>37</v>
      </c>
      <c r="AA100" s="9">
        <v>38</v>
      </c>
      <c r="AB100" s="9">
        <v>16</v>
      </c>
      <c r="AC100" s="9">
        <v>5</v>
      </c>
      <c r="AD100" s="9">
        <v>32</v>
      </c>
      <c r="AE100" s="9">
        <v>16</v>
      </c>
      <c r="AF100" s="9">
        <v>0</v>
      </c>
      <c r="AG100" s="9">
        <v>16</v>
      </c>
      <c r="AH100" s="9">
        <v>16</v>
      </c>
      <c r="AI100" s="9">
        <v>16</v>
      </c>
      <c r="AJ100" s="9">
        <v>16</v>
      </c>
      <c r="AK100" s="9">
        <v>43</v>
      </c>
      <c r="AL100" s="9">
        <v>10</v>
      </c>
      <c r="AM100" s="9">
        <v>21</v>
      </c>
      <c r="AN100" s="9">
        <v>10</v>
      </c>
      <c r="AO100" s="9">
        <v>5</v>
      </c>
      <c r="AP100" s="9">
        <v>0</v>
      </c>
      <c r="AQ100" s="9">
        <v>16</v>
      </c>
      <c r="AR100" s="9">
        <v>54</v>
      </c>
      <c r="AS100" s="9">
        <v>10</v>
      </c>
      <c r="AT100" s="9">
        <v>21</v>
      </c>
      <c r="AU100" s="9">
        <v>16</v>
      </c>
      <c r="AV100" s="9">
        <v>0</v>
      </c>
      <c r="AW100" s="9">
        <v>21</v>
      </c>
      <c r="AX100" s="9">
        <v>10</v>
      </c>
      <c r="AY100" s="9">
        <v>0</v>
      </c>
      <c r="AZ100" s="9">
        <v>0</v>
      </c>
      <c r="BA100" s="10">
        <v>112.4</v>
      </c>
      <c r="BB100" s="11">
        <v>30621.599999999999</v>
      </c>
      <c r="BC100" s="11">
        <v>25722.15</v>
      </c>
      <c r="BD100" s="11">
        <v>29396.74</v>
      </c>
      <c r="BE100" s="11">
        <v>14698.37</v>
      </c>
      <c r="BF100" s="11">
        <v>22047.55</v>
      </c>
      <c r="BG100" s="11">
        <v>39500</v>
      </c>
      <c r="BH100" s="11">
        <v>16250</v>
      </c>
      <c r="BI100" s="11">
        <v>8716</v>
      </c>
      <c r="BJ100" s="11">
        <v>21175</v>
      </c>
      <c r="BK100" s="11">
        <v>35764</v>
      </c>
      <c r="BL100" s="11">
        <v>13723</v>
      </c>
      <c r="BM100" s="11">
        <v>8643</v>
      </c>
      <c r="BN100" s="11">
        <v>5764</v>
      </c>
      <c r="BO100" s="9">
        <v>72000</v>
      </c>
      <c r="BP100" s="9">
        <v>1153</v>
      </c>
    </row>
    <row r="101" spans="1:68" x14ac:dyDescent="0.3">
      <c r="A101" s="7">
        <v>45391</v>
      </c>
      <c r="B101" s="7" t="str">
        <f t="shared" si="1"/>
        <v>APRIL</v>
      </c>
      <c r="C101" s="8">
        <f>MONTH(Data!$A101)</f>
        <v>4</v>
      </c>
      <c r="D101" s="9">
        <v>893</v>
      </c>
      <c r="E101" s="9">
        <v>523</v>
      </c>
      <c r="F101" s="9">
        <v>178</v>
      </c>
      <c r="G101" s="9">
        <v>546</v>
      </c>
      <c r="H101" s="9">
        <v>169</v>
      </c>
      <c r="I101" s="9">
        <v>188</v>
      </c>
      <c r="J101" s="9">
        <v>268</v>
      </c>
      <c r="K101" s="9">
        <v>67</v>
      </c>
      <c r="L101" s="9">
        <v>188</v>
      </c>
      <c r="M101" s="9">
        <v>77</v>
      </c>
      <c r="N101" s="9">
        <v>71</v>
      </c>
      <c r="O101" s="9">
        <v>38</v>
      </c>
      <c r="P101" s="9">
        <v>27</v>
      </c>
      <c r="Q101" s="9">
        <v>135</v>
      </c>
      <c r="R101" s="9">
        <v>50</v>
      </c>
      <c r="S101" s="9">
        <v>33</v>
      </c>
      <c r="T101" s="9">
        <v>37</v>
      </c>
      <c r="U101" s="9">
        <v>237</v>
      </c>
      <c r="V101" s="9">
        <v>52</v>
      </c>
      <c r="W101" s="9">
        <v>10</v>
      </c>
      <c r="X101" s="9">
        <v>36</v>
      </c>
      <c r="Y101" s="9">
        <v>5</v>
      </c>
      <c r="Z101" s="9">
        <v>73</v>
      </c>
      <c r="AA101" s="9">
        <v>36</v>
      </c>
      <c r="AB101" s="9">
        <v>10</v>
      </c>
      <c r="AC101" s="9">
        <v>5</v>
      </c>
      <c r="AD101" s="9">
        <v>31</v>
      </c>
      <c r="AE101" s="9">
        <v>0</v>
      </c>
      <c r="AF101" s="9">
        <v>0</v>
      </c>
      <c r="AG101" s="9">
        <v>26</v>
      </c>
      <c r="AH101" s="9">
        <v>0</v>
      </c>
      <c r="AI101" s="9">
        <v>10</v>
      </c>
      <c r="AJ101" s="9">
        <v>5</v>
      </c>
      <c r="AK101" s="9">
        <v>36</v>
      </c>
      <c r="AL101" s="9">
        <v>10</v>
      </c>
      <c r="AM101" s="9">
        <v>10</v>
      </c>
      <c r="AN101" s="9">
        <v>0</v>
      </c>
      <c r="AO101" s="9">
        <v>0</v>
      </c>
      <c r="AP101" s="9">
        <v>5</v>
      </c>
      <c r="AQ101" s="9">
        <v>10</v>
      </c>
      <c r="AR101" s="9">
        <v>57</v>
      </c>
      <c r="AS101" s="9">
        <v>10</v>
      </c>
      <c r="AT101" s="9">
        <v>41</v>
      </c>
      <c r="AU101" s="9">
        <v>15</v>
      </c>
      <c r="AV101" s="9">
        <v>5</v>
      </c>
      <c r="AW101" s="9">
        <v>5</v>
      </c>
      <c r="AX101" s="9">
        <v>5</v>
      </c>
      <c r="AY101" s="9">
        <v>15</v>
      </c>
      <c r="AZ101" s="9">
        <v>0</v>
      </c>
      <c r="BA101" s="10">
        <v>103.03</v>
      </c>
      <c r="BB101" s="11">
        <v>33722.660000000003</v>
      </c>
      <c r="BC101" s="11">
        <v>26978.13</v>
      </c>
      <c r="BD101" s="11">
        <v>20233.59</v>
      </c>
      <c r="BE101" s="11">
        <v>22481.77</v>
      </c>
      <c r="BF101" s="11">
        <v>8992.7099999999991</v>
      </c>
      <c r="BG101" s="11">
        <v>39500</v>
      </c>
      <c r="BH101" s="11">
        <v>16250</v>
      </c>
      <c r="BI101" s="11">
        <v>8716</v>
      </c>
      <c r="BJ101" s="11">
        <v>21175</v>
      </c>
      <c r="BK101" s="11">
        <v>35764</v>
      </c>
      <c r="BL101" s="11">
        <v>13723</v>
      </c>
      <c r="BM101" s="11">
        <v>8643</v>
      </c>
      <c r="BN101" s="11">
        <v>5764</v>
      </c>
      <c r="BO101" s="9">
        <v>72000</v>
      </c>
      <c r="BP101" s="9">
        <v>4056</v>
      </c>
    </row>
    <row r="102" spans="1:68" x14ac:dyDescent="0.3">
      <c r="A102" s="7">
        <v>45392</v>
      </c>
      <c r="B102" s="7" t="str">
        <f t="shared" si="1"/>
        <v>APRIL</v>
      </c>
      <c r="C102" s="8">
        <f>MONTH(Data!$A102)</f>
        <v>4</v>
      </c>
      <c r="D102" s="9">
        <v>892</v>
      </c>
      <c r="E102" s="9">
        <v>506</v>
      </c>
      <c r="F102" s="9">
        <v>454</v>
      </c>
      <c r="G102" s="9">
        <v>233</v>
      </c>
      <c r="H102" s="9">
        <v>205</v>
      </c>
      <c r="I102" s="9">
        <v>111</v>
      </c>
      <c r="J102" s="9">
        <v>355</v>
      </c>
      <c r="K102" s="9">
        <v>40</v>
      </c>
      <c r="L102" s="9">
        <v>243</v>
      </c>
      <c r="M102" s="9">
        <v>176</v>
      </c>
      <c r="N102" s="9">
        <v>38</v>
      </c>
      <c r="O102" s="9">
        <v>82</v>
      </c>
      <c r="P102" s="9">
        <v>16</v>
      </c>
      <c r="Q102" s="9">
        <v>155</v>
      </c>
      <c r="R102" s="9">
        <v>88</v>
      </c>
      <c r="S102" s="9">
        <v>40</v>
      </c>
      <c r="T102" s="9">
        <v>50</v>
      </c>
      <c r="U102" s="9">
        <v>4</v>
      </c>
      <c r="V102" s="9">
        <v>50</v>
      </c>
      <c r="W102" s="9">
        <v>10</v>
      </c>
      <c r="X102" s="9">
        <v>15</v>
      </c>
      <c r="Y102" s="9">
        <v>5</v>
      </c>
      <c r="Z102" s="9">
        <v>55</v>
      </c>
      <c r="AA102" s="9">
        <v>30</v>
      </c>
      <c r="AB102" s="9">
        <v>5</v>
      </c>
      <c r="AC102" s="9">
        <v>15</v>
      </c>
      <c r="AD102" s="9">
        <v>25</v>
      </c>
      <c r="AE102" s="9">
        <v>15</v>
      </c>
      <c r="AF102" s="9">
        <v>0</v>
      </c>
      <c r="AG102" s="9">
        <v>20</v>
      </c>
      <c r="AH102" s="9">
        <v>5</v>
      </c>
      <c r="AI102" s="9">
        <v>0</v>
      </c>
      <c r="AJ102" s="9">
        <v>0</v>
      </c>
      <c r="AK102" s="9">
        <v>50</v>
      </c>
      <c r="AL102" s="9">
        <v>25</v>
      </c>
      <c r="AM102" s="9">
        <v>5</v>
      </c>
      <c r="AN102" s="9">
        <v>5</v>
      </c>
      <c r="AO102" s="9">
        <v>0</v>
      </c>
      <c r="AP102" s="9">
        <v>5</v>
      </c>
      <c r="AQ102" s="9">
        <v>10</v>
      </c>
      <c r="AR102" s="9">
        <v>45</v>
      </c>
      <c r="AS102" s="9">
        <v>15</v>
      </c>
      <c r="AT102" s="9">
        <v>20</v>
      </c>
      <c r="AU102" s="9">
        <v>20</v>
      </c>
      <c r="AV102" s="9">
        <v>0</v>
      </c>
      <c r="AW102" s="9">
        <v>20</v>
      </c>
      <c r="AX102" s="9">
        <v>0</v>
      </c>
      <c r="AY102" s="9">
        <v>20</v>
      </c>
      <c r="AZ102" s="9">
        <v>16</v>
      </c>
      <c r="BA102" s="10">
        <v>92.820000000000007</v>
      </c>
      <c r="BB102" s="11">
        <v>34000.28</v>
      </c>
      <c r="BC102" s="11">
        <v>17515.29</v>
      </c>
      <c r="BD102" s="11">
        <v>15454.67</v>
      </c>
      <c r="BE102" s="11">
        <v>15454.67</v>
      </c>
      <c r="BF102" s="11">
        <v>20606.23</v>
      </c>
      <c r="BG102" s="11">
        <v>39500</v>
      </c>
      <c r="BH102" s="11">
        <v>16250</v>
      </c>
      <c r="BI102" s="11">
        <v>8716</v>
      </c>
      <c r="BJ102" s="11">
        <v>21175</v>
      </c>
      <c r="BK102" s="11">
        <v>35764</v>
      </c>
      <c r="BL102" s="11">
        <v>13723</v>
      </c>
      <c r="BM102" s="11">
        <v>8643</v>
      </c>
      <c r="BN102" s="11">
        <v>5764</v>
      </c>
      <c r="BO102" s="9">
        <v>72000</v>
      </c>
      <c r="BP102" s="9">
        <v>2092</v>
      </c>
    </row>
    <row r="103" spans="1:68" x14ac:dyDescent="0.3">
      <c r="A103" s="7">
        <v>45393</v>
      </c>
      <c r="B103" s="7" t="str">
        <f t="shared" si="1"/>
        <v>APRIL</v>
      </c>
      <c r="C103" s="8">
        <f>MONTH(Data!$A103)</f>
        <v>4</v>
      </c>
      <c r="D103" s="9">
        <v>881</v>
      </c>
      <c r="E103" s="9">
        <v>499</v>
      </c>
      <c r="F103" s="9">
        <v>220</v>
      </c>
      <c r="G103" s="9">
        <v>503</v>
      </c>
      <c r="H103" s="9">
        <v>158</v>
      </c>
      <c r="I103" s="9">
        <v>159</v>
      </c>
      <c r="J103" s="9">
        <v>286</v>
      </c>
      <c r="K103" s="9">
        <v>54</v>
      </c>
      <c r="L103" s="9">
        <v>256</v>
      </c>
      <c r="M103" s="9">
        <v>131</v>
      </c>
      <c r="N103" s="9">
        <v>81</v>
      </c>
      <c r="O103" s="9">
        <v>32</v>
      </c>
      <c r="P103" s="9">
        <v>49</v>
      </c>
      <c r="Q103" s="9">
        <v>113</v>
      </c>
      <c r="R103" s="9">
        <v>63</v>
      </c>
      <c r="S103" s="9">
        <v>36</v>
      </c>
      <c r="T103" s="9">
        <v>36</v>
      </c>
      <c r="U103" s="9">
        <v>84</v>
      </c>
      <c r="V103" s="9">
        <v>44</v>
      </c>
      <c r="W103" s="9">
        <v>0</v>
      </c>
      <c r="X103" s="9">
        <v>19</v>
      </c>
      <c r="Y103" s="9">
        <v>4</v>
      </c>
      <c r="Z103" s="9">
        <v>44</v>
      </c>
      <c r="AA103" s="9">
        <v>44</v>
      </c>
      <c r="AB103" s="9">
        <v>4</v>
      </c>
      <c r="AC103" s="9">
        <v>0</v>
      </c>
      <c r="AD103" s="9">
        <v>29</v>
      </c>
      <c r="AE103" s="9">
        <v>0</v>
      </c>
      <c r="AF103" s="9">
        <v>0</v>
      </c>
      <c r="AG103" s="9">
        <v>24</v>
      </c>
      <c r="AH103" s="9">
        <v>4</v>
      </c>
      <c r="AI103" s="9">
        <v>0</v>
      </c>
      <c r="AJ103" s="9">
        <v>4</v>
      </c>
      <c r="AK103" s="9">
        <v>44</v>
      </c>
      <c r="AL103" s="9">
        <v>24</v>
      </c>
      <c r="AM103" s="9">
        <v>4</v>
      </c>
      <c r="AN103" s="9">
        <v>4</v>
      </c>
      <c r="AO103" s="9">
        <v>0</v>
      </c>
      <c r="AP103" s="9">
        <v>0</v>
      </c>
      <c r="AQ103" s="9">
        <v>19</v>
      </c>
      <c r="AR103" s="9">
        <v>54</v>
      </c>
      <c r="AS103" s="9">
        <v>9</v>
      </c>
      <c r="AT103" s="9">
        <v>19</v>
      </c>
      <c r="AU103" s="9">
        <v>24</v>
      </c>
      <c r="AV103" s="9">
        <v>4</v>
      </c>
      <c r="AW103" s="9">
        <v>24</v>
      </c>
      <c r="AX103" s="9">
        <v>4</v>
      </c>
      <c r="AY103" s="9">
        <v>19</v>
      </c>
      <c r="AZ103" s="9">
        <v>27</v>
      </c>
      <c r="BA103" s="10">
        <v>84</v>
      </c>
      <c r="BB103" s="11">
        <v>26919.41</v>
      </c>
      <c r="BC103" s="11">
        <v>19493.37</v>
      </c>
      <c r="BD103" s="11">
        <v>20421.63</v>
      </c>
      <c r="BE103" s="11">
        <v>23206.39</v>
      </c>
      <c r="BF103" s="11">
        <v>2784.77</v>
      </c>
      <c r="BG103" s="11">
        <v>39500</v>
      </c>
      <c r="BH103" s="11">
        <v>16250</v>
      </c>
      <c r="BI103" s="11">
        <v>8716</v>
      </c>
      <c r="BJ103" s="11">
        <v>21175</v>
      </c>
      <c r="BK103" s="11">
        <v>35764</v>
      </c>
      <c r="BL103" s="11">
        <v>13723</v>
      </c>
      <c r="BM103" s="11">
        <v>8643</v>
      </c>
      <c r="BN103" s="11">
        <v>5764</v>
      </c>
      <c r="BO103" s="9">
        <v>72000</v>
      </c>
      <c r="BP103" s="9">
        <v>120</v>
      </c>
    </row>
    <row r="104" spans="1:68" x14ac:dyDescent="0.3">
      <c r="A104" s="7">
        <v>45394</v>
      </c>
      <c r="B104" s="7" t="str">
        <f t="shared" si="1"/>
        <v>APRIL</v>
      </c>
      <c r="C104" s="8">
        <f>MONTH(Data!$A104)</f>
        <v>4</v>
      </c>
      <c r="D104" s="9">
        <v>863</v>
      </c>
      <c r="E104" s="9">
        <v>497</v>
      </c>
      <c r="F104" s="9">
        <v>431</v>
      </c>
      <c r="G104" s="9">
        <v>338</v>
      </c>
      <c r="H104" s="9">
        <v>94</v>
      </c>
      <c r="I104" s="9">
        <v>104</v>
      </c>
      <c r="J104" s="9">
        <v>299</v>
      </c>
      <c r="K104" s="9">
        <v>94</v>
      </c>
      <c r="L104" s="9">
        <v>219</v>
      </c>
      <c r="M104" s="9">
        <v>133</v>
      </c>
      <c r="N104" s="9">
        <v>69</v>
      </c>
      <c r="O104" s="9">
        <v>26</v>
      </c>
      <c r="P104" s="9">
        <v>32</v>
      </c>
      <c r="Q104" s="9">
        <v>121</v>
      </c>
      <c r="R104" s="9">
        <v>62</v>
      </c>
      <c r="S104" s="9">
        <v>29</v>
      </c>
      <c r="T104" s="9">
        <v>49</v>
      </c>
      <c r="U104" s="9">
        <v>123</v>
      </c>
      <c r="V104" s="9">
        <v>19</v>
      </c>
      <c r="W104" s="9">
        <v>14</v>
      </c>
      <c r="X104" s="9">
        <v>19</v>
      </c>
      <c r="Y104" s="9">
        <v>9</v>
      </c>
      <c r="Z104" s="9">
        <v>53</v>
      </c>
      <c r="AA104" s="9">
        <v>34</v>
      </c>
      <c r="AB104" s="9">
        <v>4</v>
      </c>
      <c r="AC104" s="9">
        <v>4</v>
      </c>
      <c r="AD104" s="9">
        <v>29</v>
      </c>
      <c r="AE104" s="9">
        <v>9</v>
      </c>
      <c r="AF104" s="9">
        <v>0</v>
      </c>
      <c r="AG104" s="9">
        <v>19</v>
      </c>
      <c r="AH104" s="9">
        <v>14</v>
      </c>
      <c r="AI104" s="9">
        <v>0</v>
      </c>
      <c r="AJ104" s="9">
        <v>0</v>
      </c>
      <c r="AK104" s="9">
        <v>49</v>
      </c>
      <c r="AL104" s="9">
        <v>24</v>
      </c>
      <c r="AM104" s="9">
        <v>14</v>
      </c>
      <c r="AN104" s="9">
        <v>4</v>
      </c>
      <c r="AO104" s="9">
        <v>4</v>
      </c>
      <c r="AP104" s="9">
        <v>14</v>
      </c>
      <c r="AQ104" s="9">
        <v>19</v>
      </c>
      <c r="AR104" s="9">
        <v>34</v>
      </c>
      <c r="AS104" s="9">
        <v>4</v>
      </c>
      <c r="AT104" s="9">
        <v>34</v>
      </c>
      <c r="AU104" s="9">
        <v>19</v>
      </c>
      <c r="AV104" s="9">
        <v>4</v>
      </c>
      <c r="AW104" s="9">
        <v>19</v>
      </c>
      <c r="AX104" s="9">
        <v>14</v>
      </c>
      <c r="AY104" s="9">
        <v>14</v>
      </c>
      <c r="AZ104" s="9">
        <v>0</v>
      </c>
      <c r="BA104" s="10">
        <v>77.14</v>
      </c>
      <c r="BB104" s="11">
        <v>23515.53</v>
      </c>
      <c r="BC104" s="11">
        <v>20996.01</v>
      </c>
      <c r="BD104" s="11">
        <v>10917.92</v>
      </c>
      <c r="BE104" s="11">
        <v>6718.72</v>
      </c>
      <c r="BF104" s="11">
        <v>21835.85</v>
      </c>
      <c r="BG104" s="11">
        <v>39500</v>
      </c>
      <c r="BH104" s="11">
        <v>16250</v>
      </c>
      <c r="BI104" s="11">
        <v>8716</v>
      </c>
      <c r="BJ104" s="11">
        <v>21175</v>
      </c>
      <c r="BK104" s="11">
        <v>35764</v>
      </c>
      <c r="BL104" s="11">
        <v>13723</v>
      </c>
      <c r="BM104" s="11">
        <v>8643</v>
      </c>
      <c r="BN104" s="11">
        <v>5764</v>
      </c>
      <c r="BO104" s="9">
        <v>72000</v>
      </c>
      <c r="BP104" s="9">
        <v>4056</v>
      </c>
    </row>
    <row r="105" spans="1:68" x14ac:dyDescent="0.3">
      <c r="A105" s="7">
        <v>45395</v>
      </c>
      <c r="B105" s="7" t="str">
        <f t="shared" si="1"/>
        <v>APRIL</v>
      </c>
      <c r="C105" s="8">
        <f>MONTH(Data!$A105)</f>
        <v>4</v>
      </c>
      <c r="D105" s="9">
        <v>837</v>
      </c>
      <c r="E105" s="9">
        <v>497</v>
      </c>
      <c r="F105" s="9">
        <v>343</v>
      </c>
      <c r="G105" s="9">
        <v>402</v>
      </c>
      <c r="H105" s="9">
        <v>92</v>
      </c>
      <c r="I105" s="9">
        <v>129</v>
      </c>
      <c r="J105" s="9">
        <v>289</v>
      </c>
      <c r="K105" s="9">
        <v>79</v>
      </c>
      <c r="L105" s="9">
        <v>269</v>
      </c>
      <c r="M105" s="9">
        <v>62</v>
      </c>
      <c r="N105" s="9">
        <v>62</v>
      </c>
      <c r="O105" s="9">
        <v>51</v>
      </c>
      <c r="P105" s="9">
        <v>51</v>
      </c>
      <c r="Q105" s="9">
        <v>146</v>
      </c>
      <c r="R105" s="9">
        <v>69</v>
      </c>
      <c r="S105" s="9">
        <v>28</v>
      </c>
      <c r="T105" s="9">
        <v>34</v>
      </c>
      <c r="U105" s="9">
        <v>65</v>
      </c>
      <c r="V105" s="9">
        <v>54</v>
      </c>
      <c r="W105" s="9">
        <v>4</v>
      </c>
      <c r="X105" s="9">
        <v>29</v>
      </c>
      <c r="Y105" s="9">
        <v>0</v>
      </c>
      <c r="Z105" s="9">
        <v>29</v>
      </c>
      <c r="AA105" s="9">
        <v>39</v>
      </c>
      <c r="AB105" s="9">
        <v>9</v>
      </c>
      <c r="AC105" s="9">
        <v>4</v>
      </c>
      <c r="AD105" s="9">
        <v>14</v>
      </c>
      <c r="AE105" s="9">
        <v>4</v>
      </c>
      <c r="AF105" s="9">
        <v>4</v>
      </c>
      <c r="AG105" s="9">
        <v>9</v>
      </c>
      <c r="AH105" s="9">
        <v>9</v>
      </c>
      <c r="AI105" s="9">
        <v>9</v>
      </c>
      <c r="AJ105" s="9">
        <v>0</v>
      </c>
      <c r="AK105" s="9">
        <v>49</v>
      </c>
      <c r="AL105" s="9">
        <v>9</v>
      </c>
      <c r="AM105" s="9">
        <v>24</v>
      </c>
      <c r="AN105" s="9">
        <v>0</v>
      </c>
      <c r="AO105" s="9">
        <v>4</v>
      </c>
      <c r="AP105" s="9">
        <v>14</v>
      </c>
      <c r="AQ105" s="9">
        <v>14</v>
      </c>
      <c r="AR105" s="9">
        <v>39</v>
      </c>
      <c r="AS105" s="9">
        <v>4</v>
      </c>
      <c r="AT105" s="9">
        <v>24</v>
      </c>
      <c r="AU105" s="9">
        <v>14</v>
      </c>
      <c r="AV105" s="9">
        <v>0</v>
      </c>
      <c r="AW105" s="9">
        <v>24</v>
      </c>
      <c r="AX105" s="9">
        <v>9</v>
      </c>
      <c r="AY105" s="9">
        <v>14</v>
      </c>
      <c r="AZ105" s="9">
        <v>38</v>
      </c>
      <c r="BA105" s="10">
        <v>71.81</v>
      </c>
      <c r="BB105" s="11">
        <v>26226.400000000001</v>
      </c>
      <c r="BC105" s="11">
        <v>10799.1</v>
      </c>
      <c r="BD105" s="11">
        <v>13884.56</v>
      </c>
      <c r="BE105" s="11">
        <v>14655.93</v>
      </c>
      <c r="BF105" s="11">
        <v>11570.47</v>
      </c>
      <c r="BG105" s="11">
        <v>39500</v>
      </c>
      <c r="BH105" s="11">
        <v>16250</v>
      </c>
      <c r="BI105" s="11">
        <v>8716</v>
      </c>
      <c r="BJ105" s="11">
        <v>21175</v>
      </c>
      <c r="BK105" s="11">
        <v>35764</v>
      </c>
      <c r="BL105" s="11">
        <v>13723</v>
      </c>
      <c r="BM105" s="11">
        <v>8643</v>
      </c>
      <c r="BN105" s="11">
        <v>5764</v>
      </c>
      <c r="BO105" s="9">
        <v>72000</v>
      </c>
      <c r="BP105" s="9">
        <v>4252</v>
      </c>
    </row>
    <row r="106" spans="1:68" x14ac:dyDescent="0.3">
      <c r="A106" s="7">
        <v>45396</v>
      </c>
      <c r="B106" s="7" t="str">
        <f t="shared" si="1"/>
        <v>APRIL</v>
      </c>
      <c r="C106" s="8">
        <f>MONTH(Data!$A106)</f>
        <v>4</v>
      </c>
      <c r="D106" s="9">
        <v>813</v>
      </c>
      <c r="E106" s="9">
        <v>503</v>
      </c>
      <c r="F106" s="9">
        <v>382</v>
      </c>
      <c r="G106" s="9">
        <v>318</v>
      </c>
      <c r="H106" s="9">
        <v>113</v>
      </c>
      <c r="I106" s="9">
        <v>165</v>
      </c>
      <c r="J106" s="9">
        <v>313</v>
      </c>
      <c r="K106" s="9">
        <v>25</v>
      </c>
      <c r="L106" s="9">
        <v>176</v>
      </c>
      <c r="M106" s="9">
        <v>40</v>
      </c>
      <c r="N106" s="9">
        <v>70</v>
      </c>
      <c r="O106" s="9">
        <v>55</v>
      </c>
      <c r="P106" s="9">
        <v>25</v>
      </c>
      <c r="Q106" s="9">
        <v>117</v>
      </c>
      <c r="R106" s="9">
        <v>74</v>
      </c>
      <c r="S106" s="9">
        <v>21</v>
      </c>
      <c r="T106" s="9">
        <v>30</v>
      </c>
      <c r="U106" s="9">
        <v>205</v>
      </c>
      <c r="V106" s="9">
        <v>45</v>
      </c>
      <c r="W106" s="9">
        <v>5</v>
      </c>
      <c r="X106" s="9">
        <v>30</v>
      </c>
      <c r="Y106" s="9">
        <v>5</v>
      </c>
      <c r="Z106" s="9">
        <v>28</v>
      </c>
      <c r="AA106" s="9">
        <v>25</v>
      </c>
      <c r="AB106" s="9">
        <v>10</v>
      </c>
      <c r="AC106" s="9">
        <v>10</v>
      </c>
      <c r="AD106" s="9">
        <v>20</v>
      </c>
      <c r="AE106" s="9">
        <v>15</v>
      </c>
      <c r="AF106" s="9">
        <v>0</v>
      </c>
      <c r="AG106" s="9">
        <v>25</v>
      </c>
      <c r="AH106" s="9">
        <v>15</v>
      </c>
      <c r="AI106" s="9">
        <v>5</v>
      </c>
      <c r="AJ106" s="9">
        <v>15</v>
      </c>
      <c r="AK106" s="9">
        <v>30</v>
      </c>
      <c r="AL106" s="9">
        <v>20</v>
      </c>
      <c r="AM106" s="9">
        <v>25</v>
      </c>
      <c r="AN106" s="9">
        <v>10</v>
      </c>
      <c r="AO106" s="9">
        <v>5</v>
      </c>
      <c r="AP106" s="9">
        <v>15</v>
      </c>
      <c r="AQ106" s="9">
        <v>10</v>
      </c>
      <c r="AR106" s="9">
        <v>35</v>
      </c>
      <c r="AS106" s="9">
        <v>5</v>
      </c>
      <c r="AT106" s="9">
        <v>20</v>
      </c>
      <c r="AU106" s="9">
        <v>25</v>
      </c>
      <c r="AV106" s="9">
        <v>5</v>
      </c>
      <c r="AW106" s="9">
        <v>15</v>
      </c>
      <c r="AX106" s="9">
        <v>20</v>
      </c>
      <c r="AY106" s="9">
        <v>10</v>
      </c>
      <c r="AZ106" s="9">
        <v>0</v>
      </c>
      <c r="BA106" s="10">
        <v>67.209999999999994</v>
      </c>
      <c r="BB106" s="11">
        <v>21542.560000000001</v>
      </c>
      <c r="BC106" s="11">
        <v>16515.96</v>
      </c>
      <c r="BD106" s="11">
        <v>17952.13</v>
      </c>
      <c r="BE106" s="11">
        <v>10797.87</v>
      </c>
      <c r="BF106" s="11">
        <v>5000</v>
      </c>
      <c r="BG106" s="11">
        <v>39500</v>
      </c>
      <c r="BH106" s="11">
        <v>16250</v>
      </c>
      <c r="BI106" s="11">
        <v>8716</v>
      </c>
      <c r="BJ106" s="11">
        <v>21175</v>
      </c>
      <c r="BK106" s="11">
        <v>35764</v>
      </c>
      <c r="BL106" s="11">
        <v>13723</v>
      </c>
      <c r="BM106" s="11">
        <v>8643</v>
      </c>
      <c r="BN106" s="11">
        <v>5764</v>
      </c>
      <c r="BO106" s="9">
        <v>72000</v>
      </c>
      <c r="BP106" s="9">
        <v>6855</v>
      </c>
    </row>
    <row r="107" spans="1:68" x14ac:dyDescent="0.3">
      <c r="A107" s="7">
        <v>45397</v>
      </c>
      <c r="B107" s="7" t="str">
        <f t="shared" si="1"/>
        <v>APRIL</v>
      </c>
      <c r="C107" s="8">
        <f>MONTH(Data!$A107)</f>
        <v>4</v>
      </c>
      <c r="D107" s="9">
        <v>790</v>
      </c>
      <c r="E107" s="9">
        <v>511</v>
      </c>
      <c r="F107" s="9">
        <v>339</v>
      </c>
      <c r="G107" s="9">
        <v>333</v>
      </c>
      <c r="H107" s="9">
        <v>118</v>
      </c>
      <c r="I107" s="9">
        <v>245</v>
      </c>
      <c r="J107" s="9">
        <v>215</v>
      </c>
      <c r="K107" s="9">
        <v>51</v>
      </c>
      <c r="L107" s="9">
        <v>264</v>
      </c>
      <c r="M107" s="9">
        <v>78</v>
      </c>
      <c r="N107" s="9">
        <v>68</v>
      </c>
      <c r="O107" s="9">
        <v>58</v>
      </c>
      <c r="P107" s="9">
        <v>19</v>
      </c>
      <c r="Q107" s="9">
        <v>120</v>
      </c>
      <c r="R107" s="9">
        <v>90</v>
      </c>
      <c r="S107" s="9">
        <v>30</v>
      </c>
      <c r="T107" s="9">
        <v>21</v>
      </c>
      <c r="U107" s="9">
        <v>42</v>
      </c>
      <c r="V107" s="9">
        <v>71</v>
      </c>
      <c r="W107" s="9">
        <v>10</v>
      </c>
      <c r="X107" s="9">
        <v>25</v>
      </c>
      <c r="Y107" s="9">
        <v>0</v>
      </c>
      <c r="Z107" s="9">
        <v>51</v>
      </c>
      <c r="AA107" s="9">
        <v>30</v>
      </c>
      <c r="AB107" s="9">
        <v>10</v>
      </c>
      <c r="AC107" s="9">
        <v>15</v>
      </c>
      <c r="AD107" s="9">
        <v>15</v>
      </c>
      <c r="AE107" s="9">
        <v>5</v>
      </c>
      <c r="AF107" s="9">
        <v>0</v>
      </c>
      <c r="AG107" s="9">
        <v>5</v>
      </c>
      <c r="AH107" s="9">
        <v>10</v>
      </c>
      <c r="AI107" s="9">
        <v>15</v>
      </c>
      <c r="AJ107" s="9">
        <v>5</v>
      </c>
      <c r="AK107" s="9">
        <v>40</v>
      </c>
      <c r="AL107" s="9">
        <v>15</v>
      </c>
      <c r="AM107" s="9">
        <v>10</v>
      </c>
      <c r="AN107" s="9">
        <v>0</v>
      </c>
      <c r="AO107" s="9">
        <v>0</v>
      </c>
      <c r="AP107" s="9">
        <v>15</v>
      </c>
      <c r="AQ107" s="9">
        <v>15</v>
      </c>
      <c r="AR107" s="9">
        <v>40</v>
      </c>
      <c r="AS107" s="9">
        <v>15</v>
      </c>
      <c r="AT107" s="9">
        <v>30</v>
      </c>
      <c r="AU107" s="9">
        <v>5</v>
      </c>
      <c r="AV107" s="9">
        <v>0</v>
      </c>
      <c r="AW107" s="9">
        <v>5</v>
      </c>
      <c r="AX107" s="9">
        <v>0</v>
      </c>
      <c r="AY107" s="9">
        <v>15</v>
      </c>
      <c r="AZ107" s="9">
        <v>39</v>
      </c>
      <c r="BA107" s="10">
        <v>65.11</v>
      </c>
      <c r="BB107" s="11">
        <v>22180.21</v>
      </c>
      <c r="BC107" s="11">
        <v>11426.17</v>
      </c>
      <c r="BD107" s="11">
        <v>16803.189999999999</v>
      </c>
      <c r="BE107" s="11">
        <v>6803.19</v>
      </c>
      <c r="BF107" s="11">
        <v>10000</v>
      </c>
      <c r="BG107" s="11">
        <v>36000</v>
      </c>
      <c r="BH107" s="11">
        <v>16250</v>
      </c>
      <c r="BI107" s="11">
        <v>8716</v>
      </c>
      <c r="BJ107" s="11">
        <v>21175</v>
      </c>
      <c r="BK107" s="11">
        <v>35764</v>
      </c>
      <c r="BL107" s="11">
        <v>13723</v>
      </c>
      <c r="BM107" s="11">
        <v>8643</v>
      </c>
      <c r="BN107" s="11">
        <v>5764</v>
      </c>
      <c r="BO107" s="9">
        <v>72000</v>
      </c>
      <c r="BP107" s="9">
        <v>5734</v>
      </c>
    </row>
    <row r="108" spans="1:68" x14ac:dyDescent="0.3">
      <c r="A108" s="7">
        <v>45398</v>
      </c>
      <c r="B108" s="7" t="str">
        <f t="shared" si="1"/>
        <v>APRIL</v>
      </c>
      <c r="C108" s="8">
        <f>MONTH(Data!$A108)</f>
        <v>4</v>
      </c>
      <c r="D108" s="9">
        <v>779</v>
      </c>
      <c r="E108" s="9">
        <v>525</v>
      </c>
      <c r="F108" s="9">
        <v>264</v>
      </c>
      <c r="G108" s="9">
        <v>422</v>
      </c>
      <c r="H108" s="9">
        <v>93</v>
      </c>
      <c r="I108" s="9">
        <v>131</v>
      </c>
      <c r="J108" s="9">
        <v>363</v>
      </c>
      <c r="K108" s="9">
        <v>31</v>
      </c>
      <c r="L108" s="9">
        <v>265</v>
      </c>
      <c r="M108" s="9">
        <v>106</v>
      </c>
      <c r="N108" s="9">
        <v>48</v>
      </c>
      <c r="O108" s="9">
        <v>33</v>
      </c>
      <c r="P108" s="9">
        <v>28</v>
      </c>
      <c r="Q108" s="9">
        <v>109</v>
      </c>
      <c r="R108" s="9">
        <v>38</v>
      </c>
      <c r="S108" s="9">
        <v>20</v>
      </c>
      <c r="T108" s="9">
        <v>20</v>
      </c>
      <c r="U108" s="9">
        <v>112</v>
      </c>
      <c r="V108" s="9">
        <v>68</v>
      </c>
      <c r="W108" s="9">
        <v>15</v>
      </c>
      <c r="X108" s="9">
        <v>21</v>
      </c>
      <c r="Y108" s="9">
        <v>5</v>
      </c>
      <c r="Z108" s="9">
        <v>47</v>
      </c>
      <c r="AA108" s="9">
        <v>47</v>
      </c>
      <c r="AB108" s="9">
        <v>5</v>
      </c>
      <c r="AC108" s="9">
        <v>5</v>
      </c>
      <c r="AD108" s="9">
        <v>10</v>
      </c>
      <c r="AE108" s="9">
        <v>10</v>
      </c>
      <c r="AF108" s="9">
        <v>0</v>
      </c>
      <c r="AG108" s="9">
        <v>15</v>
      </c>
      <c r="AH108" s="9">
        <v>15</v>
      </c>
      <c r="AI108" s="9">
        <v>10</v>
      </c>
      <c r="AJ108" s="9">
        <v>0</v>
      </c>
      <c r="AK108" s="9">
        <v>47</v>
      </c>
      <c r="AL108" s="9">
        <v>36</v>
      </c>
      <c r="AM108" s="9">
        <v>26</v>
      </c>
      <c r="AN108" s="9">
        <v>15</v>
      </c>
      <c r="AO108" s="9">
        <v>5</v>
      </c>
      <c r="AP108" s="9">
        <v>10</v>
      </c>
      <c r="AQ108" s="9">
        <v>5</v>
      </c>
      <c r="AR108" s="9">
        <v>0</v>
      </c>
      <c r="AS108" s="9">
        <v>10</v>
      </c>
      <c r="AT108" s="9">
        <v>20</v>
      </c>
      <c r="AU108" s="9">
        <v>21</v>
      </c>
      <c r="AV108" s="9">
        <v>5</v>
      </c>
      <c r="AW108" s="9">
        <v>21</v>
      </c>
      <c r="AX108" s="9">
        <v>21</v>
      </c>
      <c r="AY108" s="9">
        <v>10</v>
      </c>
      <c r="AZ108" s="9">
        <v>0</v>
      </c>
      <c r="BA108" s="10">
        <v>62.909999999999989</v>
      </c>
      <c r="BB108" s="11">
        <v>19534.82</v>
      </c>
      <c r="BC108" s="11">
        <v>14976.7</v>
      </c>
      <c r="BD108" s="11">
        <v>7813.93</v>
      </c>
      <c r="BE108" s="11">
        <v>5860.45</v>
      </c>
      <c r="BF108" s="11">
        <v>16930.18</v>
      </c>
      <c r="BG108" s="11">
        <v>36000</v>
      </c>
      <c r="BH108" s="11">
        <v>16250</v>
      </c>
      <c r="BI108" s="11">
        <v>8716</v>
      </c>
      <c r="BJ108" s="11">
        <v>21175</v>
      </c>
      <c r="BK108" s="11">
        <v>35764</v>
      </c>
      <c r="BL108" s="11">
        <v>13723</v>
      </c>
      <c r="BM108" s="11">
        <v>8643</v>
      </c>
      <c r="BN108" s="11">
        <v>5764</v>
      </c>
      <c r="BO108" s="9">
        <v>72000</v>
      </c>
      <c r="BP108" s="9">
        <v>3533</v>
      </c>
    </row>
    <row r="109" spans="1:68" x14ac:dyDescent="0.3">
      <c r="A109" s="7">
        <v>45399</v>
      </c>
      <c r="B109" s="7" t="str">
        <f t="shared" si="1"/>
        <v>APRIL</v>
      </c>
      <c r="C109" s="8">
        <f>MONTH(Data!$A109)</f>
        <v>4</v>
      </c>
      <c r="D109" s="9">
        <v>775</v>
      </c>
      <c r="E109" s="9">
        <v>544</v>
      </c>
      <c r="F109" s="9">
        <v>162</v>
      </c>
      <c r="G109" s="9">
        <v>420</v>
      </c>
      <c r="H109" s="9">
        <v>193</v>
      </c>
      <c r="I109" s="9">
        <v>136</v>
      </c>
      <c r="J109" s="9">
        <v>311</v>
      </c>
      <c r="K109" s="9">
        <v>97</v>
      </c>
      <c r="L109" s="9">
        <v>245</v>
      </c>
      <c r="M109" s="9">
        <v>52</v>
      </c>
      <c r="N109" s="9">
        <v>48</v>
      </c>
      <c r="O109" s="9">
        <v>24</v>
      </c>
      <c r="P109" s="9">
        <v>14</v>
      </c>
      <c r="Q109" s="9">
        <v>100</v>
      </c>
      <c r="R109" s="9">
        <v>79</v>
      </c>
      <c r="S109" s="9">
        <v>26</v>
      </c>
      <c r="T109" s="9">
        <v>26</v>
      </c>
      <c r="U109" s="9">
        <v>161</v>
      </c>
      <c r="V109" s="9">
        <v>65</v>
      </c>
      <c r="W109" s="9">
        <v>10</v>
      </c>
      <c r="X109" s="9">
        <v>16</v>
      </c>
      <c r="Y109" s="9">
        <v>16</v>
      </c>
      <c r="Z109" s="9">
        <v>43</v>
      </c>
      <c r="AA109" s="9">
        <v>27</v>
      </c>
      <c r="AB109" s="9">
        <v>0</v>
      </c>
      <c r="AC109" s="9">
        <v>0</v>
      </c>
      <c r="AD109" s="9">
        <v>10</v>
      </c>
      <c r="AE109" s="9">
        <v>16</v>
      </c>
      <c r="AF109" s="9">
        <v>0</v>
      </c>
      <c r="AG109" s="9">
        <v>16</v>
      </c>
      <c r="AH109" s="9">
        <v>0</v>
      </c>
      <c r="AI109" s="9">
        <v>10</v>
      </c>
      <c r="AJ109" s="9">
        <v>5</v>
      </c>
      <c r="AK109" s="9">
        <v>43</v>
      </c>
      <c r="AL109" s="9">
        <v>16</v>
      </c>
      <c r="AM109" s="9">
        <v>5</v>
      </c>
      <c r="AN109" s="9">
        <v>0</v>
      </c>
      <c r="AO109" s="9">
        <v>0</v>
      </c>
      <c r="AP109" s="9">
        <v>21</v>
      </c>
      <c r="AQ109" s="9">
        <v>10</v>
      </c>
      <c r="AR109" s="9">
        <v>43</v>
      </c>
      <c r="AS109" s="9">
        <v>10</v>
      </c>
      <c r="AT109" s="9">
        <v>16</v>
      </c>
      <c r="AU109" s="9">
        <v>10</v>
      </c>
      <c r="AV109" s="9">
        <v>5</v>
      </c>
      <c r="AW109" s="9">
        <v>38</v>
      </c>
      <c r="AX109" s="9">
        <v>0</v>
      </c>
      <c r="AY109" s="9">
        <v>0</v>
      </c>
      <c r="AZ109" s="9">
        <v>93</v>
      </c>
      <c r="BA109" s="10">
        <v>62.33</v>
      </c>
      <c r="BB109" s="11">
        <v>16985.54</v>
      </c>
      <c r="BC109" s="11">
        <v>15098.26</v>
      </c>
      <c r="BD109" s="11">
        <v>6290.94</v>
      </c>
      <c r="BE109" s="11">
        <v>11952.79</v>
      </c>
      <c r="BF109" s="11">
        <v>12581.88</v>
      </c>
      <c r="BG109" s="11">
        <v>36000</v>
      </c>
      <c r="BH109" s="11">
        <v>16250</v>
      </c>
      <c r="BI109" s="11">
        <v>8716</v>
      </c>
      <c r="BJ109" s="11">
        <v>21175</v>
      </c>
      <c r="BK109" s="11">
        <v>35764</v>
      </c>
      <c r="BL109" s="11">
        <v>13723</v>
      </c>
      <c r="BM109" s="11">
        <v>8643</v>
      </c>
      <c r="BN109" s="11">
        <v>5764</v>
      </c>
      <c r="BO109" s="9">
        <v>72000</v>
      </c>
      <c r="BP109" s="9">
        <v>8779</v>
      </c>
    </row>
    <row r="110" spans="1:68" x14ac:dyDescent="0.3">
      <c r="A110" s="7">
        <v>45400</v>
      </c>
      <c r="B110" s="7" t="str">
        <f t="shared" si="1"/>
        <v>APRIL</v>
      </c>
      <c r="C110" s="8">
        <f>MONTH(Data!$A110)</f>
        <v>4</v>
      </c>
      <c r="D110" s="9">
        <v>776</v>
      </c>
      <c r="E110" s="9">
        <v>572</v>
      </c>
      <c r="F110" s="9">
        <v>186</v>
      </c>
      <c r="G110" s="9">
        <v>490</v>
      </c>
      <c r="H110" s="9">
        <v>100</v>
      </c>
      <c r="I110" s="9">
        <v>291</v>
      </c>
      <c r="J110" s="9">
        <v>236</v>
      </c>
      <c r="K110" s="9">
        <v>45</v>
      </c>
      <c r="L110" s="9">
        <v>168</v>
      </c>
      <c r="M110" s="9">
        <v>62</v>
      </c>
      <c r="N110" s="9">
        <v>62</v>
      </c>
      <c r="O110" s="9">
        <v>62</v>
      </c>
      <c r="P110" s="9">
        <v>9</v>
      </c>
      <c r="Q110" s="9">
        <v>106</v>
      </c>
      <c r="R110" s="9">
        <v>82</v>
      </c>
      <c r="S110" s="9">
        <v>26</v>
      </c>
      <c r="T110" s="9">
        <v>32</v>
      </c>
      <c r="U110" s="9">
        <v>167</v>
      </c>
      <c r="V110" s="9">
        <v>45</v>
      </c>
      <c r="W110" s="9">
        <v>17</v>
      </c>
      <c r="X110" s="9">
        <v>40</v>
      </c>
      <c r="Y110" s="9">
        <v>17</v>
      </c>
      <c r="Z110" s="9">
        <v>25</v>
      </c>
      <c r="AA110" s="9">
        <v>45</v>
      </c>
      <c r="AB110" s="9">
        <v>0</v>
      </c>
      <c r="AC110" s="9">
        <v>5</v>
      </c>
      <c r="AD110" s="9">
        <v>28</v>
      </c>
      <c r="AE110" s="9">
        <v>0</v>
      </c>
      <c r="AF110" s="9">
        <v>5</v>
      </c>
      <c r="AG110" s="9">
        <v>5</v>
      </c>
      <c r="AH110" s="9">
        <v>11</v>
      </c>
      <c r="AI110" s="9">
        <v>5</v>
      </c>
      <c r="AJ110" s="9">
        <v>17</v>
      </c>
      <c r="AK110" s="9">
        <v>45</v>
      </c>
      <c r="AL110" s="9">
        <v>28</v>
      </c>
      <c r="AM110" s="9">
        <v>28</v>
      </c>
      <c r="AN110" s="9">
        <v>17</v>
      </c>
      <c r="AO110" s="9">
        <v>5</v>
      </c>
      <c r="AP110" s="9">
        <v>17</v>
      </c>
      <c r="AQ110" s="9">
        <v>17</v>
      </c>
      <c r="AR110" s="9">
        <v>45</v>
      </c>
      <c r="AS110" s="9">
        <v>5</v>
      </c>
      <c r="AT110" s="9">
        <v>22</v>
      </c>
      <c r="AU110" s="9">
        <v>22</v>
      </c>
      <c r="AV110" s="9">
        <v>5</v>
      </c>
      <c r="AW110" s="9">
        <v>17</v>
      </c>
      <c r="AX110" s="9">
        <v>17</v>
      </c>
      <c r="AY110" s="9">
        <v>17</v>
      </c>
      <c r="AZ110" s="9">
        <v>0</v>
      </c>
      <c r="BA110" s="10">
        <v>61.77</v>
      </c>
      <c r="BB110" s="11">
        <v>19324.099999999999</v>
      </c>
      <c r="BC110" s="11">
        <v>9350.3700000000008</v>
      </c>
      <c r="BD110" s="11">
        <v>7480.3</v>
      </c>
      <c r="BE110" s="11">
        <v>9350.3700000000008</v>
      </c>
      <c r="BF110" s="11">
        <v>16830.669999999998</v>
      </c>
      <c r="BG110" s="11">
        <v>36000</v>
      </c>
      <c r="BH110" s="11">
        <v>16250</v>
      </c>
      <c r="BI110" s="11">
        <v>8716</v>
      </c>
      <c r="BJ110" s="11">
        <v>21175</v>
      </c>
      <c r="BK110" s="11">
        <v>35764</v>
      </c>
      <c r="BL110" s="11">
        <v>13723</v>
      </c>
      <c r="BM110" s="11">
        <v>8643</v>
      </c>
      <c r="BN110" s="11">
        <v>5764</v>
      </c>
      <c r="BO110" s="9">
        <v>72000</v>
      </c>
      <c r="BP110" s="9">
        <v>1603</v>
      </c>
    </row>
    <row r="111" spans="1:68" x14ac:dyDescent="0.3">
      <c r="A111" s="7">
        <v>45401</v>
      </c>
      <c r="B111" s="7" t="str">
        <f t="shared" si="1"/>
        <v>APRIL</v>
      </c>
      <c r="C111" s="8">
        <f>MONTH(Data!$A111)</f>
        <v>4</v>
      </c>
      <c r="D111" s="9">
        <v>781</v>
      </c>
      <c r="E111" s="9">
        <v>603</v>
      </c>
      <c r="F111" s="9">
        <v>335</v>
      </c>
      <c r="G111" s="9">
        <v>392</v>
      </c>
      <c r="H111" s="9">
        <v>54</v>
      </c>
      <c r="I111" s="9">
        <v>192</v>
      </c>
      <c r="J111" s="9">
        <v>303</v>
      </c>
      <c r="K111" s="9">
        <v>108</v>
      </c>
      <c r="L111" s="9">
        <v>169</v>
      </c>
      <c r="M111" s="9">
        <v>116</v>
      </c>
      <c r="N111" s="9">
        <v>67</v>
      </c>
      <c r="O111" s="9">
        <v>33</v>
      </c>
      <c r="P111" s="9">
        <v>9</v>
      </c>
      <c r="Q111" s="9">
        <v>103</v>
      </c>
      <c r="R111" s="9">
        <v>32</v>
      </c>
      <c r="S111" s="9">
        <v>35</v>
      </c>
      <c r="T111" s="9">
        <v>44</v>
      </c>
      <c r="U111" s="9">
        <v>173</v>
      </c>
      <c r="V111" s="9">
        <v>84</v>
      </c>
      <c r="W111" s="9">
        <v>12</v>
      </c>
      <c r="X111" s="9">
        <v>24</v>
      </c>
      <c r="Y111" s="9">
        <v>12</v>
      </c>
      <c r="Z111" s="9">
        <v>48</v>
      </c>
      <c r="AA111" s="9">
        <v>30</v>
      </c>
      <c r="AB111" s="9">
        <v>0</v>
      </c>
      <c r="AC111" s="9">
        <v>12</v>
      </c>
      <c r="AD111" s="9">
        <v>12</v>
      </c>
      <c r="AE111" s="9">
        <v>12</v>
      </c>
      <c r="AF111" s="9">
        <v>0</v>
      </c>
      <c r="AG111" s="9">
        <v>12</v>
      </c>
      <c r="AH111" s="9">
        <v>0</v>
      </c>
      <c r="AI111" s="9">
        <v>12</v>
      </c>
      <c r="AJ111" s="9">
        <v>12</v>
      </c>
      <c r="AK111" s="9">
        <v>24</v>
      </c>
      <c r="AL111" s="9">
        <v>24</v>
      </c>
      <c r="AM111" s="9">
        <v>6</v>
      </c>
      <c r="AN111" s="9">
        <v>12</v>
      </c>
      <c r="AO111" s="9">
        <v>6</v>
      </c>
      <c r="AP111" s="9">
        <v>6</v>
      </c>
      <c r="AQ111" s="9">
        <v>18</v>
      </c>
      <c r="AR111" s="9">
        <v>60</v>
      </c>
      <c r="AS111" s="9">
        <v>18</v>
      </c>
      <c r="AT111" s="9">
        <v>36</v>
      </c>
      <c r="AU111" s="9">
        <v>12</v>
      </c>
      <c r="AV111" s="9">
        <v>6</v>
      </c>
      <c r="AW111" s="9">
        <v>30</v>
      </c>
      <c r="AX111" s="9">
        <v>18</v>
      </c>
      <c r="AY111" s="9">
        <v>18</v>
      </c>
      <c r="AZ111" s="9">
        <v>27</v>
      </c>
      <c r="BA111" s="10">
        <v>62.149999999999991</v>
      </c>
      <c r="BB111" s="11">
        <v>17913.169999999998</v>
      </c>
      <c r="BC111" s="11">
        <v>8030.04</v>
      </c>
      <c r="BD111" s="11">
        <v>11736.21</v>
      </c>
      <c r="BE111" s="11">
        <v>9883.1299999999992</v>
      </c>
      <c r="BF111" s="11">
        <v>14207</v>
      </c>
      <c r="BG111" s="11">
        <v>36000</v>
      </c>
      <c r="BH111" s="11">
        <v>10000</v>
      </c>
      <c r="BI111" s="11">
        <v>12578</v>
      </c>
      <c r="BJ111" s="11">
        <v>13522</v>
      </c>
      <c r="BK111" s="11">
        <v>35764</v>
      </c>
      <c r="BL111" s="11">
        <v>13723</v>
      </c>
      <c r="BM111" s="11">
        <v>8643</v>
      </c>
      <c r="BN111" s="11">
        <v>5764</v>
      </c>
      <c r="BO111" s="9">
        <v>72000</v>
      </c>
      <c r="BP111" s="9">
        <v>8224</v>
      </c>
    </row>
    <row r="112" spans="1:68" x14ac:dyDescent="0.3">
      <c r="A112" s="7">
        <v>45402</v>
      </c>
      <c r="B112" s="7" t="str">
        <f t="shared" si="1"/>
        <v>APRIL</v>
      </c>
      <c r="C112" s="8">
        <f>MONTH(Data!$A112)</f>
        <v>4</v>
      </c>
      <c r="D112" s="9">
        <v>788</v>
      </c>
      <c r="E112" s="9">
        <v>640</v>
      </c>
      <c r="F112" s="9">
        <v>299</v>
      </c>
      <c r="G112" s="9">
        <v>324</v>
      </c>
      <c r="H112" s="9">
        <v>165</v>
      </c>
      <c r="I112" s="9">
        <v>249</v>
      </c>
      <c r="J112" s="9">
        <v>251</v>
      </c>
      <c r="K112" s="9">
        <v>140</v>
      </c>
      <c r="L112" s="9">
        <v>166</v>
      </c>
      <c r="M112" s="9">
        <v>107</v>
      </c>
      <c r="N112" s="9">
        <v>48</v>
      </c>
      <c r="O112" s="9">
        <v>34</v>
      </c>
      <c r="P112" s="9">
        <v>48</v>
      </c>
      <c r="Q112" s="9">
        <v>122</v>
      </c>
      <c r="R112" s="9">
        <v>44</v>
      </c>
      <c r="S112" s="9">
        <v>32</v>
      </c>
      <c r="T112" s="9">
        <v>23</v>
      </c>
      <c r="U112" s="9">
        <v>164</v>
      </c>
      <c r="V112" s="9">
        <v>70</v>
      </c>
      <c r="W112" s="9">
        <v>0</v>
      </c>
      <c r="X112" s="9">
        <v>25</v>
      </c>
      <c r="Y112" s="9">
        <v>6</v>
      </c>
      <c r="Z112" s="9">
        <v>73</v>
      </c>
      <c r="AA112" s="9">
        <v>44</v>
      </c>
      <c r="AB112" s="9">
        <v>12</v>
      </c>
      <c r="AC112" s="9">
        <v>0</v>
      </c>
      <c r="AD112" s="9">
        <v>19</v>
      </c>
      <c r="AE112" s="9">
        <v>6</v>
      </c>
      <c r="AF112" s="9">
        <v>0</v>
      </c>
      <c r="AG112" s="9">
        <v>19</v>
      </c>
      <c r="AH112" s="9">
        <v>19</v>
      </c>
      <c r="AI112" s="9">
        <v>0</v>
      </c>
      <c r="AJ112" s="9">
        <v>0</v>
      </c>
      <c r="AK112" s="9">
        <v>32</v>
      </c>
      <c r="AL112" s="9">
        <v>25</v>
      </c>
      <c r="AM112" s="9">
        <v>32</v>
      </c>
      <c r="AN112" s="9">
        <v>12</v>
      </c>
      <c r="AO112" s="9">
        <v>6</v>
      </c>
      <c r="AP112" s="9">
        <v>19</v>
      </c>
      <c r="AQ112" s="9">
        <v>25</v>
      </c>
      <c r="AR112" s="9">
        <v>51</v>
      </c>
      <c r="AS112" s="9">
        <v>6</v>
      </c>
      <c r="AT112" s="9">
        <v>44</v>
      </c>
      <c r="AU112" s="9">
        <v>32</v>
      </c>
      <c r="AV112" s="9">
        <v>0</v>
      </c>
      <c r="AW112" s="9">
        <v>38</v>
      </c>
      <c r="AX112" s="9">
        <v>19</v>
      </c>
      <c r="AY112" s="9">
        <v>6</v>
      </c>
      <c r="AZ112" s="9">
        <v>0</v>
      </c>
      <c r="BA112" s="10">
        <v>63.65</v>
      </c>
      <c r="BB112" s="11">
        <v>20506.95</v>
      </c>
      <c r="BC112" s="11">
        <v>15535.57</v>
      </c>
      <c r="BD112" s="11">
        <v>11185.61</v>
      </c>
      <c r="BE112" s="11">
        <v>10014.14</v>
      </c>
      <c r="BF112" s="11">
        <v>4900</v>
      </c>
      <c r="BG112" s="11">
        <v>36000</v>
      </c>
      <c r="BH112" s="11">
        <v>10000</v>
      </c>
      <c r="BI112" s="11">
        <v>12578</v>
      </c>
      <c r="BJ112" s="11">
        <v>13522</v>
      </c>
      <c r="BK112" s="11">
        <v>35764</v>
      </c>
      <c r="BL112" s="11">
        <v>13723</v>
      </c>
      <c r="BM112" s="11">
        <v>8643</v>
      </c>
      <c r="BN112" s="11">
        <v>5764</v>
      </c>
      <c r="BO112" s="9">
        <v>72000</v>
      </c>
      <c r="BP112" s="9">
        <v>6619</v>
      </c>
    </row>
    <row r="113" spans="1:68" x14ac:dyDescent="0.3">
      <c r="A113" s="7">
        <v>45403</v>
      </c>
      <c r="B113" s="7" t="str">
        <f t="shared" si="1"/>
        <v>APRIL</v>
      </c>
      <c r="C113" s="8">
        <f>MONTH(Data!$A113)</f>
        <v>4</v>
      </c>
      <c r="D113" s="9">
        <v>800</v>
      </c>
      <c r="E113" s="9">
        <v>682</v>
      </c>
      <c r="F113" s="9">
        <v>408</v>
      </c>
      <c r="G113" s="9">
        <v>216</v>
      </c>
      <c r="H113" s="9">
        <v>176</v>
      </c>
      <c r="I113" s="9">
        <v>361</v>
      </c>
      <c r="J113" s="9">
        <v>274</v>
      </c>
      <c r="K113" s="9">
        <v>47</v>
      </c>
      <c r="L113" s="9">
        <v>262</v>
      </c>
      <c r="M113" s="9">
        <v>24</v>
      </c>
      <c r="N113" s="9">
        <v>54</v>
      </c>
      <c r="O113" s="9">
        <v>64</v>
      </c>
      <c r="P113" s="9">
        <v>29</v>
      </c>
      <c r="Q113" s="9">
        <v>106</v>
      </c>
      <c r="R113" s="9">
        <v>24</v>
      </c>
      <c r="S113" s="9">
        <v>21</v>
      </c>
      <c r="T113" s="9">
        <v>30</v>
      </c>
      <c r="U113" s="9">
        <v>186</v>
      </c>
      <c r="V113" s="9">
        <v>27</v>
      </c>
      <c r="W113" s="9">
        <v>20</v>
      </c>
      <c r="X113" s="9">
        <v>47</v>
      </c>
      <c r="Y113" s="9">
        <v>6</v>
      </c>
      <c r="Z113" s="9">
        <v>30</v>
      </c>
      <c r="AA113" s="9">
        <v>61</v>
      </c>
      <c r="AB113" s="9">
        <v>20</v>
      </c>
      <c r="AC113" s="9">
        <v>6</v>
      </c>
      <c r="AD113" s="9">
        <v>34</v>
      </c>
      <c r="AE113" s="9">
        <v>20</v>
      </c>
      <c r="AF113" s="9">
        <v>6</v>
      </c>
      <c r="AG113" s="9">
        <v>6</v>
      </c>
      <c r="AH113" s="9">
        <v>0</v>
      </c>
      <c r="AI113" s="9">
        <v>6</v>
      </c>
      <c r="AJ113" s="9">
        <v>6</v>
      </c>
      <c r="AK113" s="9">
        <v>54</v>
      </c>
      <c r="AL113" s="9">
        <v>47</v>
      </c>
      <c r="AM113" s="9">
        <v>34</v>
      </c>
      <c r="AN113" s="9">
        <v>6</v>
      </c>
      <c r="AO113" s="9">
        <v>6</v>
      </c>
      <c r="AP113" s="9">
        <v>20</v>
      </c>
      <c r="AQ113" s="9">
        <v>20</v>
      </c>
      <c r="AR113" s="9">
        <v>54</v>
      </c>
      <c r="AS113" s="9">
        <v>20</v>
      </c>
      <c r="AT113" s="9">
        <v>40</v>
      </c>
      <c r="AU113" s="9">
        <v>34</v>
      </c>
      <c r="AV113" s="9">
        <v>6</v>
      </c>
      <c r="AW113" s="9">
        <v>6</v>
      </c>
      <c r="AX113" s="9">
        <v>13</v>
      </c>
      <c r="AY113" s="9">
        <v>27</v>
      </c>
      <c r="AZ113" s="9">
        <v>0</v>
      </c>
      <c r="BA113" s="10">
        <v>67.14</v>
      </c>
      <c r="BB113" s="11">
        <v>20366.66</v>
      </c>
      <c r="BC113" s="11">
        <v>12729.16</v>
      </c>
      <c r="BD113" s="11">
        <v>11456.25</v>
      </c>
      <c r="BE113" s="11">
        <v>6364.58</v>
      </c>
      <c r="BF113" s="11">
        <v>12729.16</v>
      </c>
      <c r="BG113" s="11">
        <v>36000</v>
      </c>
      <c r="BH113" s="11">
        <v>10000</v>
      </c>
      <c r="BI113" s="11">
        <v>12578</v>
      </c>
      <c r="BJ113" s="11">
        <v>13522</v>
      </c>
      <c r="BK113" s="11">
        <v>35764</v>
      </c>
      <c r="BL113" s="11">
        <v>13723</v>
      </c>
      <c r="BM113" s="11">
        <v>8643</v>
      </c>
      <c r="BN113" s="11">
        <v>5764</v>
      </c>
      <c r="BO113" s="9">
        <v>72000</v>
      </c>
      <c r="BP113" s="9">
        <v>4161</v>
      </c>
    </row>
    <row r="114" spans="1:68" x14ac:dyDescent="0.3">
      <c r="A114" s="7">
        <v>45404</v>
      </c>
      <c r="B114" s="7" t="str">
        <f t="shared" si="1"/>
        <v>APRIL</v>
      </c>
      <c r="C114" s="8">
        <f>MONTH(Data!$A114)</f>
        <v>4</v>
      </c>
      <c r="D114" s="9">
        <v>815</v>
      </c>
      <c r="E114" s="9">
        <v>727</v>
      </c>
      <c r="F114" s="9">
        <v>366</v>
      </c>
      <c r="G114" s="9">
        <v>286</v>
      </c>
      <c r="H114" s="9">
        <v>163</v>
      </c>
      <c r="I114" s="9">
        <v>232</v>
      </c>
      <c r="J114" s="9">
        <v>314</v>
      </c>
      <c r="K114" s="9">
        <v>181</v>
      </c>
      <c r="L114" s="9">
        <v>217</v>
      </c>
      <c r="M114" s="9">
        <v>116</v>
      </c>
      <c r="N114" s="9">
        <v>50</v>
      </c>
      <c r="O114" s="9">
        <v>50</v>
      </c>
      <c r="P114" s="9">
        <v>25</v>
      </c>
      <c r="Q114" s="9">
        <v>108</v>
      </c>
      <c r="R114" s="9">
        <v>68</v>
      </c>
      <c r="S114" s="9">
        <v>24</v>
      </c>
      <c r="T114" s="9">
        <v>34</v>
      </c>
      <c r="U114" s="9">
        <v>123</v>
      </c>
      <c r="V114" s="9">
        <v>72</v>
      </c>
      <c r="W114" s="9">
        <v>0</v>
      </c>
      <c r="X114" s="9">
        <v>50</v>
      </c>
      <c r="Y114" s="9">
        <v>21</v>
      </c>
      <c r="Z114" s="9">
        <v>12</v>
      </c>
      <c r="AA114" s="9">
        <v>43</v>
      </c>
      <c r="AB114" s="9">
        <v>7</v>
      </c>
      <c r="AC114" s="9">
        <v>0</v>
      </c>
      <c r="AD114" s="9">
        <v>36</v>
      </c>
      <c r="AE114" s="9">
        <v>14</v>
      </c>
      <c r="AF114" s="9">
        <v>7</v>
      </c>
      <c r="AG114" s="9">
        <v>7</v>
      </c>
      <c r="AH114" s="9">
        <v>14</v>
      </c>
      <c r="AI114" s="9">
        <v>21</v>
      </c>
      <c r="AJ114" s="9">
        <v>0</v>
      </c>
      <c r="AK114" s="9">
        <v>72</v>
      </c>
      <c r="AL114" s="9">
        <v>50</v>
      </c>
      <c r="AM114" s="9">
        <v>29</v>
      </c>
      <c r="AN114" s="9">
        <v>0</v>
      </c>
      <c r="AO114" s="9">
        <v>0</v>
      </c>
      <c r="AP114" s="9">
        <v>7</v>
      </c>
      <c r="AQ114" s="9">
        <v>14</v>
      </c>
      <c r="AR114" s="9">
        <v>72</v>
      </c>
      <c r="AS114" s="9">
        <v>21</v>
      </c>
      <c r="AT114" s="9">
        <v>58</v>
      </c>
      <c r="AU114" s="9">
        <v>29</v>
      </c>
      <c r="AV114" s="9">
        <v>7</v>
      </c>
      <c r="AW114" s="9">
        <v>50</v>
      </c>
      <c r="AX114" s="9">
        <v>0</v>
      </c>
      <c r="AY114" s="9">
        <v>14</v>
      </c>
      <c r="AZ114" s="9">
        <v>0</v>
      </c>
      <c r="BA114" s="10">
        <v>72.600000000000009</v>
      </c>
      <c r="BB114" s="11">
        <v>22157.77</v>
      </c>
      <c r="BC114" s="11">
        <v>8728.82</v>
      </c>
      <c r="BD114" s="11">
        <v>15443.29</v>
      </c>
      <c r="BE114" s="11">
        <v>9400.27</v>
      </c>
      <c r="BF114" s="11">
        <v>11414.61</v>
      </c>
      <c r="BG114" s="11">
        <v>36000</v>
      </c>
      <c r="BH114" s="11">
        <v>10000</v>
      </c>
      <c r="BI114" s="11">
        <v>12578</v>
      </c>
      <c r="BJ114" s="11">
        <v>13522</v>
      </c>
      <c r="BK114" s="11">
        <v>35764</v>
      </c>
      <c r="BL114" s="11">
        <v>13723</v>
      </c>
      <c r="BM114" s="11">
        <v>8643</v>
      </c>
      <c r="BN114" s="11">
        <v>5764</v>
      </c>
      <c r="BO114" s="9">
        <v>72000</v>
      </c>
      <c r="BP114" s="9">
        <v>8064</v>
      </c>
    </row>
    <row r="115" spans="1:68" x14ac:dyDescent="0.3">
      <c r="A115" s="7">
        <v>45405</v>
      </c>
      <c r="B115" s="7" t="str">
        <f t="shared" si="1"/>
        <v>APRIL</v>
      </c>
      <c r="C115" s="8">
        <f>MONTH(Data!$A115)</f>
        <v>4</v>
      </c>
      <c r="D115" s="9">
        <v>833</v>
      </c>
      <c r="E115" s="9">
        <v>763</v>
      </c>
      <c r="F115" s="9">
        <v>249</v>
      </c>
      <c r="G115" s="9">
        <v>401</v>
      </c>
      <c r="H115" s="9">
        <v>183</v>
      </c>
      <c r="I115" s="9">
        <v>358</v>
      </c>
      <c r="J115" s="9">
        <v>329</v>
      </c>
      <c r="K115" s="9">
        <v>76</v>
      </c>
      <c r="L115" s="9">
        <v>263</v>
      </c>
      <c r="M115" s="9">
        <v>165</v>
      </c>
      <c r="N115" s="9">
        <v>67</v>
      </c>
      <c r="O115" s="9">
        <v>30</v>
      </c>
      <c r="P115" s="9">
        <v>10</v>
      </c>
      <c r="Q115" s="9">
        <v>126</v>
      </c>
      <c r="R115" s="9">
        <v>34</v>
      </c>
      <c r="S115" s="9">
        <v>25</v>
      </c>
      <c r="T115" s="9">
        <v>47</v>
      </c>
      <c r="U115" s="9">
        <v>66</v>
      </c>
      <c r="V115" s="9">
        <v>99</v>
      </c>
      <c r="W115" s="9">
        <v>22</v>
      </c>
      <c r="X115" s="9">
        <v>45</v>
      </c>
      <c r="Y115" s="9">
        <v>0</v>
      </c>
      <c r="Z115" s="9">
        <v>52</v>
      </c>
      <c r="AA115" s="9">
        <v>38</v>
      </c>
      <c r="AB115" s="9">
        <v>15</v>
      </c>
      <c r="AC115" s="9">
        <v>22</v>
      </c>
      <c r="AD115" s="9">
        <v>15</v>
      </c>
      <c r="AE115" s="9">
        <v>15</v>
      </c>
      <c r="AF115" s="9">
        <v>7</v>
      </c>
      <c r="AG115" s="9">
        <v>22</v>
      </c>
      <c r="AH115" s="9">
        <v>0</v>
      </c>
      <c r="AI115" s="9">
        <v>15</v>
      </c>
      <c r="AJ115" s="9">
        <v>0</v>
      </c>
      <c r="AK115" s="9">
        <v>76</v>
      </c>
      <c r="AL115" s="9">
        <v>7</v>
      </c>
      <c r="AM115" s="9">
        <v>38</v>
      </c>
      <c r="AN115" s="9">
        <v>0</v>
      </c>
      <c r="AO115" s="9">
        <v>7</v>
      </c>
      <c r="AP115" s="9">
        <v>22</v>
      </c>
      <c r="AQ115" s="9">
        <v>15</v>
      </c>
      <c r="AR115" s="9">
        <v>53</v>
      </c>
      <c r="AS115" s="9">
        <v>7</v>
      </c>
      <c r="AT115" s="9">
        <v>45</v>
      </c>
      <c r="AU115" s="9">
        <v>22</v>
      </c>
      <c r="AV115" s="9">
        <v>7</v>
      </c>
      <c r="AW115" s="9">
        <v>45</v>
      </c>
      <c r="AX115" s="9">
        <v>22</v>
      </c>
      <c r="AY115" s="9">
        <v>30</v>
      </c>
      <c r="AZ115" s="9">
        <v>0</v>
      </c>
      <c r="BA115" s="10">
        <v>77.510000000000005</v>
      </c>
      <c r="BB115" s="11">
        <v>22505.23</v>
      </c>
      <c r="BC115" s="11">
        <v>15971.45</v>
      </c>
      <c r="BD115" s="11">
        <v>12341.58</v>
      </c>
      <c r="BE115" s="11">
        <v>12341.58</v>
      </c>
      <c r="BF115" s="11">
        <v>9437.68</v>
      </c>
      <c r="BG115" s="11">
        <v>36000</v>
      </c>
      <c r="BH115" s="11">
        <v>10000</v>
      </c>
      <c r="BI115" s="11">
        <v>12578</v>
      </c>
      <c r="BJ115" s="11">
        <v>13522</v>
      </c>
      <c r="BK115" s="11">
        <v>35764</v>
      </c>
      <c r="BL115" s="11">
        <v>13723</v>
      </c>
      <c r="BM115" s="11">
        <v>8643</v>
      </c>
      <c r="BN115" s="11">
        <v>5764</v>
      </c>
      <c r="BO115" s="9">
        <v>72000</v>
      </c>
      <c r="BP115" s="9">
        <v>4265</v>
      </c>
    </row>
    <row r="116" spans="1:68" x14ac:dyDescent="0.3">
      <c r="A116" s="7">
        <v>45406</v>
      </c>
      <c r="B116" s="7" t="str">
        <f t="shared" si="1"/>
        <v>APRIL</v>
      </c>
      <c r="C116" s="8">
        <f>MONTH(Data!$A116)</f>
        <v>4</v>
      </c>
      <c r="D116" s="9">
        <v>860</v>
      </c>
      <c r="E116" s="9">
        <v>796</v>
      </c>
      <c r="F116" s="9">
        <v>421</v>
      </c>
      <c r="G116" s="9">
        <v>259</v>
      </c>
      <c r="H116" s="9">
        <v>180</v>
      </c>
      <c r="I116" s="9">
        <v>214</v>
      </c>
      <c r="J116" s="9">
        <v>503</v>
      </c>
      <c r="K116" s="9">
        <v>79</v>
      </c>
      <c r="L116" s="9">
        <v>202</v>
      </c>
      <c r="M116" s="9">
        <v>154</v>
      </c>
      <c r="N116" s="9">
        <v>69</v>
      </c>
      <c r="O116" s="9">
        <v>63</v>
      </c>
      <c r="P116" s="9">
        <v>10</v>
      </c>
      <c r="Q116" s="9">
        <v>111</v>
      </c>
      <c r="R116" s="9">
        <v>16</v>
      </c>
      <c r="S116" s="9">
        <v>22</v>
      </c>
      <c r="T116" s="9">
        <v>29</v>
      </c>
      <c r="U116" s="9">
        <v>184</v>
      </c>
      <c r="V116" s="9">
        <v>87</v>
      </c>
      <c r="W116" s="9">
        <v>0</v>
      </c>
      <c r="X116" s="9">
        <v>47</v>
      </c>
      <c r="Y116" s="9">
        <v>15</v>
      </c>
      <c r="Z116" s="9">
        <v>63</v>
      </c>
      <c r="AA116" s="9">
        <v>71</v>
      </c>
      <c r="AB116" s="9">
        <v>7</v>
      </c>
      <c r="AC116" s="9">
        <v>0</v>
      </c>
      <c r="AD116" s="9">
        <v>47</v>
      </c>
      <c r="AE116" s="9">
        <v>0</v>
      </c>
      <c r="AF116" s="9">
        <v>0</v>
      </c>
      <c r="AG116" s="9">
        <v>15</v>
      </c>
      <c r="AH116" s="9">
        <v>0</v>
      </c>
      <c r="AI116" s="9">
        <v>23</v>
      </c>
      <c r="AJ116" s="9">
        <v>15</v>
      </c>
      <c r="AK116" s="9">
        <v>55</v>
      </c>
      <c r="AL116" s="9">
        <v>31</v>
      </c>
      <c r="AM116" s="9">
        <v>39</v>
      </c>
      <c r="AN116" s="9">
        <v>0</v>
      </c>
      <c r="AO116" s="9">
        <v>0</v>
      </c>
      <c r="AP116" s="9">
        <v>0</v>
      </c>
      <c r="AQ116" s="9">
        <v>15</v>
      </c>
      <c r="AR116" s="9">
        <v>71</v>
      </c>
      <c r="AS116" s="9">
        <v>15</v>
      </c>
      <c r="AT116" s="9">
        <v>55</v>
      </c>
      <c r="AU116" s="9">
        <v>23</v>
      </c>
      <c r="AV116" s="9">
        <v>0</v>
      </c>
      <c r="AW116" s="9">
        <v>7</v>
      </c>
      <c r="AX116" s="9">
        <v>7</v>
      </c>
      <c r="AY116" s="9">
        <v>31</v>
      </c>
      <c r="AZ116" s="9">
        <v>57</v>
      </c>
      <c r="BA116" s="10">
        <v>83.19</v>
      </c>
      <c r="BB116" s="11">
        <v>24031.37</v>
      </c>
      <c r="BC116" s="11">
        <v>18604.93</v>
      </c>
      <c r="BD116" s="11">
        <v>10077.67</v>
      </c>
      <c r="BE116" s="11">
        <v>9302.4599999999991</v>
      </c>
      <c r="BF116" s="11">
        <v>15504.11</v>
      </c>
      <c r="BG116" s="11">
        <v>36000</v>
      </c>
      <c r="BH116" s="11">
        <v>10000</v>
      </c>
      <c r="BI116" s="11">
        <v>12578</v>
      </c>
      <c r="BJ116" s="11">
        <v>13522</v>
      </c>
      <c r="BK116" s="11">
        <v>35764</v>
      </c>
      <c r="BL116" s="11">
        <v>13723</v>
      </c>
      <c r="BM116" s="11">
        <v>8643</v>
      </c>
      <c r="BN116" s="11">
        <v>5764</v>
      </c>
      <c r="BO116" s="9">
        <v>72000</v>
      </c>
      <c r="BP116" s="9">
        <v>8610</v>
      </c>
    </row>
    <row r="117" spans="1:68" x14ac:dyDescent="0.3">
      <c r="A117" s="7">
        <v>45407</v>
      </c>
      <c r="B117" s="7" t="str">
        <f t="shared" si="1"/>
        <v>APRIL</v>
      </c>
      <c r="C117" s="8">
        <f>MONTH(Data!$A117)</f>
        <v>4</v>
      </c>
      <c r="D117" s="9">
        <v>886</v>
      </c>
      <c r="E117" s="9">
        <v>819</v>
      </c>
      <c r="F117" s="9">
        <v>256</v>
      </c>
      <c r="G117" s="9">
        <v>542</v>
      </c>
      <c r="H117" s="9">
        <v>88</v>
      </c>
      <c r="I117" s="9">
        <v>393</v>
      </c>
      <c r="J117" s="9">
        <v>345</v>
      </c>
      <c r="K117" s="9">
        <v>81</v>
      </c>
      <c r="L117" s="9">
        <v>285</v>
      </c>
      <c r="M117" s="9">
        <v>38</v>
      </c>
      <c r="N117" s="9">
        <v>65</v>
      </c>
      <c r="O117" s="9">
        <v>43</v>
      </c>
      <c r="P117" s="9">
        <v>27</v>
      </c>
      <c r="Q117" s="9">
        <v>117</v>
      </c>
      <c r="R117" s="9">
        <v>40</v>
      </c>
      <c r="S117" s="9">
        <v>30</v>
      </c>
      <c r="T117" s="9">
        <v>16</v>
      </c>
      <c r="U117" s="9">
        <v>225</v>
      </c>
      <c r="V117" s="9">
        <v>98</v>
      </c>
      <c r="W117" s="9">
        <v>16</v>
      </c>
      <c r="X117" s="9">
        <v>32</v>
      </c>
      <c r="Y117" s="9">
        <v>24</v>
      </c>
      <c r="Z117" s="9">
        <v>49</v>
      </c>
      <c r="AA117" s="9">
        <v>57</v>
      </c>
      <c r="AB117" s="9">
        <v>16</v>
      </c>
      <c r="AC117" s="9">
        <v>0</v>
      </c>
      <c r="AD117" s="9">
        <v>32</v>
      </c>
      <c r="AE117" s="9">
        <v>0</v>
      </c>
      <c r="AF117" s="9">
        <v>0</v>
      </c>
      <c r="AG117" s="9">
        <v>32</v>
      </c>
      <c r="AH117" s="9">
        <v>16</v>
      </c>
      <c r="AI117" s="9">
        <v>16</v>
      </c>
      <c r="AJ117" s="9">
        <v>8</v>
      </c>
      <c r="AK117" s="9">
        <v>40</v>
      </c>
      <c r="AL117" s="9">
        <v>24</v>
      </c>
      <c r="AM117" s="9">
        <v>16</v>
      </c>
      <c r="AN117" s="9">
        <v>8</v>
      </c>
      <c r="AO117" s="9">
        <v>8</v>
      </c>
      <c r="AP117" s="9">
        <v>24</v>
      </c>
      <c r="AQ117" s="9">
        <v>16</v>
      </c>
      <c r="AR117" s="9">
        <v>65</v>
      </c>
      <c r="AS117" s="9">
        <v>16</v>
      </c>
      <c r="AT117" s="9">
        <v>49</v>
      </c>
      <c r="AU117" s="9">
        <v>40</v>
      </c>
      <c r="AV117" s="9">
        <v>8</v>
      </c>
      <c r="AW117" s="9">
        <v>8</v>
      </c>
      <c r="AX117" s="9">
        <v>0</v>
      </c>
      <c r="AY117" s="9">
        <v>24</v>
      </c>
      <c r="AZ117" s="9">
        <v>77</v>
      </c>
      <c r="BA117" s="10">
        <v>86.609999999999985</v>
      </c>
      <c r="BB117" s="11">
        <v>26618.42</v>
      </c>
      <c r="BC117" s="11">
        <v>17468.34</v>
      </c>
      <c r="BD117" s="11">
        <v>18300.16</v>
      </c>
      <c r="BE117" s="11">
        <v>17468.34</v>
      </c>
      <c r="BF117" s="11">
        <v>3327.3</v>
      </c>
      <c r="BG117" s="11">
        <v>36000</v>
      </c>
      <c r="BH117" s="11">
        <v>10000</v>
      </c>
      <c r="BI117" s="11">
        <v>12578</v>
      </c>
      <c r="BJ117" s="11">
        <v>13522</v>
      </c>
      <c r="BK117" s="11">
        <v>35764</v>
      </c>
      <c r="BL117" s="11">
        <v>13723</v>
      </c>
      <c r="BM117" s="11">
        <v>8643</v>
      </c>
      <c r="BN117" s="11">
        <v>5764</v>
      </c>
      <c r="BO117" s="9">
        <v>72000</v>
      </c>
      <c r="BP117" s="9">
        <v>7939</v>
      </c>
    </row>
    <row r="118" spans="1:68" x14ac:dyDescent="0.3">
      <c r="A118" s="7">
        <v>45408</v>
      </c>
      <c r="B118" s="7" t="str">
        <f t="shared" si="1"/>
        <v>APRIL</v>
      </c>
      <c r="C118" s="8">
        <f>MONTH(Data!$A118)</f>
        <v>4</v>
      </c>
      <c r="D118" s="9">
        <v>912</v>
      </c>
      <c r="E118" s="9">
        <v>838</v>
      </c>
      <c r="F118" s="9">
        <v>355</v>
      </c>
      <c r="G118" s="9">
        <v>512</v>
      </c>
      <c r="H118" s="9">
        <v>45</v>
      </c>
      <c r="I118" s="9">
        <v>326</v>
      </c>
      <c r="J118" s="9">
        <v>404</v>
      </c>
      <c r="K118" s="9">
        <v>108</v>
      </c>
      <c r="L118" s="9">
        <v>260</v>
      </c>
      <c r="M118" s="9">
        <v>96</v>
      </c>
      <c r="N118" s="9">
        <v>67</v>
      </c>
      <c r="O118" s="9">
        <v>50</v>
      </c>
      <c r="P118" s="9">
        <v>50</v>
      </c>
      <c r="Q118" s="9">
        <v>166</v>
      </c>
      <c r="R118" s="9">
        <v>34</v>
      </c>
      <c r="S118" s="9">
        <v>51</v>
      </c>
      <c r="T118" s="9">
        <v>27</v>
      </c>
      <c r="U118" s="9">
        <v>111</v>
      </c>
      <c r="V118" s="9">
        <v>100</v>
      </c>
      <c r="W118" s="9">
        <v>25</v>
      </c>
      <c r="X118" s="9">
        <v>41</v>
      </c>
      <c r="Y118" s="9">
        <v>0</v>
      </c>
      <c r="Z118" s="9">
        <v>36</v>
      </c>
      <c r="AA118" s="9">
        <v>67</v>
      </c>
      <c r="AB118" s="9">
        <v>8</v>
      </c>
      <c r="AC118" s="9">
        <v>25</v>
      </c>
      <c r="AD118" s="9">
        <v>41</v>
      </c>
      <c r="AE118" s="9">
        <v>8</v>
      </c>
      <c r="AF118" s="9">
        <v>8</v>
      </c>
      <c r="AG118" s="9">
        <v>16</v>
      </c>
      <c r="AH118" s="9">
        <v>8</v>
      </c>
      <c r="AI118" s="9">
        <v>25</v>
      </c>
      <c r="AJ118" s="9">
        <v>8</v>
      </c>
      <c r="AK118" s="9">
        <v>50</v>
      </c>
      <c r="AL118" s="9">
        <v>50</v>
      </c>
      <c r="AM118" s="9">
        <v>8</v>
      </c>
      <c r="AN118" s="9">
        <v>16</v>
      </c>
      <c r="AO118" s="9">
        <v>8</v>
      </c>
      <c r="AP118" s="9">
        <v>25</v>
      </c>
      <c r="AQ118" s="9">
        <v>33</v>
      </c>
      <c r="AR118" s="9">
        <v>67</v>
      </c>
      <c r="AS118" s="9">
        <v>25</v>
      </c>
      <c r="AT118" s="9">
        <v>50</v>
      </c>
      <c r="AU118" s="9">
        <v>25</v>
      </c>
      <c r="AV118" s="9">
        <v>8</v>
      </c>
      <c r="AW118" s="9">
        <v>16</v>
      </c>
      <c r="AX118" s="9">
        <v>25</v>
      </c>
      <c r="AY118" s="9">
        <v>16</v>
      </c>
      <c r="AZ118" s="9">
        <v>0</v>
      </c>
      <c r="BA118" s="10">
        <v>87.51</v>
      </c>
      <c r="BB118" s="11">
        <v>27711.06</v>
      </c>
      <c r="BC118" s="11">
        <v>13855.53</v>
      </c>
      <c r="BD118" s="11">
        <v>21649.26</v>
      </c>
      <c r="BE118" s="11">
        <v>9525.68</v>
      </c>
      <c r="BF118" s="11">
        <v>13855.53</v>
      </c>
      <c r="BG118" s="11">
        <v>36000</v>
      </c>
      <c r="BH118" s="11">
        <v>16250</v>
      </c>
      <c r="BI118" s="11">
        <v>12578</v>
      </c>
      <c r="BJ118" s="11">
        <v>22522</v>
      </c>
      <c r="BK118" s="11">
        <v>35764</v>
      </c>
      <c r="BL118" s="11">
        <v>13723</v>
      </c>
      <c r="BM118" s="11">
        <v>8643</v>
      </c>
      <c r="BN118" s="11">
        <v>5764</v>
      </c>
      <c r="BO118" s="9">
        <v>72000</v>
      </c>
      <c r="BP118" s="9">
        <v>5062</v>
      </c>
    </row>
    <row r="119" spans="1:68" x14ac:dyDescent="0.3">
      <c r="A119" s="7">
        <v>45409</v>
      </c>
      <c r="B119" s="7" t="str">
        <f t="shared" si="1"/>
        <v>APRIL</v>
      </c>
      <c r="C119" s="8">
        <f>MONTH(Data!$A119)</f>
        <v>4</v>
      </c>
      <c r="D119" s="9">
        <v>936</v>
      </c>
      <c r="E119" s="9">
        <v>849</v>
      </c>
      <c r="F119" s="9">
        <v>486</v>
      </c>
      <c r="G119" s="9">
        <v>376</v>
      </c>
      <c r="H119" s="9">
        <v>74</v>
      </c>
      <c r="I119" s="9">
        <v>195</v>
      </c>
      <c r="J119" s="9">
        <v>527</v>
      </c>
      <c r="K119" s="9">
        <v>127</v>
      </c>
      <c r="L119" s="9">
        <v>301</v>
      </c>
      <c r="M119" s="9">
        <v>87</v>
      </c>
      <c r="N119" s="9">
        <v>69</v>
      </c>
      <c r="O119" s="9">
        <v>87</v>
      </c>
      <c r="P119" s="9">
        <v>46</v>
      </c>
      <c r="Q119" s="9">
        <v>174</v>
      </c>
      <c r="R119" s="9">
        <v>92</v>
      </c>
      <c r="S119" s="9">
        <v>24</v>
      </c>
      <c r="T119" s="9">
        <v>46</v>
      </c>
      <c r="U119" s="9">
        <v>10</v>
      </c>
      <c r="V119" s="9">
        <v>76</v>
      </c>
      <c r="W119" s="9">
        <v>16</v>
      </c>
      <c r="X119" s="9">
        <v>25</v>
      </c>
      <c r="Y119" s="9">
        <v>16</v>
      </c>
      <c r="Z119" s="9">
        <v>93</v>
      </c>
      <c r="AA119" s="9">
        <v>67</v>
      </c>
      <c r="AB119" s="9">
        <v>8</v>
      </c>
      <c r="AC119" s="9">
        <v>8</v>
      </c>
      <c r="AD119" s="9">
        <v>42</v>
      </c>
      <c r="AE119" s="9">
        <v>0</v>
      </c>
      <c r="AF119" s="9">
        <v>8</v>
      </c>
      <c r="AG119" s="9">
        <v>33</v>
      </c>
      <c r="AH119" s="9">
        <v>25</v>
      </c>
      <c r="AI119" s="9">
        <v>16</v>
      </c>
      <c r="AJ119" s="9">
        <v>16</v>
      </c>
      <c r="AK119" s="9">
        <v>59</v>
      </c>
      <c r="AL119" s="9">
        <v>59</v>
      </c>
      <c r="AM119" s="9">
        <v>42</v>
      </c>
      <c r="AN119" s="9">
        <v>8</v>
      </c>
      <c r="AO119" s="9">
        <v>8</v>
      </c>
      <c r="AP119" s="9">
        <v>8</v>
      </c>
      <c r="AQ119" s="9">
        <v>8</v>
      </c>
      <c r="AR119" s="9">
        <v>59</v>
      </c>
      <c r="AS119" s="9">
        <v>8</v>
      </c>
      <c r="AT119" s="9">
        <v>67</v>
      </c>
      <c r="AU119" s="9">
        <v>16</v>
      </c>
      <c r="AV119" s="9">
        <v>8</v>
      </c>
      <c r="AW119" s="9">
        <v>16</v>
      </c>
      <c r="AX119" s="9">
        <v>8</v>
      </c>
      <c r="AY119" s="9">
        <v>0</v>
      </c>
      <c r="AZ119" s="9">
        <v>26</v>
      </c>
      <c r="BA119" s="10">
        <v>87.509999999999991</v>
      </c>
      <c r="BB119" s="11">
        <v>24500.19</v>
      </c>
      <c r="BC119" s="11">
        <v>17500.13</v>
      </c>
      <c r="BD119" s="11">
        <v>12250.09</v>
      </c>
      <c r="BE119" s="11">
        <v>21875.17</v>
      </c>
      <c r="BF119" s="11">
        <v>11375.09</v>
      </c>
      <c r="BG119" s="11">
        <v>36000</v>
      </c>
      <c r="BH119" s="11">
        <v>16250</v>
      </c>
      <c r="BI119" s="11">
        <v>12578</v>
      </c>
      <c r="BJ119" s="11">
        <v>22522</v>
      </c>
      <c r="BK119" s="11">
        <v>35764</v>
      </c>
      <c r="BL119" s="11">
        <v>13723</v>
      </c>
      <c r="BM119" s="11">
        <v>8643</v>
      </c>
      <c r="BN119" s="11">
        <v>5764</v>
      </c>
      <c r="BO119" s="9">
        <v>72000</v>
      </c>
      <c r="BP119" s="9">
        <v>4427</v>
      </c>
    </row>
    <row r="120" spans="1:68" x14ac:dyDescent="0.3">
      <c r="A120" s="7">
        <v>45410</v>
      </c>
      <c r="B120" s="7" t="str">
        <f t="shared" si="1"/>
        <v>APRIL</v>
      </c>
      <c r="C120" s="8">
        <f>MONTH(Data!$A120)</f>
        <v>4</v>
      </c>
      <c r="D120" s="9">
        <v>958</v>
      </c>
      <c r="E120" s="9">
        <v>855</v>
      </c>
      <c r="F120" s="9">
        <v>488</v>
      </c>
      <c r="G120" s="9">
        <v>365</v>
      </c>
      <c r="H120" s="9">
        <v>105</v>
      </c>
      <c r="I120" s="9">
        <v>333</v>
      </c>
      <c r="J120" s="9">
        <v>480</v>
      </c>
      <c r="K120" s="9">
        <v>42</v>
      </c>
      <c r="L120" s="9">
        <v>285</v>
      </c>
      <c r="M120" s="9">
        <v>83</v>
      </c>
      <c r="N120" s="9">
        <v>71</v>
      </c>
      <c r="O120" s="9">
        <v>29</v>
      </c>
      <c r="P120" s="9">
        <v>29</v>
      </c>
      <c r="Q120" s="9">
        <v>200</v>
      </c>
      <c r="R120" s="9">
        <v>25</v>
      </c>
      <c r="S120" s="9">
        <v>54</v>
      </c>
      <c r="T120" s="9">
        <v>36</v>
      </c>
      <c r="U120" s="9">
        <v>146</v>
      </c>
      <c r="V120" s="9">
        <v>119</v>
      </c>
      <c r="W120" s="9">
        <v>8</v>
      </c>
      <c r="X120" s="9">
        <v>42</v>
      </c>
      <c r="Y120" s="9">
        <v>25</v>
      </c>
      <c r="Z120" s="9">
        <v>44</v>
      </c>
      <c r="AA120" s="9">
        <v>68</v>
      </c>
      <c r="AB120" s="9">
        <v>17</v>
      </c>
      <c r="AC120" s="9">
        <v>0</v>
      </c>
      <c r="AD120" s="9">
        <v>51</v>
      </c>
      <c r="AE120" s="9">
        <v>0</v>
      </c>
      <c r="AF120" s="9">
        <v>8</v>
      </c>
      <c r="AG120" s="9">
        <v>42</v>
      </c>
      <c r="AH120" s="9">
        <v>17</v>
      </c>
      <c r="AI120" s="9">
        <v>8</v>
      </c>
      <c r="AJ120" s="9">
        <v>17</v>
      </c>
      <c r="AK120" s="9">
        <v>42</v>
      </c>
      <c r="AL120" s="9">
        <v>17</v>
      </c>
      <c r="AM120" s="9">
        <v>34</v>
      </c>
      <c r="AN120" s="9">
        <v>17</v>
      </c>
      <c r="AO120" s="9">
        <v>0</v>
      </c>
      <c r="AP120" s="9">
        <v>34</v>
      </c>
      <c r="AQ120" s="9">
        <v>34</v>
      </c>
      <c r="AR120" s="9">
        <v>59</v>
      </c>
      <c r="AS120" s="9">
        <v>17</v>
      </c>
      <c r="AT120" s="9">
        <v>42</v>
      </c>
      <c r="AU120" s="9">
        <v>34</v>
      </c>
      <c r="AV120" s="9">
        <v>8</v>
      </c>
      <c r="AW120" s="9">
        <v>17</v>
      </c>
      <c r="AX120" s="9">
        <v>17</v>
      </c>
      <c r="AY120" s="9">
        <v>17</v>
      </c>
      <c r="AZ120" s="9">
        <v>0</v>
      </c>
      <c r="BA120" s="10">
        <v>85.669999999999987</v>
      </c>
      <c r="BB120" s="11">
        <v>28875.22</v>
      </c>
      <c r="BC120" s="11">
        <v>21000.16</v>
      </c>
      <c r="BD120" s="11">
        <v>17500.13</v>
      </c>
      <c r="BE120" s="11">
        <v>15750.12</v>
      </c>
      <c r="BF120" s="11">
        <v>4375.03</v>
      </c>
      <c r="BG120" s="11">
        <v>36000</v>
      </c>
      <c r="BH120" s="11">
        <v>16250</v>
      </c>
      <c r="BI120" s="11">
        <v>12578</v>
      </c>
      <c r="BJ120" s="11">
        <v>22522</v>
      </c>
      <c r="BK120" s="11">
        <v>35764</v>
      </c>
      <c r="BL120" s="11">
        <v>13723</v>
      </c>
      <c r="BM120" s="11">
        <v>8643</v>
      </c>
      <c r="BN120" s="11">
        <v>5764</v>
      </c>
      <c r="BO120" s="9">
        <v>72000</v>
      </c>
      <c r="BP120" s="9">
        <v>1751</v>
      </c>
    </row>
    <row r="121" spans="1:68" x14ac:dyDescent="0.3">
      <c r="A121" s="7">
        <v>45411</v>
      </c>
      <c r="B121" s="7" t="str">
        <f t="shared" si="1"/>
        <v>APRIL</v>
      </c>
      <c r="C121" s="8">
        <f>MONTH(Data!$A121)</f>
        <v>4</v>
      </c>
      <c r="D121" s="9">
        <v>977</v>
      </c>
      <c r="E121" s="9">
        <v>857</v>
      </c>
      <c r="F121" s="9">
        <v>322</v>
      </c>
      <c r="G121" s="9">
        <v>587</v>
      </c>
      <c r="H121" s="9">
        <v>68</v>
      </c>
      <c r="I121" s="9">
        <v>239</v>
      </c>
      <c r="J121" s="9">
        <v>516</v>
      </c>
      <c r="K121" s="9">
        <v>102</v>
      </c>
      <c r="L121" s="9">
        <v>308</v>
      </c>
      <c r="M121" s="9">
        <v>109</v>
      </c>
      <c r="N121" s="9">
        <v>78</v>
      </c>
      <c r="O121" s="9">
        <v>30</v>
      </c>
      <c r="P121" s="9">
        <v>48</v>
      </c>
      <c r="Q121" s="9">
        <v>163</v>
      </c>
      <c r="R121" s="9">
        <v>33</v>
      </c>
      <c r="S121" s="9">
        <v>40</v>
      </c>
      <c r="T121" s="9">
        <v>40</v>
      </c>
      <c r="U121" s="9">
        <v>128</v>
      </c>
      <c r="V121" s="9">
        <v>59</v>
      </c>
      <c r="W121" s="9">
        <v>25</v>
      </c>
      <c r="X121" s="9">
        <v>59</v>
      </c>
      <c r="Y121" s="9">
        <v>17</v>
      </c>
      <c r="Z121" s="9">
        <v>102</v>
      </c>
      <c r="AA121" s="9">
        <v>77</v>
      </c>
      <c r="AB121" s="9">
        <v>0</v>
      </c>
      <c r="AC121" s="9">
        <v>17</v>
      </c>
      <c r="AD121" s="9">
        <v>34</v>
      </c>
      <c r="AE121" s="9">
        <v>17</v>
      </c>
      <c r="AF121" s="9">
        <v>0</v>
      </c>
      <c r="AG121" s="9">
        <v>17</v>
      </c>
      <c r="AH121" s="9">
        <v>0</v>
      </c>
      <c r="AI121" s="9">
        <v>0</v>
      </c>
      <c r="AJ121" s="9">
        <v>17</v>
      </c>
      <c r="AK121" s="9">
        <v>85</v>
      </c>
      <c r="AL121" s="9">
        <v>25</v>
      </c>
      <c r="AM121" s="9">
        <v>8</v>
      </c>
      <c r="AN121" s="9">
        <v>8</v>
      </c>
      <c r="AO121" s="9">
        <v>8</v>
      </c>
      <c r="AP121" s="9">
        <v>8</v>
      </c>
      <c r="AQ121" s="9">
        <v>17</v>
      </c>
      <c r="AR121" s="9">
        <v>68</v>
      </c>
      <c r="AS121" s="9">
        <v>8</v>
      </c>
      <c r="AT121" s="9">
        <v>77</v>
      </c>
      <c r="AU121" s="9">
        <v>34</v>
      </c>
      <c r="AV121" s="9">
        <v>0</v>
      </c>
      <c r="AW121" s="9">
        <v>25</v>
      </c>
      <c r="AX121" s="9">
        <v>0</v>
      </c>
      <c r="AY121" s="9">
        <v>34</v>
      </c>
      <c r="AZ121" s="9">
        <v>11</v>
      </c>
      <c r="BA121" s="10">
        <v>79</v>
      </c>
      <c r="BB121" s="11">
        <v>22273.38</v>
      </c>
      <c r="BC121" s="11">
        <v>12850.03</v>
      </c>
      <c r="BD121" s="11">
        <v>13706.7</v>
      </c>
      <c r="BE121" s="11">
        <v>17990.04</v>
      </c>
      <c r="BF121" s="11">
        <v>18846.71</v>
      </c>
      <c r="BG121" s="11">
        <v>36000</v>
      </c>
      <c r="BH121" s="11">
        <v>16250</v>
      </c>
      <c r="BI121" s="11">
        <v>12578</v>
      </c>
      <c r="BJ121" s="11">
        <v>22522</v>
      </c>
      <c r="BK121" s="11">
        <v>35764</v>
      </c>
      <c r="BL121" s="11">
        <v>13723</v>
      </c>
      <c r="BM121" s="11">
        <v>8643</v>
      </c>
      <c r="BN121" s="11">
        <v>5764</v>
      </c>
      <c r="BO121" s="9">
        <v>72000</v>
      </c>
      <c r="BP121" s="9">
        <v>8121</v>
      </c>
    </row>
    <row r="122" spans="1:68" x14ac:dyDescent="0.3">
      <c r="A122" s="7">
        <v>45412</v>
      </c>
      <c r="B122" s="7" t="str">
        <f t="shared" si="1"/>
        <v>APRIL</v>
      </c>
      <c r="C122" s="8">
        <f>MONTH(Data!$A122)</f>
        <v>4</v>
      </c>
      <c r="D122" s="9">
        <v>987</v>
      </c>
      <c r="E122" s="9">
        <v>855</v>
      </c>
      <c r="F122" s="9">
        <v>523</v>
      </c>
      <c r="G122" s="9">
        <v>405</v>
      </c>
      <c r="H122" s="9">
        <v>59</v>
      </c>
      <c r="I122" s="9">
        <v>179</v>
      </c>
      <c r="J122" s="9">
        <v>540</v>
      </c>
      <c r="K122" s="9">
        <v>136</v>
      </c>
      <c r="L122" s="9">
        <v>275</v>
      </c>
      <c r="M122" s="9">
        <v>189</v>
      </c>
      <c r="N122" s="9">
        <v>91</v>
      </c>
      <c r="O122" s="9">
        <v>67</v>
      </c>
      <c r="P122" s="9">
        <v>48</v>
      </c>
      <c r="Q122" s="9">
        <v>127</v>
      </c>
      <c r="R122" s="9">
        <v>71</v>
      </c>
      <c r="S122" s="9">
        <v>30</v>
      </c>
      <c r="T122" s="9">
        <v>56</v>
      </c>
      <c r="U122" s="9">
        <v>33</v>
      </c>
      <c r="V122" s="9">
        <v>34</v>
      </c>
      <c r="W122" s="9">
        <v>0</v>
      </c>
      <c r="X122" s="9">
        <v>59</v>
      </c>
      <c r="Y122" s="9">
        <v>0</v>
      </c>
      <c r="Z122" s="9">
        <v>68</v>
      </c>
      <c r="AA122" s="9">
        <v>51</v>
      </c>
      <c r="AB122" s="9">
        <v>0</v>
      </c>
      <c r="AC122" s="9">
        <v>25</v>
      </c>
      <c r="AD122" s="9">
        <v>42</v>
      </c>
      <c r="AE122" s="9">
        <v>17</v>
      </c>
      <c r="AF122" s="9">
        <v>0</v>
      </c>
      <c r="AG122" s="9">
        <v>42</v>
      </c>
      <c r="AH122" s="9">
        <v>8</v>
      </c>
      <c r="AI122" s="9">
        <v>0</v>
      </c>
      <c r="AJ122" s="9">
        <v>17</v>
      </c>
      <c r="AK122" s="9">
        <v>76</v>
      </c>
      <c r="AL122" s="9">
        <v>25</v>
      </c>
      <c r="AM122" s="9">
        <v>34</v>
      </c>
      <c r="AN122" s="9">
        <v>17</v>
      </c>
      <c r="AO122" s="9">
        <v>8</v>
      </c>
      <c r="AP122" s="9">
        <v>17</v>
      </c>
      <c r="AQ122" s="9">
        <v>17</v>
      </c>
      <c r="AR122" s="9">
        <v>59</v>
      </c>
      <c r="AS122" s="9">
        <v>8</v>
      </c>
      <c r="AT122" s="9">
        <v>76</v>
      </c>
      <c r="AU122" s="9">
        <v>8</v>
      </c>
      <c r="AV122" s="9">
        <v>0</v>
      </c>
      <c r="AW122" s="9">
        <v>34</v>
      </c>
      <c r="AX122" s="9">
        <v>8</v>
      </c>
      <c r="AY122" s="9">
        <v>17</v>
      </c>
      <c r="AZ122" s="9">
        <v>88</v>
      </c>
      <c r="BA122" s="10">
        <v>79.03</v>
      </c>
      <c r="BB122" s="11">
        <v>23700</v>
      </c>
      <c r="BC122" s="11">
        <v>14220</v>
      </c>
      <c r="BD122" s="11">
        <v>15800</v>
      </c>
      <c r="BE122" s="11">
        <v>9480</v>
      </c>
      <c r="BF122" s="11">
        <v>15800</v>
      </c>
      <c r="BG122" s="11">
        <v>36000</v>
      </c>
      <c r="BH122" s="11">
        <v>16250</v>
      </c>
      <c r="BI122" s="11">
        <v>12578</v>
      </c>
      <c r="BJ122" s="11">
        <v>22522</v>
      </c>
      <c r="BK122" s="11">
        <v>35764</v>
      </c>
      <c r="BL122" s="11">
        <v>13723</v>
      </c>
      <c r="BM122" s="11">
        <v>8643</v>
      </c>
      <c r="BN122" s="11">
        <v>5764</v>
      </c>
      <c r="BO122" s="9">
        <v>72000</v>
      </c>
      <c r="BP122" s="9">
        <v>6630</v>
      </c>
    </row>
    <row r="123" spans="1:68" x14ac:dyDescent="0.3">
      <c r="A123" s="7">
        <v>45413</v>
      </c>
      <c r="B123" s="7" t="str">
        <f t="shared" si="1"/>
        <v>MAY</v>
      </c>
      <c r="C123" s="8">
        <f>MONTH(Data!$A123)</f>
        <v>5</v>
      </c>
      <c r="D123" s="9">
        <v>994</v>
      </c>
      <c r="E123" s="9">
        <v>1002</v>
      </c>
      <c r="F123" s="9">
        <v>477</v>
      </c>
      <c r="G123" s="9">
        <v>269</v>
      </c>
      <c r="H123" s="9">
        <v>248</v>
      </c>
      <c r="I123" s="9">
        <v>521</v>
      </c>
      <c r="J123" s="9">
        <v>401</v>
      </c>
      <c r="K123" s="9">
        <v>80</v>
      </c>
      <c r="L123" s="9">
        <v>277</v>
      </c>
      <c r="M123" s="9">
        <v>123</v>
      </c>
      <c r="N123" s="9">
        <v>67</v>
      </c>
      <c r="O123" s="9">
        <v>86</v>
      </c>
      <c r="P123" s="9">
        <v>36</v>
      </c>
      <c r="Q123" s="9">
        <v>196</v>
      </c>
      <c r="R123" s="9">
        <v>113</v>
      </c>
      <c r="S123" s="9">
        <v>41</v>
      </c>
      <c r="T123" s="9">
        <v>49</v>
      </c>
      <c r="U123" s="9">
        <v>6</v>
      </c>
      <c r="V123" s="9">
        <v>130</v>
      </c>
      <c r="W123" s="9">
        <v>10</v>
      </c>
      <c r="X123" s="9">
        <v>50</v>
      </c>
      <c r="Y123" s="9">
        <v>30</v>
      </c>
      <c r="Z123" s="9">
        <v>150</v>
      </c>
      <c r="AA123" s="9">
        <v>80</v>
      </c>
      <c r="AB123" s="9">
        <v>0</v>
      </c>
      <c r="AC123" s="9">
        <v>0</v>
      </c>
      <c r="AD123" s="9">
        <v>40</v>
      </c>
      <c r="AE123" s="9">
        <v>0</v>
      </c>
      <c r="AF123" s="9">
        <v>0</v>
      </c>
      <c r="AG123" s="9">
        <v>30</v>
      </c>
      <c r="AH123" s="9">
        <v>0</v>
      </c>
      <c r="AI123" s="9">
        <v>10</v>
      </c>
      <c r="AJ123" s="9">
        <v>10</v>
      </c>
      <c r="AK123" s="9">
        <v>70</v>
      </c>
      <c r="AL123" s="9">
        <v>10</v>
      </c>
      <c r="AM123" s="9">
        <v>10</v>
      </c>
      <c r="AN123" s="9">
        <v>20</v>
      </c>
      <c r="AO123" s="9">
        <v>10</v>
      </c>
      <c r="AP123" s="9">
        <v>40</v>
      </c>
      <c r="AQ123" s="9">
        <v>20</v>
      </c>
      <c r="AR123" s="9">
        <v>70</v>
      </c>
      <c r="AS123" s="9">
        <v>10</v>
      </c>
      <c r="AT123" s="9">
        <v>30</v>
      </c>
      <c r="AU123" s="9">
        <v>50</v>
      </c>
      <c r="AV123" s="9">
        <v>0</v>
      </c>
      <c r="AW123" s="9">
        <v>10</v>
      </c>
      <c r="AX123" s="9">
        <v>40</v>
      </c>
      <c r="AY123" s="9">
        <v>20</v>
      </c>
      <c r="AZ123" s="9">
        <v>52</v>
      </c>
      <c r="BA123" s="10">
        <v>55.300000000000004</v>
      </c>
      <c r="BB123" s="11">
        <v>20547.05</v>
      </c>
      <c r="BC123" s="11">
        <v>18966.509999999998</v>
      </c>
      <c r="BD123" s="11">
        <v>13434.61</v>
      </c>
      <c r="BE123" s="11">
        <v>10273.530000000001</v>
      </c>
      <c r="BF123" s="11">
        <v>15805.42</v>
      </c>
      <c r="BG123" s="11">
        <v>36000</v>
      </c>
      <c r="BH123" s="11">
        <v>15000</v>
      </c>
      <c r="BI123" s="11">
        <v>12578</v>
      </c>
      <c r="BJ123" s="11">
        <v>22522</v>
      </c>
      <c r="BK123" s="11">
        <v>41565</v>
      </c>
      <c r="BL123" s="11">
        <v>18624</v>
      </c>
      <c r="BM123" s="11">
        <v>12724</v>
      </c>
      <c r="BN123" s="11">
        <v>9545</v>
      </c>
      <c r="BO123" s="9">
        <v>106000</v>
      </c>
      <c r="BP123" s="9">
        <v>7191</v>
      </c>
    </row>
    <row r="124" spans="1:68" x14ac:dyDescent="0.3">
      <c r="A124" s="7">
        <v>45414</v>
      </c>
      <c r="B124" s="7" t="str">
        <f t="shared" si="1"/>
        <v>MAY</v>
      </c>
      <c r="C124" s="8">
        <f>MONTH(Data!$A124)</f>
        <v>5</v>
      </c>
      <c r="D124" s="9">
        <v>999</v>
      </c>
      <c r="E124" s="9">
        <v>995</v>
      </c>
      <c r="F124" s="9">
        <v>249</v>
      </c>
      <c r="G124" s="9">
        <v>511</v>
      </c>
      <c r="H124" s="9">
        <v>239</v>
      </c>
      <c r="I124" s="9">
        <v>348</v>
      </c>
      <c r="J124" s="9">
        <v>498</v>
      </c>
      <c r="K124" s="9">
        <v>149</v>
      </c>
      <c r="L124" s="9">
        <v>284</v>
      </c>
      <c r="M124" s="9">
        <v>192</v>
      </c>
      <c r="N124" s="9">
        <v>49</v>
      </c>
      <c r="O124" s="9">
        <v>61</v>
      </c>
      <c r="P124" s="9">
        <v>30</v>
      </c>
      <c r="Q124" s="9">
        <v>186</v>
      </c>
      <c r="R124" s="9">
        <v>91</v>
      </c>
      <c r="S124" s="9">
        <v>53</v>
      </c>
      <c r="T124" s="9">
        <v>30</v>
      </c>
      <c r="U124" s="9">
        <v>23</v>
      </c>
      <c r="V124" s="9">
        <v>69</v>
      </c>
      <c r="W124" s="9">
        <v>0</v>
      </c>
      <c r="X124" s="9">
        <v>39</v>
      </c>
      <c r="Y124" s="9">
        <v>29</v>
      </c>
      <c r="Z124" s="9">
        <v>79</v>
      </c>
      <c r="AA124" s="9">
        <v>89</v>
      </c>
      <c r="AB124" s="9">
        <v>9</v>
      </c>
      <c r="AC124" s="9">
        <v>19</v>
      </c>
      <c r="AD124" s="9">
        <v>19</v>
      </c>
      <c r="AE124" s="9">
        <v>19</v>
      </c>
      <c r="AF124" s="9">
        <v>0</v>
      </c>
      <c r="AG124" s="9">
        <v>49</v>
      </c>
      <c r="AH124" s="9">
        <v>19</v>
      </c>
      <c r="AI124" s="9">
        <v>0</v>
      </c>
      <c r="AJ124" s="9">
        <v>19</v>
      </c>
      <c r="AK124" s="9">
        <v>39</v>
      </c>
      <c r="AL124" s="9">
        <v>9</v>
      </c>
      <c r="AM124" s="9">
        <v>9</v>
      </c>
      <c r="AN124" s="9">
        <v>0</v>
      </c>
      <c r="AO124" s="9">
        <v>0</v>
      </c>
      <c r="AP124" s="9">
        <v>29</v>
      </c>
      <c r="AQ124" s="9">
        <v>29</v>
      </c>
      <c r="AR124" s="9">
        <v>79</v>
      </c>
      <c r="AS124" s="9">
        <v>9</v>
      </c>
      <c r="AT124" s="9">
        <v>59</v>
      </c>
      <c r="AU124" s="9">
        <v>9</v>
      </c>
      <c r="AV124" s="9">
        <v>9</v>
      </c>
      <c r="AW124" s="9">
        <v>49</v>
      </c>
      <c r="AX124" s="9">
        <v>39</v>
      </c>
      <c r="AY124" s="9">
        <v>19</v>
      </c>
      <c r="AZ124" s="9">
        <v>150</v>
      </c>
      <c r="BA124" s="10">
        <v>57.463000000000001</v>
      </c>
      <c r="BB124" s="11">
        <v>23700</v>
      </c>
      <c r="BC124" s="11">
        <v>14220</v>
      </c>
      <c r="BD124" s="11">
        <v>15800</v>
      </c>
      <c r="BE124" s="11">
        <v>9480</v>
      </c>
      <c r="BF124" s="11">
        <v>15800</v>
      </c>
      <c r="BG124" s="11">
        <v>36000</v>
      </c>
      <c r="BH124" s="11">
        <v>15000</v>
      </c>
      <c r="BI124" s="11">
        <v>12578</v>
      </c>
      <c r="BJ124" s="11">
        <v>23522</v>
      </c>
      <c r="BK124" s="11">
        <v>41565</v>
      </c>
      <c r="BL124" s="11">
        <v>18624</v>
      </c>
      <c r="BM124" s="11">
        <v>12724</v>
      </c>
      <c r="BN124" s="11">
        <v>9545</v>
      </c>
      <c r="BO124" s="9">
        <v>106000</v>
      </c>
      <c r="BP124" s="9">
        <v>8013</v>
      </c>
    </row>
    <row r="125" spans="1:68" x14ac:dyDescent="0.3">
      <c r="A125" s="7">
        <v>45415</v>
      </c>
      <c r="B125" s="7" t="str">
        <f t="shared" si="1"/>
        <v>MAY</v>
      </c>
      <c r="C125" s="8">
        <f>MONTH(Data!$A125)</f>
        <v>5</v>
      </c>
      <c r="D125" s="9">
        <v>1000</v>
      </c>
      <c r="E125" s="9">
        <v>985</v>
      </c>
      <c r="F125" s="9">
        <v>420</v>
      </c>
      <c r="G125" s="9">
        <v>500</v>
      </c>
      <c r="H125" s="9">
        <v>80</v>
      </c>
      <c r="I125" s="9">
        <v>206</v>
      </c>
      <c r="J125" s="9">
        <v>582</v>
      </c>
      <c r="K125" s="9">
        <v>197</v>
      </c>
      <c r="L125" s="9">
        <v>316</v>
      </c>
      <c r="M125" s="9">
        <v>74</v>
      </c>
      <c r="N125" s="9">
        <v>49</v>
      </c>
      <c r="O125" s="9">
        <v>49</v>
      </c>
      <c r="P125" s="9">
        <v>37</v>
      </c>
      <c r="Q125" s="9">
        <v>182</v>
      </c>
      <c r="R125" s="9">
        <v>106</v>
      </c>
      <c r="S125" s="9">
        <v>53</v>
      </c>
      <c r="T125" s="9">
        <v>30</v>
      </c>
      <c r="U125" s="9">
        <v>104</v>
      </c>
      <c r="V125" s="9">
        <v>128</v>
      </c>
      <c r="W125" s="9">
        <v>0</v>
      </c>
      <c r="X125" s="9">
        <v>29</v>
      </c>
      <c r="Y125" s="9">
        <v>9</v>
      </c>
      <c r="Z125" s="9">
        <v>59</v>
      </c>
      <c r="AA125" s="9">
        <v>88</v>
      </c>
      <c r="AB125" s="9">
        <v>0</v>
      </c>
      <c r="AC125" s="9">
        <v>29</v>
      </c>
      <c r="AD125" s="9">
        <v>29</v>
      </c>
      <c r="AE125" s="9">
        <v>19</v>
      </c>
      <c r="AF125" s="9">
        <v>9</v>
      </c>
      <c r="AG125" s="9">
        <v>39</v>
      </c>
      <c r="AH125" s="9">
        <v>29</v>
      </c>
      <c r="AI125" s="9">
        <v>9</v>
      </c>
      <c r="AJ125" s="9">
        <v>0</v>
      </c>
      <c r="AK125" s="9">
        <v>88</v>
      </c>
      <c r="AL125" s="9">
        <v>29</v>
      </c>
      <c r="AM125" s="9">
        <v>9</v>
      </c>
      <c r="AN125" s="9">
        <v>0</v>
      </c>
      <c r="AO125" s="9">
        <v>0</v>
      </c>
      <c r="AP125" s="9">
        <v>39</v>
      </c>
      <c r="AQ125" s="9">
        <v>39</v>
      </c>
      <c r="AR125" s="9">
        <v>78</v>
      </c>
      <c r="AS125" s="9">
        <v>9</v>
      </c>
      <c r="AT125" s="9">
        <v>39</v>
      </c>
      <c r="AU125" s="9">
        <v>29</v>
      </c>
      <c r="AV125" s="9">
        <v>0</v>
      </c>
      <c r="AW125" s="9">
        <v>49</v>
      </c>
      <c r="AX125" s="9">
        <v>9</v>
      </c>
      <c r="AY125" s="9">
        <v>0</v>
      </c>
      <c r="AZ125" s="9">
        <v>92</v>
      </c>
      <c r="BA125" s="10">
        <v>59.22</v>
      </c>
      <c r="BB125" s="11">
        <v>24627.53</v>
      </c>
      <c r="BC125" s="11">
        <v>17239.27</v>
      </c>
      <c r="BD125" s="11">
        <v>10671.93</v>
      </c>
      <c r="BE125" s="11">
        <v>13134.68</v>
      </c>
      <c r="BF125" s="11">
        <v>16418.349999999999</v>
      </c>
      <c r="BG125" s="11">
        <v>36000</v>
      </c>
      <c r="BH125" s="11">
        <v>15000</v>
      </c>
      <c r="BI125" s="11">
        <v>12578</v>
      </c>
      <c r="BJ125" s="11">
        <v>23522</v>
      </c>
      <c r="BK125" s="11">
        <v>41565</v>
      </c>
      <c r="BL125" s="11">
        <v>18624</v>
      </c>
      <c r="BM125" s="11">
        <v>12724</v>
      </c>
      <c r="BN125" s="11">
        <v>9545</v>
      </c>
      <c r="BO125" s="9">
        <v>106000</v>
      </c>
      <c r="BP125" s="9">
        <v>736</v>
      </c>
    </row>
    <row r="126" spans="1:68" x14ac:dyDescent="0.3">
      <c r="A126" s="7">
        <v>45416</v>
      </c>
      <c r="B126" s="7" t="str">
        <f t="shared" si="1"/>
        <v>MAY</v>
      </c>
      <c r="C126" s="8">
        <f>MONTH(Data!$A126)</f>
        <v>5</v>
      </c>
      <c r="D126" s="9">
        <v>999</v>
      </c>
      <c r="E126" s="9">
        <v>972</v>
      </c>
      <c r="F126" s="9">
        <v>439</v>
      </c>
      <c r="G126" s="9">
        <v>441</v>
      </c>
      <c r="H126" s="9">
        <v>119</v>
      </c>
      <c r="I126" s="9">
        <v>252</v>
      </c>
      <c r="J126" s="9">
        <v>575</v>
      </c>
      <c r="K126" s="9">
        <v>145</v>
      </c>
      <c r="L126" s="9">
        <v>291</v>
      </c>
      <c r="M126" s="9">
        <v>142</v>
      </c>
      <c r="N126" s="9">
        <v>55</v>
      </c>
      <c r="O126" s="9">
        <v>43</v>
      </c>
      <c r="P126" s="9">
        <v>24</v>
      </c>
      <c r="Q126" s="9">
        <v>155</v>
      </c>
      <c r="R126" s="9">
        <v>106</v>
      </c>
      <c r="S126" s="9">
        <v>34</v>
      </c>
      <c r="T126" s="9">
        <v>41</v>
      </c>
      <c r="U126" s="9">
        <v>108</v>
      </c>
      <c r="V126" s="9">
        <v>126</v>
      </c>
      <c r="W126" s="9">
        <v>19</v>
      </c>
      <c r="X126" s="9">
        <v>38</v>
      </c>
      <c r="Y126" s="9">
        <v>0</v>
      </c>
      <c r="Z126" s="9">
        <v>116</v>
      </c>
      <c r="AA126" s="9">
        <v>68</v>
      </c>
      <c r="AB126" s="9">
        <v>29</v>
      </c>
      <c r="AC126" s="9">
        <v>0</v>
      </c>
      <c r="AD126" s="9">
        <v>38</v>
      </c>
      <c r="AE126" s="9">
        <v>9</v>
      </c>
      <c r="AF126" s="9">
        <v>0</v>
      </c>
      <c r="AG126" s="9">
        <v>29</v>
      </c>
      <c r="AH126" s="9">
        <v>9</v>
      </c>
      <c r="AI126" s="9">
        <v>9</v>
      </c>
      <c r="AJ126" s="9">
        <v>0</v>
      </c>
      <c r="AK126" s="9">
        <v>77</v>
      </c>
      <c r="AL126" s="9">
        <v>38</v>
      </c>
      <c r="AM126" s="9">
        <v>19</v>
      </c>
      <c r="AN126" s="9">
        <v>9</v>
      </c>
      <c r="AO126" s="9">
        <v>0</v>
      </c>
      <c r="AP126" s="9">
        <v>0</v>
      </c>
      <c r="AQ126" s="9">
        <v>19</v>
      </c>
      <c r="AR126" s="9">
        <v>87</v>
      </c>
      <c r="AS126" s="9">
        <v>19</v>
      </c>
      <c r="AT126" s="9">
        <v>68</v>
      </c>
      <c r="AU126" s="9">
        <v>48</v>
      </c>
      <c r="AV126" s="9">
        <v>9</v>
      </c>
      <c r="AW126" s="9">
        <v>9</v>
      </c>
      <c r="AX126" s="9">
        <v>29</v>
      </c>
      <c r="AY126" s="9">
        <v>38</v>
      </c>
      <c r="AZ126" s="9">
        <v>13</v>
      </c>
      <c r="BA126" s="10">
        <v>61.831000000000003</v>
      </c>
      <c r="BB126" s="11">
        <v>21150.32</v>
      </c>
      <c r="BC126" s="11">
        <v>16920.25</v>
      </c>
      <c r="BD126" s="11">
        <v>18612.28</v>
      </c>
      <c r="BE126" s="11">
        <v>15228.23</v>
      </c>
      <c r="BF126" s="11">
        <v>12690.19</v>
      </c>
      <c r="BG126" s="11">
        <v>36000</v>
      </c>
      <c r="BH126" s="11">
        <v>15000</v>
      </c>
      <c r="BI126" s="11">
        <v>12578</v>
      </c>
      <c r="BJ126" s="11">
        <v>23522</v>
      </c>
      <c r="BK126" s="11">
        <v>41565</v>
      </c>
      <c r="BL126" s="11">
        <v>18624</v>
      </c>
      <c r="BM126" s="11">
        <v>12724</v>
      </c>
      <c r="BN126" s="11">
        <v>9545</v>
      </c>
      <c r="BO126" s="9">
        <v>106000</v>
      </c>
      <c r="BP126" s="9">
        <v>7082</v>
      </c>
    </row>
    <row r="127" spans="1:68" x14ac:dyDescent="0.3">
      <c r="A127" s="7">
        <v>45417</v>
      </c>
      <c r="B127" s="7" t="str">
        <f t="shared" si="1"/>
        <v>MAY</v>
      </c>
      <c r="C127" s="8">
        <f>MONTH(Data!$A127)</f>
        <v>5</v>
      </c>
      <c r="D127" s="9">
        <v>987</v>
      </c>
      <c r="E127" s="9">
        <v>952</v>
      </c>
      <c r="F127" s="9">
        <v>503</v>
      </c>
      <c r="G127" s="9">
        <v>376</v>
      </c>
      <c r="H127" s="9">
        <v>108</v>
      </c>
      <c r="I127" s="9">
        <v>495</v>
      </c>
      <c r="J127" s="9">
        <v>258</v>
      </c>
      <c r="K127" s="9">
        <v>199</v>
      </c>
      <c r="L127" s="9">
        <v>238</v>
      </c>
      <c r="M127" s="9">
        <v>42</v>
      </c>
      <c r="N127" s="9">
        <v>73</v>
      </c>
      <c r="O127" s="9">
        <v>30</v>
      </c>
      <c r="P127" s="9">
        <v>18</v>
      </c>
      <c r="Q127" s="9">
        <v>187</v>
      </c>
      <c r="R127" s="9">
        <v>56</v>
      </c>
      <c r="S127" s="9">
        <v>41</v>
      </c>
      <c r="T127" s="9">
        <v>48</v>
      </c>
      <c r="U127" s="9">
        <v>254</v>
      </c>
      <c r="V127" s="9">
        <v>38</v>
      </c>
      <c r="W127" s="9">
        <v>19</v>
      </c>
      <c r="X127" s="9">
        <v>47</v>
      </c>
      <c r="Y127" s="9">
        <v>19</v>
      </c>
      <c r="Z127" s="9">
        <v>133</v>
      </c>
      <c r="AA127" s="9">
        <v>57</v>
      </c>
      <c r="AB127" s="9">
        <v>9</v>
      </c>
      <c r="AC127" s="9">
        <v>0</v>
      </c>
      <c r="AD127" s="9">
        <v>28</v>
      </c>
      <c r="AE127" s="9">
        <v>28</v>
      </c>
      <c r="AF127" s="9">
        <v>9</v>
      </c>
      <c r="AG127" s="9">
        <v>28</v>
      </c>
      <c r="AH127" s="9">
        <v>28</v>
      </c>
      <c r="AI127" s="9">
        <v>28</v>
      </c>
      <c r="AJ127" s="9">
        <v>19</v>
      </c>
      <c r="AK127" s="9">
        <v>66</v>
      </c>
      <c r="AL127" s="9">
        <v>28</v>
      </c>
      <c r="AM127" s="9">
        <v>19</v>
      </c>
      <c r="AN127" s="9">
        <v>0</v>
      </c>
      <c r="AO127" s="9">
        <v>0</v>
      </c>
      <c r="AP127" s="9">
        <v>19</v>
      </c>
      <c r="AQ127" s="9">
        <v>38</v>
      </c>
      <c r="AR127" s="9">
        <v>66</v>
      </c>
      <c r="AS127" s="9">
        <v>28</v>
      </c>
      <c r="AT127" s="9">
        <v>28</v>
      </c>
      <c r="AU127" s="9">
        <v>19</v>
      </c>
      <c r="AV127" s="9">
        <v>9</v>
      </c>
      <c r="AW127" s="9">
        <v>28</v>
      </c>
      <c r="AX127" s="9">
        <v>28</v>
      </c>
      <c r="AY127" s="9">
        <v>28</v>
      </c>
      <c r="AZ127" s="9">
        <v>58</v>
      </c>
      <c r="BA127" s="10">
        <v>63.60199999999999</v>
      </c>
      <c r="BB127" s="11">
        <v>26496.05</v>
      </c>
      <c r="BC127" s="11">
        <v>16780.830000000002</v>
      </c>
      <c r="BD127" s="11">
        <v>9715.2199999999993</v>
      </c>
      <c r="BE127" s="11">
        <v>16780.830000000002</v>
      </c>
      <c r="BF127" s="11">
        <v>18547.240000000002</v>
      </c>
      <c r="BG127" s="11">
        <v>36000</v>
      </c>
      <c r="BH127" s="11">
        <v>15000</v>
      </c>
      <c r="BI127" s="11">
        <v>12578</v>
      </c>
      <c r="BJ127" s="11">
        <v>23522</v>
      </c>
      <c r="BK127" s="11">
        <v>41565</v>
      </c>
      <c r="BL127" s="11">
        <v>18624</v>
      </c>
      <c r="BM127" s="11">
        <v>12724</v>
      </c>
      <c r="BN127" s="11">
        <v>9545</v>
      </c>
      <c r="BO127" s="9">
        <v>106000</v>
      </c>
      <c r="BP127" s="9">
        <v>6805</v>
      </c>
    </row>
    <row r="128" spans="1:68" x14ac:dyDescent="0.3">
      <c r="A128" s="7">
        <v>45418</v>
      </c>
      <c r="B128" s="7" t="str">
        <f t="shared" si="1"/>
        <v>MAY</v>
      </c>
      <c r="C128" s="8">
        <f>MONTH(Data!$A128)</f>
        <v>5</v>
      </c>
      <c r="D128" s="9">
        <v>971</v>
      </c>
      <c r="E128" s="9">
        <v>927</v>
      </c>
      <c r="F128" s="9">
        <v>446</v>
      </c>
      <c r="G128" s="9">
        <v>409</v>
      </c>
      <c r="H128" s="9">
        <v>116</v>
      </c>
      <c r="I128" s="9">
        <v>333</v>
      </c>
      <c r="J128" s="9">
        <v>520</v>
      </c>
      <c r="K128" s="9">
        <v>74</v>
      </c>
      <c r="L128" s="9">
        <v>228</v>
      </c>
      <c r="M128" s="9">
        <v>198</v>
      </c>
      <c r="N128" s="9">
        <v>78</v>
      </c>
      <c r="O128" s="9">
        <v>30</v>
      </c>
      <c r="P128" s="9">
        <v>42</v>
      </c>
      <c r="Q128" s="9">
        <v>199</v>
      </c>
      <c r="R128" s="9">
        <v>125</v>
      </c>
      <c r="S128" s="9">
        <v>47</v>
      </c>
      <c r="T128" s="9">
        <v>18</v>
      </c>
      <c r="U128" s="9">
        <v>6</v>
      </c>
      <c r="V128" s="9">
        <v>92</v>
      </c>
      <c r="W128" s="9">
        <v>27</v>
      </c>
      <c r="X128" s="9">
        <v>55</v>
      </c>
      <c r="Y128" s="9">
        <v>0</v>
      </c>
      <c r="Z128" s="9">
        <v>105</v>
      </c>
      <c r="AA128" s="9">
        <v>74</v>
      </c>
      <c r="AB128" s="9">
        <v>18</v>
      </c>
      <c r="AC128" s="9">
        <v>9</v>
      </c>
      <c r="AD128" s="9">
        <v>46</v>
      </c>
      <c r="AE128" s="9">
        <v>9</v>
      </c>
      <c r="AF128" s="9">
        <v>0</v>
      </c>
      <c r="AG128" s="9">
        <v>27</v>
      </c>
      <c r="AH128" s="9">
        <v>27</v>
      </c>
      <c r="AI128" s="9">
        <v>18</v>
      </c>
      <c r="AJ128" s="9">
        <v>0</v>
      </c>
      <c r="AK128" s="9">
        <v>92</v>
      </c>
      <c r="AL128" s="9">
        <v>9</v>
      </c>
      <c r="AM128" s="9">
        <v>18</v>
      </c>
      <c r="AN128" s="9">
        <v>9</v>
      </c>
      <c r="AO128" s="9">
        <v>0</v>
      </c>
      <c r="AP128" s="9">
        <v>0</v>
      </c>
      <c r="AQ128" s="9">
        <v>27</v>
      </c>
      <c r="AR128" s="9">
        <v>83</v>
      </c>
      <c r="AS128" s="9">
        <v>9</v>
      </c>
      <c r="AT128" s="9">
        <v>55</v>
      </c>
      <c r="AU128" s="9">
        <v>27</v>
      </c>
      <c r="AV128" s="9">
        <v>9</v>
      </c>
      <c r="AW128" s="9">
        <v>46</v>
      </c>
      <c r="AX128" s="9">
        <v>18</v>
      </c>
      <c r="AY128" s="9">
        <v>18</v>
      </c>
      <c r="AZ128" s="9">
        <v>0</v>
      </c>
      <c r="BA128" s="10">
        <v>64.869</v>
      </c>
      <c r="BB128" s="11">
        <v>23621.87</v>
      </c>
      <c r="BC128" s="11">
        <v>15445.07</v>
      </c>
      <c r="BD128" s="11">
        <v>22713.34</v>
      </c>
      <c r="BE128" s="11">
        <v>14536.54</v>
      </c>
      <c r="BF128" s="11">
        <v>14536.54</v>
      </c>
      <c r="BG128" s="11">
        <v>36000</v>
      </c>
      <c r="BH128" s="11">
        <v>15000</v>
      </c>
      <c r="BI128" s="11">
        <v>12578</v>
      </c>
      <c r="BJ128" s="11">
        <v>23522</v>
      </c>
      <c r="BK128" s="11">
        <v>41565</v>
      </c>
      <c r="BL128" s="11">
        <v>18624</v>
      </c>
      <c r="BM128" s="11">
        <v>12724</v>
      </c>
      <c r="BN128" s="11">
        <v>9545</v>
      </c>
      <c r="BO128" s="9">
        <v>106000</v>
      </c>
      <c r="BP128" s="9">
        <v>4246</v>
      </c>
    </row>
    <row r="129" spans="1:68" x14ac:dyDescent="0.3">
      <c r="A129" s="7">
        <v>45419</v>
      </c>
      <c r="B129" s="7" t="str">
        <f t="shared" si="1"/>
        <v>MAY</v>
      </c>
      <c r="C129" s="8">
        <f>MONTH(Data!$A129)</f>
        <v>5</v>
      </c>
      <c r="D129" s="9">
        <v>946</v>
      </c>
      <c r="E129" s="9">
        <v>900</v>
      </c>
      <c r="F129" s="9">
        <v>340</v>
      </c>
      <c r="G129" s="9">
        <v>408</v>
      </c>
      <c r="H129" s="9">
        <v>198</v>
      </c>
      <c r="I129" s="9">
        <v>324</v>
      </c>
      <c r="J129" s="9">
        <v>414</v>
      </c>
      <c r="K129" s="9">
        <v>162</v>
      </c>
      <c r="L129" s="9">
        <v>252</v>
      </c>
      <c r="M129" s="9">
        <v>82</v>
      </c>
      <c r="N129" s="9">
        <v>46</v>
      </c>
      <c r="O129" s="9">
        <v>35</v>
      </c>
      <c r="P129" s="9">
        <v>29</v>
      </c>
      <c r="Q129" s="9">
        <v>158</v>
      </c>
      <c r="R129" s="9">
        <v>46</v>
      </c>
      <c r="S129" s="9">
        <v>39</v>
      </c>
      <c r="T129" s="9">
        <v>28</v>
      </c>
      <c r="U129" s="9">
        <v>231</v>
      </c>
      <c r="V129" s="9">
        <v>108</v>
      </c>
      <c r="W129" s="9">
        <v>18</v>
      </c>
      <c r="X129" s="9">
        <v>63</v>
      </c>
      <c r="Y129" s="9">
        <v>0</v>
      </c>
      <c r="Z129" s="9">
        <v>18</v>
      </c>
      <c r="AA129" s="9">
        <v>63</v>
      </c>
      <c r="AB129" s="9">
        <v>0</v>
      </c>
      <c r="AC129" s="9">
        <v>27</v>
      </c>
      <c r="AD129" s="9">
        <v>18</v>
      </c>
      <c r="AE129" s="9">
        <v>27</v>
      </c>
      <c r="AF129" s="9">
        <v>9</v>
      </c>
      <c r="AG129" s="9">
        <v>45</v>
      </c>
      <c r="AH129" s="9">
        <v>18</v>
      </c>
      <c r="AI129" s="9">
        <v>9</v>
      </c>
      <c r="AJ129" s="9">
        <v>9</v>
      </c>
      <c r="AK129" s="9">
        <v>36</v>
      </c>
      <c r="AL129" s="9">
        <v>54</v>
      </c>
      <c r="AM129" s="9">
        <v>45</v>
      </c>
      <c r="AN129" s="9">
        <v>27</v>
      </c>
      <c r="AO129" s="9">
        <v>9</v>
      </c>
      <c r="AP129" s="9">
        <v>9</v>
      </c>
      <c r="AQ129" s="9">
        <v>9</v>
      </c>
      <c r="AR129" s="9">
        <v>63</v>
      </c>
      <c r="AS129" s="9">
        <v>27</v>
      </c>
      <c r="AT129" s="9">
        <v>45</v>
      </c>
      <c r="AU129" s="9">
        <v>36</v>
      </c>
      <c r="AV129" s="9">
        <v>9</v>
      </c>
      <c r="AW129" s="9">
        <v>36</v>
      </c>
      <c r="AX129" s="9">
        <v>27</v>
      </c>
      <c r="AY129" s="9">
        <v>36</v>
      </c>
      <c r="AZ129" s="9">
        <v>0</v>
      </c>
      <c r="BA129" s="10">
        <v>65.548000000000002</v>
      </c>
      <c r="BB129" s="11">
        <v>25020.73</v>
      </c>
      <c r="BC129" s="11">
        <v>20387.259999999998</v>
      </c>
      <c r="BD129" s="11">
        <v>11120.32</v>
      </c>
      <c r="BE129" s="11">
        <v>23167.34</v>
      </c>
      <c r="BF129" s="11">
        <v>12973.71</v>
      </c>
      <c r="BG129" s="11">
        <v>36000</v>
      </c>
      <c r="BH129" s="11">
        <v>15000</v>
      </c>
      <c r="BI129" s="11">
        <v>12578</v>
      </c>
      <c r="BJ129" s="11">
        <v>23522</v>
      </c>
      <c r="BK129" s="11">
        <v>41565</v>
      </c>
      <c r="BL129" s="11">
        <v>18624</v>
      </c>
      <c r="BM129" s="11">
        <v>12724</v>
      </c>
      <c r="BN129" s="11">
        <v>9545</v>
      </c>
      <c r="BO129" s="9">
        <v>106000</v>
      </c>
      <c r="BP129" s="9">
        <v>3141</v>
      </c>
    </row>
    <row r="130" spans="1:68" x14ac:dyDescent="0.3">
      <c r="A130" s="7">
        <v>45420</v>
      </c>
      <c r="B130" s="7" t="str">
        <f t="shared" ref="B130:B193" si="2">CHOOSE(C130,
"JANUARY",
"FEBRUARY",
"MARCH",
"APRIL",
"MAY",
"JUNE",
"JULY",
"AUGUST",
"SEPTEMBER",
"OCTOBER",
"NOVEMBER",
"DECEMBER")</f>
        <v>MAY</v>
      </c>
      <c r="C130" s="8">
        <f>MONTH(Data!$A130)</f>
        <v>5</v>
      </c>
      <c r="D130" s="9">
        <v>920</v>
      </c>
      <c r="E130" s="9">
        <v>869</v>
      </c>
      <c r="F130" s="9">
        <v>276</v>
      </c>
      <c r="G130" s="9">
        <v>571</v>
      </c>
      <c r="H130" s="9">
        <v>73</v>
      </c>
      <c r="I130" s="9">
        <v>217</v>
      </c>
      <c r="J130" s="9">
        <v>566</v>
      </c>
      <c r="K130" s="9">
        <v>86</v>
      </c>
      <c r="L130" s="9">
        <v>279</v>
      </c>
      <c r="M130" s="9">
        <v>142</v>
      </c>
      <c r="N130" s="9">
        <v>62</v>
      </c>
      <c r="O130" s="9">
        <v>57</v>
      </c>
      <c r="P130" s="9">
        <v>17</v>
      </c>
      <c r="Q130" s="9">
        <v>188</v>
      </c>
      <c r="R130" s="9">
        <v>41</v>
      </c>
      <c r="S130" s="9">
        <v>34</v>
      </c>
      <c r="T130" s="9">
        <v>34</v>
      </c>
      <c r="U130" s="9">
        <v>66</v>
      </c>
      <c r="V130" s="9">
        <v>43</v>
      </c>
      <c r="W130" s="9">
        <v>0</v>
      </c>
      <c r="X130" s="9">
        <v>34</v>
      </c>
      <c r="Y130" s="9">
        <v>8</v>
      </c>
      <c r="Z130" s="9">
        <v>130</v>
      </c>
      <c r="AA130" s="9">
        <v>60</v>
      </c>
      <c r="AB130" s="9">
        <v>8</v>
      </c>
      <c r="AC130" s="9">
        <v>17</v>
      </c>
      <c r="AD130" s="9">
        <v>52</v>
      </c>
      <c r="AE130" s="9">
        <v>17</v>
      </c>
      <c r="AF130" s="9">
        <v>0</v>
      </c>
      <c r="AG130" s="9">
        <v>8</v>
      </c>
      <c r="AH130" s="9">
        <v>26</v>
      </c>
      <c r="AI130" s="9">
        <v>0</v>
      </c>
      <c r="AJ130" s="9">
        <v>17</v>
      </c>
      <c r="AK130" s="9">
        <v>78</v>
      </c>
      <c r="AL130" s="9">
        <v>43</v>
      </c>
      <c r="AM130" s="9">
        <v>17</v>
      </c>
      <c r="AN130" s="9">
        <v>0</v>
      </c>
      <c r="AO130" s="9">
        <v>0</v>
      </c>
      <c r="AP130" s="9">
        <v>8</v>
      </c>
      <c r="AQ130" s="9">
        <v>17</v>
      </c>
      <c r="AR130" s="9">
        <v>86</v>
      </c>
      <c r="AS130" s="9">
        <v>8</v>
      </c>
      <c r="AT130" s="9">
        <v>34</v>
      </c>
      <c r="AU130" s="9">
        <v>26</v>
      </c>
      <c r="AV130" s="9">
        <v>0</v>
      </c>
      <c r="AW130" s="9">
        <v>60</v>
      </c>
      <c r="AX130" s="9">
        <v>8</v>
      </c>
      <c r="AY130" s="9">
        <v>0</v>
      </c>
      <c r="AZ130" s="9">
        <v>64</v>
      </c>
      <c r="BA130" s="10">
        <v>66.065999999999988</v>
      </c>
      <c r="BB130" s="11">
        <v>23410.1</v>
      </c>
      <c r="BC130" s="11">
        <v>21537.29</v>
      </c>
      <c r="BD130" s="11">
        <v>13109.65</v>
      </c>
      <c r="BE130" s="11">
        <v>12173.25</v>
      </c>
      <c r="BF130" s="11">
        <v>23410.1</v>
      </c>
      <c r="BG130" s="11">
        <v>36000</v>
      </c>
      <c r="BH130" s="11">
        <v>15000</v>
      </c>
      <c r="BI130" s="11">
        <v>12578</v>
      </c>
      <c r="BJ130" s="11">
        <v>23522</v>
      </c>
      <c r="BK130" s="11">
        <v>41565</v>
      </c>
      <c r="BL130" s="11">
        <v>18624</v>
      </c>
      <c r="BM130" s="11">
        <v>12724</v>
      </c>
      <c r="BN130" s="11">
        <v>9545</v>
      </c>
      <c r="BO130" s="9">
        <v>106000</v>
      </c>
      <c r="BP130" s="9">
        <v>3806</v>
      </c>
    </row>
    <row r="131" spans="1:68" x14ac:dyDescent="0.3">
      <c r="A131" s="7">
        <v>45421</v>
      </c>
      <c r="B131" s="7" t="str">
        <f t="shared" si="2"/>
        <v>MAY</v>
      </c>
      <c r="C131" s="8">
        <f>MONTH(Data!$A131)</f>
        <v>5</v>
      </c>
      <c r="D131" s="9">
        <v>900</v>
      </c>
      <c r="E131" s="9">
        <v>836</v>
      </c>
      <c r="F131" s="9">
        <v>333</v>
      </c>
      <c r="G131" s="9">
        <v>423</v>
      </c>
      <c r="H131" s="9">
        <v>144</v>
      </c>
      <c r="I131" s="9">
        <v>250</v>
      </c>
      <c r="J131" s="9">
        <v>503</v>
      </c>
      <c r="K131" s="9">
        <v>83</v>
      </c>
      <c r="L131" s="9">
        <v>195</v>
      </c>
      <c r="M131" s="9">
        <v>184</v>
      </c>
      <c r="N131" s="9">
        <v>50</v>
      </c>
      <c r="O131" s="9">
        <v>66</v>
      </c>
      <c r="P131" s="9">
        <v>22</v>
      </c>
      <c r="Q131" s="9">
        <v>116</v>
      </c>
      <c r="R131" s="9">
        <v>95</v>
      </c>
      <c r="S131" s="9">
        <v>41</v>
      </c>
      <c r="T131" s="9">
        <v>41</v>
      </c>
      <c r="U131" s="9">
        <v>90</v>
      </c>
      <c r="V131" s="9">
        <v>66</v>
      </c>
      <c r="W131" s="9">
        <v>0</v>
      </c>
      <c r="X131" s="9">
        <v>33</v>
      </c>
      <c r="Y131" s="9">
        <v>16</v>
      </c>
      <c r="Z131" s="9">
        <v>50</v>
      </c>
      <c r="AA131" s="9">
        <v>58</v>
      </c>
      <c r="AB131" s="9">
        <v>8</v>
      </c>
      <c r="AC131" s="9">
        <v>16</v>
      </c>
      <c r="AD131" s="9">
        <v>33</v>
      </c>
      <c r="AE131" s="9">
        <v>16</v>
      </c>
      <c r="AF131" s="9">
        <v>0</v>
      </c>
      <c r="AG131" s="9">
        <v>41</v>
      </c>
      <c r="AH131" s="9">
        <v>16</v>
      </c>
      <c r="AI131" s="9">
        <v>25</v>
      </c>
      <c r="AJ131" s="9">
        <v>0</v>
      </c>
      <c r="AK131" s="9">
        <v>50</v>
      </c>
      <c r="AL131" s="9">
        <v>41</v>
      </c>
      <c r="AM131" s="9">
        <v>25</v>
      </c>
      <c r="AN131" s="9">
        <v>16</v>
      </c>
      <c r="AO131" s="9">
        <v>8</v>
      </c>
      <c r="AP131" s="9">
        <v>33</v>
      </c>
      <c r="AQ131" s="9">
        <v>16</v>
      </c>
      <c r="AR131" s="9">
        <v>83</v>
      </c>
      <c r="AS131" s="9">
        <v>25</v>
      </c>
      <c r="AT131" s="9">
        <v>33</v>
      </c>
      <c r="AU131" s="9">
        <v>8</v>
      </c>
      <c r="AV131" s="9">
        <v>0</v>
      </c>
      <c r="AW131" s="9">
        <v>8</v>
      </c>
      <c r="AX131" s="9">
        <v>8</v>
      </c>
      <c r="AY131" s="9">
        <v>8</v>
      </c>
      <c r="AZ131" s="9">
        <v>96</v>
      </c>
      <c r="BA131" s="10">
        <v>66.149999999999991</v>
      </c>
      <c r="BB131" s="11">
        <v>24536.11</v>
      </c>
      <c r="BC131" s="11">
        <v>15099.14</v>
      </c>
      <c r="BD131" s="11">
        <v>19817.62</v>
      </c>
      <c r="BE131" s="11">
        <v>12268.05</v>
      </c>
      <c r="BF131" s="11">
        <v>22648.71</v>
      </c>
      <c r="BG131" s="11">
        <v>36000</v>
      </c>
      <c r="BH131" s="11">
        <v>15000</v>
      </c>
      <c r="BI131" s="11">
        <v>12578</v>
      </c>
      <c r="BJ131" s="11">
        <v>23522</v>
      </c>
      <c r="BK131" s="11">
        <v>41565</v>
      </c>
      <c r="BL131" s="11">
        <v>18624</v>
      </c>
      <c r="BM131" s="11">
        <v>12724</v>
      </c>
      <c r="BN131" s="11">
        <v>9545</v>
      </c>
      <c r="BO131" s="9">
        <v>106000</v>
      </c>
      <c r="BP131" s="9">
        <v>237</v>
      </c>
    </row>
    <row r="132" spans="1:68" x14ac:dyDescent="0.3">
      <c r="A132" s="7">
        <v>45422</v>
      </c>
      <c r="B132" s="7" t="str">
        <f t="shared" si="2"/>
        <v>MAY</v>
      </c>
      <c r="C132" s="8">
        <f>MONTH(Data!$A132)</f>
        <v>5</v>
      </c>
      <c r="D132" s="9">
        <v>886</v>
      </c>
      <c r="E132" s="9">
        <v>801</v>
      </c>
      <c r="F132" s="9">
        <v>336</v>
      </c>
      <c r="G132" s="9">
        <v>426</v>
      </c>
      <c r="H132" s="9">
        <v>124</v>
      </c>
      <c r="I132" s="9">
        <v>384</v>
      </c>
      <c r="J132" s="9">
        <v>369</v>
      </c>
      <c r="K132" s="9">
        <v>48</v>
      </c>
      <c r="L132" s="9">
        <v>154</v>
      </c>
      <c r="M132" s="9">
        <v>186</v>
      </c>
      <c r="N132" s="9">
        <v>82</v>
      </c>
      <c r="O132" s="9">
        <v>76</v>
      </c>
      <c r="P132" s="9">
        <v>54</v>
      </c>
      <c r="Q132" s="9">
        <v>171</v>
      </c>
      <c r="R132" s="9">
        <v>63</v>
      </c>
      <c r="S132" s="9">
        <v>50</v>
      </c>
      <c r="T132" s="9">
        <v>50</v>
      </c>
      <c r="U132" s="9">
        <v>0</v>
      </c>
      <c r="V132" s="9">
        <v>48</v>
      </c>
      <c r="W132" s="9">
        <v>24</v>
      </c>
      <c r="X132" s="9">
        <v>32</v>
      </c>
      <c r="Y132" s="9">
        <v>24</v>
      </c>
      <c r="Z132" s="9">
        <v>73</v>
      </c>
      <c r="AA132" s="9">
        <v>64</v>
      </c>
      <c r="AB132" s="9">
        <v>8</v>
      </c>
      <c r="AC132" s="9">
        <v>16</v>
      </c>
      <c r="AD132" s="9">
        <v>24</v>
      </c>
      <c r="AE132" s="9">
        <v>0</v>
      </c>
      <c r="AF132" s="9">
        <v>8</v>
      </c>
      <c r="AG132" s="9">
        <v>16</v>
      </c>
      <c r="AH132" s="9">
        <v>24</v>
      </c>
      <c r="AI132" s="9">
        <v>24</v>
      </c>
      <c r="AJ132" s="9">
        <v>8</v>
      </c>
      <c r="AK132" s="9">
        <v>72</v>
      </c>
      <c r="AL132" s="9">
        <v>8</v>
      </c>
      <c r="AM132" s="9">
        <v>8</v>
      </c>
      <c r="AN132" s="9">
        <v>24</v>
      </c>
      <c r="AO132" s="9">
        <v>8</v>
      </c>
      <c r="AP132" s="9">
        <v>8</v>
      </c>
      <c r="AQ132" s="9">
        <v>32</v>
      </c>
      <c r="AR132" s="9">
        <v>80</v>
      </c>
      <c r="AS132" s="9">
        <v>16</v>
      </c>
      <c r="AT132" s="9">
        <v>56</v>
      </c>
      <c r="AU132" s="9">
        <v>40</v>
      </c>
      <c r="AV132" s="9">
        <v>8</v>
      </c>
      <c r="AW132" s="9">
        <v>24</v>
      </c>
      <c r="AX132" s="9">
        <v>16</v>
      </c>
      <c r="AY132" s="9">
        <v>8</v>
      </c>
      <c r="AZ132" s="9">
        <v>0</v>
      </c>
      <c r="BA132" s="10">
        <v>66.058999999999997</v>
      </c>
      <c r="BB132" s="11">
        <v>30237.22</v>
      </c>
      <c r="BC132" s="11">
        <v>18898.259999999998</v>
      </c>
      <c r="BD132" s="11">
        <v>17008.439999999999</v>
      </c>
      <c r="BE132" s="11">
        <v>18898.259999999998</v>
      </c>
      <c r="BF132" s="11">
        <v>9449.1299999999992</v>
      </c>
      <c r="BG132" s="11">
        <v>36000</v>
      </c>
      <c r="BH132" s="11">
        <v>15000</v>
      </c>
      <c r="BI132" s="11">
        <v>12578</v>
      </c>
      <c r="BJ132" s="11">
        <v>23522</v>
      </c>
      <c r="BK132" s="11">
        <v>41565</v>
      </c>
      <c r="BL132" s="11">
        <v>18624</v>
      </c>
      <c r="BM132" s="11">
        <v>12724</v>
      </c>
      <c r="BN132" s="11">
        <v>9545</v>
      </c>
      <c r="BO132" s="9">
        <v>106000</v>
      </c>
      <c r="BP132" s="9">
        <v>1292</v>
      </c>
    </row>
    <row r="133" spans="1:68" x14ac:dyDescent="0.3">
      <c r="A133" s="7">
        <v>45423</v>
      </c>
      <c r="B133" s="7" t="str">
        <f t="shared" si="2"/>
        <v>MAY</v>
      </c>
      <c r="C133" s="8">
        <f>MONTH(Data!$A133)</f>
        <v>5</v>
      </c>
      <c r="D133" s="9">
        <v>883</v>
      </c>
      <c r="E133" s="9">
        <v>770</v>
      </c>
      <c r="F133" s="9">
        <v>317</v>
      </c>
      <c r="G133" s="9">
        <v>372</v>
      </c>
      <c r="H133" s="9">
        <v>194</v>
      </c>
      <c r="I133" s="9">
        <v>292</v>
      </c>
      <c r="J133" s="9">
        <v>440</v>
      </c>
      <c r="K133" s="9">
        <v>38</v>
      </c>
      <c r="L133" s="9">
        <v>262</v>
      </c>
      <c r="M133" s="9">
        <v>32</v>
      </c>
      <c r="N133" s="9">
        <v>49</v>
      </c>
      <c r="O133" s="9">
        <v>60</v>
      </c>
      <c r="P133" s="9">
        <v>43</v>
      </c>
      <c r="Q133" s="9">
        <v>164</v>
      </c>
      <c r="R133" s="9">
        <v>70</v>
      </c>
      <c r="S133" s="9">
        <v>23</v>
      </c>
      <c r="T133" s="9">
        <v>43</v>
      </c>
      <c r="U133" s="9">
        <v>137</v>
      </c>
      <c r="V133" s="9">
        <v>92</v>
      </c>
      <c r="W133" s="9">
        <v>7</v>
      </c>
      <c r="X133" s="9">
        <v>46</v>
      </c>
      <c r="Y133" s="9">
        <v>15</v>
      </c>
      <c r="Z133" s="9">
        <v>27</v>
      </c>
      <c r="AA133" s="9">
        <v>46</v>
      </c>
      <c r="AB133" s="9">
        <v>15</v>
      </c>
      <c r="AC133" s="9">
        <v>23</v>
      </c>
      <c r="AD133" s="9">
        <v>15</v>
      </c>
      <c r="AE133" s="9">
        <v>7</v>
      </c>
      <c r="AF133" s="9">
        <v>7</v>
      </c>
      <c r="AG133" s="9">
        <v>30</v>
      </c>
      <c r="AH133" s="9">
        <v>0</v>
      </c>
      <c r="AI133" s="9">
        <v>7</v>
      </c>
      <c r="AJ133" s="9">
        <v>0</v>
      </c>
      <c r="AK133" s="9">
        <v>69</v>
      </c>
      <c r="AL133" s="9">
        <v>46</v>
      </c>
      <c r="AM133" s="9">
        <v>30</v>
      </c>
      <c r="AN133" s="9">
        <v>15</v>
      </c>
      <c r="AO133" s="9">
        <v>7</v>
      </c>
      <c r="AP133" s="9">
        <v>23</v>
      </c>
      <c r="AQ133" s="9">
        <v>15</v>
      </c>
      <c r="AR133" s="9">
        <v>77</v>
      </c>
      <c r="AS133" s="9">
        <v>15</v>
      </c>
      <c r="AT133" s="9">
        <v>53</v>
      </c>
      <c r="AU133" s="9">
        <v>30</v>
      </c>
      <c r="AV133" s="9">
        <v>0</v>
      </c>
      <c r="AW133" s="9">
        <v>23</v>
      </c>
      <c r="AX133" s="9">
        <v>30</v>
      </c>
      <c r="AY133" s="9">
        <v>0</v>
      </c>
      <c r="AZ133" s="9">
        <v>0</v>
      </c>
      <c r="BA133" s="10">
        <v>65.128</v>
      </c>
      <c r="BB133" s="11">
        <v>30198.28</v>
      </c>
      <c r="BC133" s="11">
        <v>13211.75</v>
      </c>
      <c r="BD133" s="11">
        <v>18873.919999999998</v>
      </c>
      <c r="BE133" s="11">
        <v>9436.9599999999991</v>
      </c>
      <c r="BF133" s="11">
        <v>22648.71</v>
      </c>
      <c r="BG133" s="11">
        <v>36000</v>
      </c>
      <c r="BH133" s="11">
        <v>15000</v>
      </c>
      <c r="BI133" s="11">
        <v>12578</v>
      </c>
      <c r="BJ133" s="11">
        <v>23522</v>
      </c>
      <c r="BK133" s="11">
        <v>41565</v>
      </c>
      <c r="BL133" s="11">
        <v>18624</v>
      </c>
      <c r="BM133" s="11">
        <v>12724</v>
      </c>
      <c r="BN133" s="11">
        <v>9545</v>
      </c>
      <c r="BO133" s="9">
        <v>106000</v>
      </c>
      <c r="BP133" s="9">
        <v>2757</v>
      </c>
    </row>
    <row r="134" spans="1:68" x14ac:dyDescent="0.3">
      <c r="A134" s="7">
        <v>45424</v>
      </c>
      <c r="B134" s="7" t="str">
        <f t="shared" si="2"/>
        <v>MAY</v>
      </c>
      <c r="C134" s="8">
        <f>MONTH(Data!$A134)</f>
        <v>5</v>
      </c>
      <c r="D134" s="9">
        <v>882</v>
      </c>
      <c r="E134" s="9">
        <v>737</v>
      </c>
      <c r="F134" s="9">
        <v>379</v>
      </c>
      <c r="G134" s="9">
        <v>283</v>
      </c>
      <c r="H134" s="9">
        <v>220</v>
      </c>
      <c r="I134" s="9">
        <v>353</v>
      </c>
      <c r="J134" s="9">
        <v>244</v>
      </c>
      <c r="K134" s="9">
        <v>140</v>
      </c>
      <c r="L134" s="9">
        <v>235</v>
      </c>
      <c r="M134" s="9">
        <v>60</v>
      </c>
      <c r="N134" s="9">
        <v>82</v>
      </c>
      <c r="O134" s="9">
        <v>76</v>
      </c>
      <c r="P134" s="9">
        <v>43</v>
      </c>
      <c r="Q134" s="9">
        <v>134</v>
      </c>
      <c r="R134" s="9">
        <v>77</v>
      </c>
      <c r="S134" s="9">
        <v>43</v>
      </c>
      <c r="T134" s="9">
        <v>50</v>
      </c>
      <c r="U134" s="9">
        <v>82</v>
      </c>
      <c r="V134" s="9">
        <v>29</v>
      </c>
      <c r="W134" s="9">
        <v>0</v>
      </c>
      <c r="X134" s="9">
        <v>29</v>
      </c>
      <c r="Y134" s="9">
        <v>14</v>
      </c>
      <c r="Z134" s="9">
        <v>81</v>
      </c>
      <c r="AA134" s="9">
        <v>58</v>
      </c>
      <c r="AB134" s="9">
        <v>14</v>
      </c>
      <c r="AC134" s="9">
        <v>22</v>
      </c>
      <c r="AD134" s="9">
        <v>29</v>
      </c>
      <c r="AE134" s="9">
        <v>0</v>
      </c>
      <c r="AF134" s="9">
        <v>0</v>
      </c>
      <c r="AG134" s="9">
        <v>7</v>
      </c>
      <c r="AH134" s="9">
        <v>14</v>
      </c>
      <c r="AI134" s="9">
        <v>22</v>
      </c>
      <c r="AJ134" s="9">
        <v>7</v>
      </c>
      <c r="AK134" s="9">
        <v>51</v>
      </c>
      <c r="AL134" s="9">
        <v>36</v>
      </c>
      <c r="AM134" s="9">
        <v>29</v>
      </c>
      <c r="AN134" s="9">
        <v>0</v>
      </c>
      <c r="AO134" s="9">
        <v>7</v>
      </c>
      <c r="AP134" s="9">
        <v>7</v>
      </c>
      <c r="AQ134" s="9">
        <v>7</v>
      </c>
      <c r="AR134" s="9">
        <v>58</v>
      </c>
      <c r="AS134" s="9">
        <v>14</v>
      </c>
      <c r="AT134" s="9">
        <v>58</v>
      </c>
      <c r="AU134" s="9">
        <v>7</v>
      </c>
      <c r="AV134" s="9">
        <v>7</v>
      </c>
      <c r="AW134" s="9">
        <v>22</v>
      </c>
      <c r="AX134" s="9">
        <v>29</v>
      </c>
      <c r="AY134" s="9">
        <v>7</v>
      </c>
      <c r="AZ134" s="9">
        <v>72</v>
      </c>
      <c r="BA134" s="10">
        <v>63.595000000000006</v>
      </c>
      <c r="BB134" s="11">
        <v>31630.639999999999</v>
      </c>
      <c r="BC134" s="11">
        <v>15815.32</v>
      </c>
      <c r="BD134" s="11">
        <v>15815.32</v>
      </c>
      <c r="BE134" s="11">
        <v>13954.7</v>
      </c>
      <c r="BF134" s="11">
        <v>15815.32</v>
      </c>
      <c r="BG134" s="11">
        <v>36000</v>
      </c>
      <c r="BH134" s="11">
        <v>15000</v>
      </c>
      <c r="BI134" s="11">
        <v>12578</v>
      </c>
      <c r="BJ134" s="11">
        <v>23522</v>
      </c>
      <c r="BK134" s="11">
        <v>41565</v>
      </c>
      <c r="BL134" s="11">
        <v>18624</v>
      </c>
      <c r="BM134" s="11">
        <v>12724</v>
      </c>
      <c r="BN134" s="11">
        <v>9545</v>
      </c>
      <c r="BO134" s="9">
        <v>106000</v>
      </c>
      <c r="BP134" s="9">
        <v>7275</v>
      </c>
    </row>
    <row r="135" spans="1:68" x14ac:dyDescent="0.3">
      <c r="A135" s="7">
        <v>45425</v>
      </c>
      <c r="B135" s="7" t="str">
        <f t="shared" si="2"/>
        <v>MAY</v>
      </c>
      <c r="C135" s="8">
        <f>MONTH(Data!$A135)</f>
        <v>5</v>
      </c>
      <c r="D135" s="9">
        <v>886</v>
      </c>
      <c r="E135" s="9">
        <v>716</v>
      </c>
      <c r="F135" s="9">
        <v>283</v>
      </c>
      <c r="G135" s="9">
        <v>533</v>
      </c>
      <c r="H135" s="9">
        <v>70</v>
      </c>
      <c r="I135" s="9">
        <v>350</v>
      </c>
      <c r="J135" s="9">
        <v>316</v>
      </c>
      <c r="K135" s="9">
        <v>50</v>
      </c>
      <c r="L135" s="9">
        <v>192</v>
      </c>
      <c r="M135" s="9">
        <v>120</v>
      </c>
      <c r="N135" s="9">
        <v>43</v>
      </c>
      <c r="O135" s="9">
        <v>76</v>
      </c>
      <c r="P135" s="9">
        <v>49</v>
      </c>
      <c r="Q135" s="9">
        <v>164</v>
      </c>
      <c r="R135" s="9">
        <v>40</v>
      </c>
      <c r="S135" s="9">
        <v>50</v>
      </c>
      <c r="T135" s="9">
        <v>47</v>
      </c>
      <c r="U135" s="9">
        <v>105</v>
      </c>
      <c r="V135" s="9">
        <v>71</v>
      </c>
      <c r="W135" s="9">
        <v>21</v>
      </c>
      <c r="X135" s="9">
        <v>28</v>
      </c>
      <c r="Y135" s="9">
        <v>0</v>
      </c>
      <c r="Z135" s="9">
        <v>57</v>
      </c>
      <c r="AA135" s="9">
        <v>50</v>
      </c>
      <c r="AB135" s="9">
        <v>14</v>
      </c>
      <c r="AC135" s="9">
        <v>0</v>
      </c>
      <c r="AD135" s="9">
        <v>14</v>
      </c>
      <c r="AE135" s="9">
        <v>7</v>
      </c>
      <c r="AF135" s="9">
        <v>0</v>
      </c>
      <c r="AG135" s="9">
        <v>28</v>
      </c>
      <c r="AH135" s="9">
        <v>21</v>
      </c>
      <c r="AI135" s="9">
        <v>7</v>
      </c>
      <c r="AJ135" s="9">
        <v>21</v>
      </c>
      <c r="AK135" s="9">
        <v>64</v>
      </c>
      <c r="AL135" s="9">
        <v>28</v>
      </c>
      <c r="AM135" s="9">
        <v>7</v>
      </c>
      <c r="AN135" s="9">
        <v>14</v>
      </c>
      <c r="AO135" s="9">
        <v>7</v>
      </c>
      <c r="AP135" s="9">
        <v>21</v>
      </c>
      <c r="AQ135" s="9">
        <v>14</v>
      </c>
      <c r="AR135" s="9">
        <v>57</v>
      </c>
      <c r="AS135" s="9">
        <v>7</v>
      </c>
      <c r="AT135" s="9">
        <v>64</v>
      </c>
      <c r="AU135" s="9">
        <v>35</v>
      </c>
      <c r="AV135" s="9">
        <v>0</v>
      </c>
      <c r="AW135" s="9">
        <v>35</v>
      </c>
      <c r="AX135" s="9">
        <v>7</v>
      </c>
      <c r="AY135" s="9">
        <v>0</v>
      </c>
      <c r="AZ135" s="9">
        <v>17</v>
      </c>
      <c r="BA135" s="10">
        <v>61.39</v>
      </c>
      <c r="BB135" s="11">
        <v>29979</v>
      </c>
      <c r="BC135" s="11">
        <v>14535.27</v>
      </c>
      <c r="BD135" s="11">
        <v>18169.09</v>
      </c>
      <c r="BE135" s="11">
        <v>17260.63</v>
      </c>
      <c r="BF135" s="11">
        <v>10901.45</v>
      </c>
      <c r="BG135" s="11">
        <v>36000</v>
      </c>
      <c r="BH135" s="11">
        <v>15000</v>
      </c>
      <c r="BI135" s="11">
        <v>12578</v>
      </c>
      <c r="BJ135" s="11">
        <v>23522</v>
      </c>
      <c r="BK135" s="11">
        <v>41565</v>
      </c>
      <c r="BL135" s="11">
        <v>18624</v>
      </c>
      <c r="BM135" s="11">
        <v>12724</v>
      </c>
      <c r="BN135" s="11">
        <v>9545</v>
      </c>
      <c r="BO135" s="9">
        <v>106000</v>
      </c>
      <c r="BP135" s="9">
        <v>1646</v>
      </c>
    </row>
    <row r="136" spans="1:68" x14ac:dyDescent="0.3">
      <c r="A136" s="7">
        <v>45426</v>
      </c>
      <c r="B136" s="7" t="str">
        <f t="shared" si="2"/>
        <v>MAY</v>
      </c>
      <c r="C136" s="8">
        <f>MONTH(Data!$A136)</f>
        <v>5</v>
      </c>
      <c r="D136" s="9">
        <v>893</v>
      </c>
      <c r="E136" s="9">
        <v>694</v>
      </c>
      <c r="F136" s="9">
        <v>196</v>
      </c>
      <c r="G136" s="9">
        <v>537</v>
      </c>
      <c r="H136" s="9">
        <v>160</v>
      </c>
      <c r="I136" s="9">
        <v>173</v>
      </c>
      <c r="J136" s="9">
        <v>390</v>
      </c>
      <c r="K136" s="9">
        <v>131</v>
      </c>
      <c r="L136" s="9">
        <v>249</v>
      </c>
      <c r="M136" s="9">
        <v>188</v>
      </c>
      <c r="N136" s="9">
        <v>66</v>
      </c>
      <c r="O136" s="9">
        <v>33</v>
      </c>
      <c r="P136" s="9">
        <v>33</v>
      </c>
      <c r="Q136" s="9">
        <v>128</v>
      </c>
      <c r="R136" s="9">
        <v>27</v>
      </c>
      <c r="S136" s="9">
        <v>23</v>
      </c>
      <c r="T136" s="9">
        <v>30</v>
      </c>
      <c r="U136" s="9">
        <v>116</v>
      </c>
      <c r="V136" s="9">
        <v>62</v>
      </c>
      <c r="W136" s="9">
        <v>13</v>
      </c>
      <c r="X136" s="9">
        <v>20</v>
      </c>
      <c r="Y136" s="9">
        <v>13</v>
      </c>
      <c r="Z136" s="9">
        <v>48</v>
      </c>
      <c r="AA136" s="9">
        <v>62</v>
      </c>
      <c r="AB136" s="9">
        <v>6</v>
      </c>
      <c r="AC136" s="9">
        <v>0</v>
      </c>
      <c r="AD136" s="9">
        <v>20</v>
      </c>
      <c r="AE136" s="9">
        <v>0</v>
      </c>
      <c r="AF136" s="9">
        <v>6</v>
      </c>
      <c r="AG136" s="9">
        <v>34</v>
      </c>
      <c r="AH136" s="9">
        <v>0</v>
      </c>
      <c r="AI136" s="9">
        <v>13</v>
      </c>
      <c r="AJ136" s="9">
        <v>13</v>
      </c>
      <c r="AK136" s="9">
        <v>27</v>
      </c>
      <c r="AL136" s="9">
        <v>41</v>
      </c>
      <c r="AM136" s="9">
        <v>13</v>
      </c>
      <c r="AN136" s="9">
        <v>20</v>
      </c>
      <c r="AO136" s="9">
        <v>0</v>
      </c>
      <c r="AP136" s="9">
        <v>27</v>
      </c>
      <c r="AQ136" s="9">
        <v>13</v>
      </c>
      <c r="AR136" s="9">
        <v>48</v>
      </c>
      <c r="AS136" s="9">
        <v>6</v>
      </c>
      <c r="AT136" s="9">
        <v>34</v>
      </c>
      <c r="AU136" s="9">
        <v>20</v>
      </c>
      <c r="AV136" s="9">
        <v>6</v>
      </c>
      <c r="AW136" s="9">
        <v>13</v>
      </c>
      <c r="AX136" s="9">
        <v>13</v>
      </c>
      <c r="AY136" s="9">
        <v>27</v>
      </c>
      <c r="AZ136" s="9">
        <v>76</v>
      </c>
      <c r="BA136" s="10">
        <v>59.374000000000002</v>
      </c>
      <c r="BB136" s="11">
        <v>30694.28</v>
      </c>
      <c r="BC136" s="11">
        <v>18416.57</v>
      </c>
      <c r="BD136" s="11">
        <v>10523.75</v>
      </c>
      <c r="BE136" s="11">
        <v>7015.84</v>
      </c>
      <c r="BF136" s="11">
        <v>21047.51</v>
      </c>
      <c r="BG136" s="11">
        <v>36000</v>
      </c>
      <c r="BH136" s="11">
        <v>15000</v>
      </c>
      <c r="BI136" s="11">
        <v>12578</v>
      </c>
      <c r="BJ136" s="11">
        <v>23522</v>
      </c>
      <c r="BK136" s="11">
        <v>41565</v>
      </c>
      <c r="BL136" s="11">
        <v>18624</v>
      </c>
      <c r="BM136" s="11">
        <v>12724</v>
      </c>
      <c r="BN136" s="11">
        <v>9545</v>
      </c>
      <c r="BO136" s="9">
        <v>106000</v>
      </c>
      <c r="BP136" s="9">
        <v>2343</v>
      </c>
    </row>
    <row r="137" spans="1:68" x14ac:dyDescent="0.3">
      <c r="A137" s="7">
        <v>45427</v>
      </c>
      <c r="B137" s="7" t="str">
        <f t="shared" si="2"/>
        <v>MAY</v>
      </c>
      <c r="C137" s="8">
        <f>MONTH(Data!$A137)</f>
        <v>5</v>
      </c>
      <c r="D137" s="9">
        <v>903</v>
      </c>
      <c r="E137" s="9">
        <v>675</v>
      </c>
      <c r="F137" s="9">
        <v>261</v>
      </c>
      <c r="G137" s="9">
        <v>534</v>
      </c>
      <c r="H137" s="9">
        <v>108</v>
      </c>
      <c r="I137" s="9">
        <v>317</v>
      </c>
      <c r="J137" s="9">
        <v>196</v>
      </c>
      <c r="K137" s="9">
        <v>162</v>
      </c>
      <c r="L137" s="9">
        <v>229</v>
      </c>
      <c r="M137" s="9">
        <v>89</v>
      </c>
      <c r="N137" s="9">
        <v>50</v>
      </c>
      <c r="O137" s="9">
        <v>78</v>
      </c>
      <c r="P137" s="9">
        <v>39</v>
      </c>
      <c r="Q137" s="9">
        <v>116</v>
      </c>
      <c r="R137" s="9">
        <v>58</v>
      </c>
      <c r="S137" s="9">
        <v>51</v>
      </c>
      <c r="T137" s="9">
        <v>24</v>
      </c>
      <c r="U137" s="9">
        <v>169</v>
      </c>
      <c r="V137" s="9">
        <v>87</v>
      </c>
      <c r="W137" s="9">
        <v>13</v>
      </c>
      <c r="X137" s="9">
        <v>33</v>
      </c>
      <c r="Y137" s="9">
        <v>6</v>
      </c>
      <c r="Z137" s="9">
        <v>33</v>
      </c>
      <c r="AA137" s="9">
        <v>54</v>
      </c>
      <c r="AB137" s="9">
        <v>20</v>
      </c>
      <c r="AC137" s="9">
        <v>20</v>
      </c>
      <c r="AD137" s="9">
        <v>33</v>
      </c>
      <c r="AE137" s="9">
        <v>6</v>
      </c>
      <c r="AF137" s="9">
        <v>0</v>
      </c>
      <c r="AG137" s="9">
        <v>33</v>
      </c>
      <c r="AH137" s="9">
        <v>20</v>
      </c>
      <c r="AI137" s="9">
        <v>13</v>
      </c>
      <c r="AJ137" s="9">
        <v>0</v>
      </c>
      <c r="AK137" s="9">
        <v>33</v>
      </c>
      <c r="AL137" s="9">
        <v>6</v>
      </c>
      <c r="AM137" s="9">
        <v>27</v>
      </c>
      <c r="AN137" s="9">
        <v>13</v>
      </c>
      <c r="AO137" s="9">
        <v>6</v>
      </c>
      <c r="AP137" s="9">
        <v>27</v>
      </c>
      <c r="AQ137" s="9">
        <v>13</v>
      </c>
      <c r="AR137" s="9">
        <v>74</v>
      </c>
      <c r="AS137" s="9">
        <v>13</v>
      </c>
      <c r="AT137" s="9">
        <v>20</v>
      </c>
      <c r="AU137" s="9">
        <v>33</v>
      </c>
      <c r="AV137" s="9">
        <v>0</v>
      </c>
      <c r="AW137" s="9">
        <v>33</v>
      </c>
      <c r="AX137" s="9">
        <v>6</v>
      </c>
      <c r="AY137" s="9">
        <v>0</v>
      </c>
      <c r="AZ137" s="9">
        <v>0</v>
      </c>
      <c r="BA137" s="10">
        <v>57.434999999999988</v>
      </c>
      <c r="BB137" s="11">
        <v>23745.71</v>
      </c>
      <c r="BC137" s="11">
        <v>15265.1</v>
      </c>
      <c r="BD137" s="11">
        <v>14417.04</v>
      </c>
      <c r="BE137" s="11">
        <v>7632.55</v>
      </c>
      <c r="BF137" s="11">
        <v>23745.71</v>
      </c>
      <c r="BG137" s="11">
        <v>32500</v>
      </c>
      <c r="BH137" s="11">
        <v>15000</v>
      </c>
      <c r="BI137" s="11">
        <v>12578</v>
      </c>
      <c r="BJ137" s="11">
        <v>22807</v>
      </c>
      <c r="BK137" s="11">
        <v>41565</v>
      </c>
      <c r="BL137" s="11">
        <v>18624</v>
      </c>
      <c r="BM137" s="11">
        <v>12724</v>
      </c>
      <c r="BN137" s="11">
        <v>9545</v>
      </c>
      <c r="BO137" s="9">
        <v>106000</v>
      </c>
      <c r="BP137" s="9">
        <v>6116</v>
      </c>
    </row>
    <row r="138" spans="1:68" x14ac:dyDescent="0.3">
      <c r="A138" s="7">
        <v>45428</v>
      </c>
      <c r="B138" s="7" t="str">
        <f t="shared" si="2"/>
        <v>MAY</v>
      </c>
      <c r="C138" s="8">
        <f>MONTH(Data!$A138)</f>
        <v>5</v>
      </c>
      <c r="D138" s="9">
        <v>917</v>
      </c>
      <c r="E138" s="9">
        <v>663</v>
      </c>
      <c r="F138" s="9">
        <v>458</v>
      </c>
      <c r="G138" s="9">
        <v>331</v>
      </c>
      <c r="H138" s="9">
        <v>128</v>
      </c>
      <c r="I138" s="9">
        <v>232</v>
      </c>
      <c r="J138" s="9">
        <v>272</v>
      </c>
      <c r="K138" s="9">
        <v>159</v>
      </c>
      <c r="L138" s="9">
        <v>216</v>
      </c>
      <c r="M138" s="9">
        <v>125</v>
      </c>
      <c r="N138" s="9">
        <v>85</v>
      </c>
      <c r="O138" s="9">
        <v>34</v>
      </c>
      <c r="P138" s="9">
        <v>56</v>
      </c>
      <c r="Q138" s="9">
        <v>146</v>
      </c>
      <c r="R138" s="9">
        <v>66</v>
      </c>
      <c r="S138" s="9">
        <v>34</v>
      </c>
      <c r="T138" s="9">
        <v>27</v>
      </c>
      <c r="U138" s="9">
        <v>128</v>
      </c>
      <c r="V138" s="9">
        <v>72</v>
      </c>
      <c r="W138" s="9">
        <v>13</v>
      </c>
      <c r="X138" s="9">
        <v>19</v>
      </c>
      <c r="Y138" s="9">
        <v>19</v>
      </c>
      <c r="Z138" s="9">
        <v>4</v>
      </c>
      <c r="AA138" s="9">
        <v>59</v>
      </c>
      <c r="AB138" s="9">
        <v>13</v>
      </c>
      <c r="AC138" s="9">
        <v>6</v>
      </c>
      <c r="AD138" s="9">
        <v>13</v>
      </c>
      <c r="AE138" s="9">
        <v>19</v>
      </c>
      <c r="AF138" s="9">
        <v>6</v>
      </c>
      <c r="AG138" s="9">
        <v>13</v>
      </c>
      <c r="AH138" s="9">
        <v>19</v>
      </c>
      <c r="AI138" s="9">
        <v>19</v>
      </c>
      <c r="AJ138" s="9">
        <v>19</v>
      </c>
      <c r="AK138" s="9">
        <v>26</v>
      </c>
      <c r="AL138" s="9">
        <v>46</v>
      </c>
      <c r="AM138" s="9">
        <v>6</v>
      </c>
      <c r="AN138" s="9">
        <v>6</v>
      </c>
      <c r="AO138" s="9">
        <v>6</v>
      </c>
      <c r="AP138" s="9">
        <v>19</v>
      </c>
      <c r="AQ138" s="9">
        <v>6</v>
      </c>
      <c r="AR138" s="9">
        <v>66</v>
      </c>
      <c r="AS138" s="9">
        <v>19</v>
      </c>
      <c r="AT138" s="9">
        <v>46</v>
      </c>
      <c r="AU138" s="9">
        <v>6</v>
      </c>
      <c r="AV138" s="9">
        <v>0</v>
      </c>
      <c r="AW138" s="9">
        <v>46</v>
      </c>
      <c r="AX138" s="9">
        <v>26</v>
      </c>
      <c r="AY138" s="9">
        <v>26</v>
      </c>
      <c r="AZ138" s="9">
        <v>0</v>
      </c>
      <c r="BA138" s="10">
        <v>56.518000000000001</v>
      </c>
      <c r="BB138" s="11">
        <v>22152.71</v>
      </c>
      <c r="BC138" s="11">
        <v>16409.41</v>
      </c>
      <c r="BD138" s="11">
        <v>9845.65</v>
      </c>
      <c r="BE138" s="11">
        <v>9845.65</v>
      </c>
      <c r="BF138" s="11">
        <v>23793.65</v>
      </c>
      <c r="BG138" s="11">
        <v>32500</v>
      </c>
      <c r="BH138" s="11">
        <v>15000</v>
      </c>
      <c r="BI138" s="11">
        <v>10445</v>
      </c>
      <c r="BJ138" s="11">
        <v>22807</v>
      </c>
      <c r="BK138" s="11">
        <v>41565</v>
      </c>
      <c r="BL138" s="11">
        <v>18624</v>
      </c>
      <c r="BM138" s="11">
        <v>12724</v>
      </c>
      <c r="BN138" s="11">
        <v>9545</v>
      </c>
      <c r="BO138" s="9">
        <v>106000</v>
      </c>
      <c r="BP138" s="9">
        <v>2910</v>
      </c>
    </row>
    <row r="139" spans="1:68" x14ac:dyDescent="0.3">
      <c r="A139" s="7">
        <v>45429</v>
      </c>
      <c r="B139" s="7" t="str">
        <f t="shared" si="2"/>
        <v>MAY</v>
      </c>
      <c r="C139" s="8">
        <f>MONTH(Data!$A139)</f>
        <v>5</v>
      </c>
      <c r="D139" s="9">
        <v>937</v>
      </c>
      <c r="E139" s="9">
        <v>653</v>
      </c>
      <c r="F139" s="9">
        <v>309</v>
      </c>
      <c r="G139" s="9">
        <v>413</v>
      </c>
      <c r="H139" s="9">
        <v>215</v>
      </c>
      <c r="I139" s="9">
        <v>287</v>
      </c>
      <c r="J139" s="9">
        <v>275</v>
      </c>
      <c r="K139" s="9">
        <v>91</v>
      </c>
      <c r="L139" s="9">
        <v>249</v>
      </c>
      <c r="M139" s="9">
        <v>52</v>
      </c>
      <c r="N139" s="9">
        <v>58</v>
      </c>
      <c r="O139" s="9">
        <v>40</v>
      </c>
      <c r="P139" s="9">
        <v>46</v>
      </c>
      <c r="Q139" s="9">
        <v>170</v>
      </c>
      <c r="R139" s="9">
        <v>28</v>
      </c>
      <c r="S139" s="9">
        <v>42</v>
      </c>
      <c r="T139" s="9">
        <v>28</v>
      </c>
      <c r="U139" s="9">
        <v>224</v>
      </c>
      <c r="V139" s="9">
        <v>32</v>
      </c>
      <c r="W139" s="9">
        <v>13</v>
      </c>
      <c r="X139" s="9">
        <v>19</v>
      </c>
      <c r="Y139" s="9">
        <v>19</v>
      </c>
      <c r="Z139" s="9">
        <v>52</v>
      </c>
      <c r="AA139" s="9">
        <v>52</v>
      </c>
      <c r="AB139" s="9">
        <v>0</v>
      </c>
      <c r="AC139" s="9">
        <v>0</v>
      </c>
      <c r="AD139" s="9">
        <v>19</v>
      </c>
      <c r="AE139" s="9">
        <v>19</v>
      </c>
      <c r="AF139" s="9">
        <v>6</v>
      </c>
      <c r="AG139" s="9">
        <v>6</v>
      </c>
      <c r="AH139" s="9">
        <v>0</v>
      </c>
      <c r="AI139" s="9">
        <v>19</v>
      </c>
      <c r="AJ139" s="9">
        <v>0</v>
      </c>
      <c r="AK139" s="9">
        <v>39</v>
      </c>
      <c r="AL139" s="9">
        <v>32</v>
      </c>
      <c r="AM139" s="9">
        <v>19</v>
      </c>
      <c r="AN139" s="9">
        <v>19</v>
      </c>
      <c r="AO139" s="9">
        <v>6</v>
      </c>
      <c r="AP139" s="9">
        <v>13</v>
      </c>
      <c r="AQ139" s="9">
        <v>6</v>
      </c>
      <c r="AR139" s="9">
        <v>65</v>
      </c>
      <c r="AS139" s="9">
        <v>13</v>
      </c>
      <c r="AT139" s="9">
        <v>45</v>
      </c>
      <c r="AU139" s="9">
        <v>32</v>
      </c>
      <c r="AV139" s="9">
        <v>0</v>
      </c>
      <c r="AW139" s="9">
        <v>45</v>
      </c>
      <c r="AX139" s="9">
        <v>0</v>
      </c>
      <c r="AY139" s="9">
        <v>0</v>
      </c>
      <c r="AZ139" s="9">
        <v>63</v>
      </c>
      <c r="BA139" s="10">
        <v>56.189</v>
      </c>
      <c r="BB139" s="11">
        <v>28256.639999999999</v>
      </c>
      <c r="BC139" s="11">
        <v>11302.66</v>
      </c>
      <c r="BD139" s="11">
        <v>18568.650000000001</v>
      </c>
      <c r="BE139" s="11">
        <v>19375.98</v>
      </c>
      <c r="BF139" s="11">
        <v>3229.33</v>
      </c>
      <c r="BG139" s="11">
        <v>32500</v>
      </c>
      <c r="BH139" s="11">
        <v>15000</v>
      </c>
      <c r="BI139" s="11">
        <v>10445</v>
      </c>
      <c r="BJ139" s="11">
        <v>22807</v>
      </c>
      <c r="BK139" s="11">
        <v>41565</v>
      </c>
      <c r="BL139" s="11">
        <v>18624</v>
      </c>
      <c r="BM139" s="11">
        <v>12724</v>
      </c>
      <c r="BN139" s="11">
        <v>9545</v>
      </c>
      <c r="BO139" s="9">
        <v>106000</v>
      </c>
      <c r="BP139" s="9">
        <v>4818</v>
      </c>
    </row>
    <row r="140" spans="1:68" x14ac:dyDescent="0.3">
      <c r="A140" s="7">
        <v>45430</v>
      </c>
      <c r="B140" s="7" t="str">
        <f t="shared" si="2"/>
        <v>MAY</v>
      </c>
      <c r="C140" s="8">
        <f>MONTH(Data!$A140)</f>
        <v>5</v>
      </c>
      <c r="D140" s="9">
        <v>957</v>
      </c>
      <c r="E140" s="9">
        <v>649</v>
      </c>
      <c r="F140" s="9">
        <v>191</v>
      </c>
      <c r="G140" s="9">
        <v>575</v>
      </c>
      <c r="H140" s="9">
        <v>191</v>
      </c>
      <c r="I140" s="9">
        <v>227</v>
      </c>
      <c r="J140" s="9">
        <v>299</v>
      </c>
      <c r="K140" s="9">
        <v>123</v>
      </c>
      <c r="L140" s="9">
        <v>290</v>
      </c>
      <c r="M140" s="9">
        <v>106</v>
      </c>
      <c r="N140" s="9">
        <v>53</v>
      </c>
      <c r="O140" s="9">
        <v>77</v>
      </c>
      <c r="P140" s="9">
        <v>59</v>
      </c>
      <c r="Q140" s="9">
        <v>200</v>
      </c>
      <c r="R140" s="9">
        <v>69</v>
      </c>
      <c r="S140" s="9">
        <v>25</v>
      </c>
      <c r="T140" s="9">
        <v>29</v>
      </c>
      <c r="U140" s="9">
        <v>49</v>
      </c>
      <c r="V140" s="9">
        <v>58</v>
      </c>
      <c r="W140" s="9">
        <v>0</v>
      </c>
      <c r="X140" s="9">
        <v>32</v>
      </c>
      <c r="Y140" s="9">
        <v>19</v>
      </c>
      <c r="Z140" s="9">
        <v>64</v>
      </c>
      <c r="AA140" s="9">
        <v>45</v>
      </c>
      <c r="AB140" s="9">
        <v>19</v>
      </c>
      <c r="AC140" s="9">
        <v>19</v>
      </c>
      <c r="AD140" s="9">
        <v>19</v>
      </c>
      <c r="AE140" s="9">
        <v>19</v>
      </c>
      <c r="AF140" s="9">
        <v>0</v>
      </c>
      <c r="AG140" s="9">
        <v>25</v>
      </c>
      <c r="AH140" s="9">
        <v>12</v>
      </c>
      <c r="AI140" s="9">
        <v>6</v>
      </c>
      <c r="AJ140" s="9">
        <v>0</v>
      </c>
      <c r="AK140" s="9">
        <v>64</v>
      </c>
      <c r="AL140" s="9">
        <v>38</v>
      </c>
      <c r="AM140" s="9">
        <v>25</v>
      </c>
      <c r="AN140" s="9">
        <v>19</v>
      </c>
      <c r="AO140" s="9">
        <v>6</v>
      </c>
      <c r="AP140" s="9">
        <v>19</v>
      </c>
      <c r="AQ140" s="9">
        <v>6</v>
      </c>
      <c r="AR140" s="9">
        <v>45</v>
      </c>
      <c r="AS140" s="9">
        <v>12</v>
      </c>
      <c r="AT140" s="9">
        <v>25</v>
      </c>
      <c r="AU140" s="9">
        <v>12</v>
      </c>
      <c r="AV140" s="9">
        <v>0</v>
      </c>
      <c r="AW140" s="9">
        <v>6</v>
      </c>
      <c r="AX140" s="9">
        <v>0</v>
      </c>
      <c r="AY140" s="9">
        <v>19</v>
      </c>
      <c r="AZ140" s="9">
        <v>16</v>
      </c>
      <c r="BA140" s="10">
        <v>56.258999999999993</v>
      </c>
      <c r="BB140" s="11">
        <v>22471.83</v>
      </c>
      <c r="BC140" s="11">
        <v>17656.439999999999</v>
      </c>
      <c r="BD140" s="11">
        <v>11235.91</v>
      </c>
      <c r="BE140" s="11">
        <v>14446.18</v>
      </c>
      <c r="BF140" s="11">
        <v>14446.18</v>
      </c>
      <c r="BG140" s="11">
        <v>32500</v>
      </c>
      <c r="BH140" s="11">
        <v>15000</v>
      </c>
      <c r="BI140" s="11">
        <v>10445</v>
      </c>
      <c r="BJ140" s="11">
        <v>22807</v>
      </c>
      <c r="BK140" s="11">
        <v>41565</v>
      </c>
      <c r="BL140" s="11">
        <v>18624</v>
      </c>
      <c r="BM140" s="11">
        <v>12724</v>
      </c>
      <c r="BN140" s="11">
        <v>9545</v>
      </c>
      <c r="BO140" s="9">
        <v>106000</v>
      </c>
      <c r="BP140" s="9">
        <v>6654</v>
      </c>
    </row>
    <row r="141" spans="1:68" x14ac:dyDescent="0.3">
      <c r="A141" s="7">
        <v>45431</v>
      </c>
      <c r="B141" s="7" t="str">
        <f t="shared" si="2"/>
        <v>MAY</v>
      </c>
      <c r="C141" s="8">
        <f>MONTH(Data!$A141)</f>
        <v>5</v>
      </c>
      <c r="D141" s="9">
        <v>982</v>
      </c>
      <c r="E141" s="9">
        <v>645</v>
      </c>
      <c r="F141" s="9">
        <v>314</v>
      </c>
      <c r="G141" s="9">
        <v>600</v>
      </c>
      <c r="H141" s="9">
        <v>68</v>
      </c>
      <c r="I141" s="9">
        <v>187</v>
      </c>
      <c r="J141" s="9">
        <v>368</v>
      </c>
      <c r="K141" s="9">
        <v>90</v>
      </c>
      <c r="L141" s="9">
        <v>243</v>
      </c>
      <c r="M141" s="9">
        <v>115</v>
      </c>
      <c r="N141" s="9">
        <v>85</v>
      </c>
      <c r="O141" s="9">
        <v>60</v>
      </c>
      <c r="P141" s="9">
        <v>30</v>
      </c>
      <c r="Q141" s="9">
        <v>160</v>
      </c>
      <c r="R141" s="9">
        <v>55</v>
      </c>
      <c r="S141" s="9">
        <v>55</v>
      </c>
      <c r="T141" s="9">
        <v>52</v>
      </c>
      <c r="U141" s="9">
        <v>127</v>
      </c>
      <c r="V141" s="9">
        <v>32</v>
      </c>
      <c r="W141" s="9">
        <v>0</v>
      </c>
      <c r="X141" s="9">
        <v>45</v>
      </c>
      <c r="Y141" s="9">
        <v>6</v>
      </c>
      <c r="Z141" s="9">
        <v>103</v>
      </c>
      <c r="AA141" s="9">
        <v>32</v>
      </c>
      <c r="AB141" s="9">
        <v>19</v>
      </c>
      <c r="AC141" s="9">
        <v>0</v>
      </c>
      <c r="AD141" s="9">
        <v>19</v>
      </c>
      <c r="AE141" s="9">
        <v>12</v>
      </c>
      <c r="AF141" s="9">
        <v>0</v>
      </c>
      <c r="AG141" s="9">
        <v>19</v>
      </c>
      <c r="AH141" s="9">
        <v>0</v>
      </c>
      <c r="AI141" s="9">
        <v>6</v>
      </c>
      <c r="AJ141" s="9">
        <v>19</v>
      </c>
      <c r="AK141" s="9">
        <v>38</v>
      </c>
      <c r="AL141" s="9">
        <v>25</v>
      </c>
      <c r="AM141" s="9">
        <v>6</v>
      </c>
      <c r="AN141" s="9">
        <v>12</v>
      </c>
      <c r="AO141" s="9">
        <v>6</v>
      </c>
      <c r="AP141" s="9">
        <v>12</v>
      </c>
      <c r="AQ141" s="9">
        <v>6</v>
      </c>
      <c r="AR141" s="9">
        <v>51</v>
      </c>
      <c r="AS141" s="9">
        <v>12</v>
      </c>
      <c r="AT141" s="9">
        <v>51</v>
      </c>
      <c r="AU141" s="9">
        <v>6</v>
      </c>
      <c r="AV141" s="9">
        <v>6</v>
      </c>
      <c r="AW141" s="9">
        <v>19</v>
      </c>
      <c r="AX141" s="9">
        <v>0</v>
      </c>
      <c r="AY141" s="9">
        <v>6</v>
      </c>
      <c r="AZ141" s="9">
        <v>77</v>
      </c>
      <c r="BA141" s="10">
        <v>56.67199999999999</v>
      </c>
      <c r="BB141" s="11">
        <v>20093.91</v>
      </c>
      <c r="BC141" s="11">
        <v>19290.150000000001</v>
      </c>
      <c r="BD141" s="11">
        <v>15271.37</v>
      </c>
      <c r="BE141" s="11">
        <v>17682.64</v>
      </c>
      <c r="BF141" s="11">
        <v>8037.56</v>
      </c>
      <c r="BG141" s="11">
        <v>32500</v>
      </c>
      <c r="BH141" s="11">
        <v>15000</v>
      </c>
      <c r="BI141" s="11">
        <v>10445</v>
      </c>
      <c r="BJ141" s="11">
        <v>22807</v>
      </c>
      <c r="BK141" s="11">
        <v>41565</v>
      </c>
      <c r="BL141" s="11">
        <v>18624</v>
      </c>
      <c r="BM141" s="11">
        <v>12724</v>
      </c>
      <c r="BN141" s="11">
        <v>9545</v>
      </c>
      <c r="BO141" s="9">
        <v>106000</v>
      </c>
      <c r="BP141" s="9">
        <v>2045</v>
      </c>
    </row>
    <row r="142" spans="1:68" x14ac:dyDescent="0.3">
      <c r="A142" s="7">
        <v>45432</v>
      </c>
      <c r="B142" s="7" t="str">
        <f t="shared" si="2"/>
        <v>MAY</v>
      </c>
      <c r="C142" s="8">
        <f>MONTH(Data!$A142)</f>
        <v>5</v>
      </c>
      <c r="D142" s="9">
        <v>1007</v>
      </c>
      <c r="E142" s="9">
        <v>648</v>
      </c>
      <c r="F142" s="9">
        <v>281</v>
      </c>
      <c r="G142" s="9">
        <v>485</v>
      </c>
      <c r="H142" s="9">
        <v>241</v>
      </c>
      <c r="I142" s="9">
        <v>174</v>
      </c>
      <c r="J142" s="9">
        <v>319</v>
      </c>
      <c r="K142" s="9">
        <v>155</v>
      </c>
      <c r="L142" s="9">
        <v>268</v>
      </c>
      <c r="M142" s="9">
        <v>81</v>
      </c>
      <c r="N142" s="9">
        <v>49</v>
      </c>
      <c r="O142" s="9">
        <v>31</v>
      </c>
      <c r="P142" s="9">
        <v>24</v>
      </c>
      <c r="Q142" s="9">
        <v>172</v>
      </c>
      <c r="R142" s="9">
        <v>49</v>
      </c>
      <c r="S142" s="9">
        <v>34</v>
      </c>
      <c r="T142" s="9">
        <v>34</v>
      </c>
      <c r="U142" s="9">
        <v>265</v>
      </c>
      <c r="V142" s="9">
        <v>90</v>
      </c>
      <c r="W142" s="9">
        <v>19</v>
      </c>
      <c r="X142" s="9">
        <v>25</v>
      </c>
      <c r="Y142" s="9">
        <v>19</v>
      </c>
      <c r="Z142" s="9">
        <v>24</v>
      </c>
      <c r="AA142" s="9">
        <v>58</v>
      </c>
      <c r="AB142" s="9">
        <v>12</v>
      </c>
      <c r="AC142" s="9">
        <v>6</v>
      </c>
      <c r="AD142" s="9">
        <v>32</v>
      </c>
      <c r="AE142" s="9">
        <v>6</v>
      </c>
      <c r="AF142" s="9">
        <v>0</v>
      </c>
      <c r="AG142" s="9">
        <v>12</v>
      </c>
      <c r="AH142" s="9">
        <v>19</v>
      </c>
      <c r="AI142" s="9">
        <v>12</v>
      </c>
      <c r="AJ142" s="9">
        <v>6</v>
      </c>
      <c r="AK142" s="9">
        <v>45</v>
      </c>
      <c r="AL142" s="9">
        <v>25</v>
      </c>
      <c r="AM142" s="9">
        <v>32</v>
      </c>
      <c r="AN142" s="9">
        <v>6</v>
      </c>
      <c r="AO142" s="9">
        <v>0</v>
      </c>
      <c r="AP142" s="9">
        <v>12</v>
      </c>
      <c r="AQ142" s="9">
        <v>12</v>
      </c>
      <c r="AR142" s="9">
        <v>51</v>
      </c>
      <c r="AS142" s="9">
        <v>12</v>
      </c>
      <c r="AT142" s="9">
        <v>25</v>
      </c>
      <c r="AU142" s="9">
        <v>19</v>
      </c>
      <c r="AV142" s="9">
        <v>0</v>
      </c>
      <c r="AW142" s="9">
        <v>32</v>
      </c>
      <c r="AX142" s="9">
        <v>12</v>
      </c>
      <c r="AY142" s="9">
        <v>25</v>
      </c>
      <c r="AZ142" s="9">
        <v>0</v>
      </c>
      <c r="BA142" s="10">
        <v>57.26</v>
      </c>
      <c r="BB142" s="11">
        <v>20242.8</v>
      </c>
      <c r="BC142" s="11">
        <v>20242.8</v>
      </c>
      <c r="BD142" s="11">
        <v>15384.53</v>
      </c>
      <c r="BE142" s="11">
        <v>10526.26</v>
      </c>
      <c r="BF142" s="11">
        <v>14574.81</v>
      </c>
      <c r="BG142" s="11">
        <v>32500</v>
      </c>
      <c r="BH142" s="11">
        <v>15000</v>
      </c>
      <c r="BI142" s="11">
        <v>10445</v>
      </c>
      <c r="BJ142" s="11">
        <v>22807</v>
      </c>
      <c r="BK142" s="11">
        <v>41565</v>
      </c>
      <c r="BL142" s="11">
        <v>18624</v>
      </c>
      <c r="BM142" s="11">
        <v>12724</v>
      </c>
      <c r="BN142" s="11">
        <v>9545</v>
      </c>
      <c r="BO142" s="9">
        <v>106000</v>
      </c>
      <c r="BP142" s="9">
        <v>1796</v>
      </c>
    </row>
    <row r="143" spans="1:68" x14ac:dyDescent="0.3">
      <c r="A143" s="7">
        <v>45433</v>
      </c>
      <c r="B143" s="7" t="str">
        <f t="shared" si="2"/>
        <v>MAY</v>
      </c>
      <c r="C143" s="8">
        <f>MONTH(Data!$A143)</f>
        <v>5</v>
      </c>
      <c r="D143" s="9">
        <v>1032</v>
      </c>
      <c r="E143" s="9">
        <v>652</v>
      </c>
      <c r="F143" s="9">
        <v>361</v>
      </c>
      <c r="G143" s="9">
        <v>537</v>
      </c>
      <c r="H143" s="9">
        <v>134</v>
      </c>
      <c r="I143" s="9">
        <v>345</v>
      </c>
      <c r="J143" s="9">
        <v>171</v>
      </c>
      <c r="K143" s="9">
        <v>136</v>
      </c>
      <c r="L143" s="9">
        <v>266</v>
      </c>
      <c r="M143" s="9">
        <v>217</v>
      </c>
      <c r="N143" s="9">
        <v>89</v>
      </c>
      <c r="O143" s="9">
        <v>76</v>
      </c>
      <c r="P143" s="9">
        <v>57</v>
      </c>
      <c r="Q143" s="9">
        <v>211</v>
      </c>
      <c r="R143" s="9">
        <v>27</v>
      </c>
      <c r="S143" s="9">
        <v>31</v>
      </c>
      <c r="T143" s="9">
        <v>58</v>
      </c>
      <c r="U143" s="9">
        <v>0</v>
      </c>
      <c r="V143" s="9">
        <v>52</v>
      </c>
      <c r="W143" s="9">
        <v>6</v>
      </c>
      <c r="X143" s="9">
        <v>19</v>
      </c>
      <c r="Y143" s="9">
        <v>19</v>
      </c>
      <c r="Z143" s="9">
        <v>71</v>
      </c>
      <c r="AA143" s="9">
        <v>32</v>
      </c>
      <c r="AB143" s="9">
        <v>6</v>
      </c>
      <c r="AC143" s="9">
        <v>0</v>
      </c>
      <c r="AD143" s="9">
        <v>13</v>
      </c>
      <c r="AE143" s="9">
        <v>0</v>
      </c>
      <c r="AF143" s="9">
        <v>6</v>
      </c>
      <c r="AG143" s="9">
        <v>32</v>
      </c>
      <c r="AH143" s="9">
        <v>0</v>
      </c>
      <c r="AI143" s="9">
        <v>19</v>
      </c>
      <c r="AJ143" s="9">
        <v>6</v>
      </c>
      <c r="AK143" s="9">
        <v>52</v>
      </c>
      <c r="AL143" s="9">
        <v>26</v>
      </c>
      <c r="AM143" s="9">
        <v>19</v>
      </c>
      <c r="AN143" s="9">
        <v>0</v>
      </c>
      <c r="AO143" s="9">
        <v>0</v>
      </c>
      <c r="AP143" s="9">
        <v>19</v>
      </c>
      <c r="AQ143" s="9">
        <v>13</v>
      </c>
      <c r="AR143" s="9">
        <v>52</v>
      </c>
      <c r="AS143" s="9">
        <v>6</v>
      </c>
      <c r="AT143" s="9">
        <v>26</v>
      </c>
      <c r="AU143" s="9">
        <v>26</v>
      </c>
      <c r="AV143" s="9">
        <v>6</v>
      </c>
      <c r="AW143" s="9">
        <v>26</v>
      </c>
      <c r="AX143" s="9">
        <v>26</v>
      </c>
      <c r="AY143" s="9">
        <v>26</v>
      </c>
      <c r="AZ143" s="9">
        <v>48</v>
      </c>
      <c r="BA143" s="10">
        <v>58.267999999999994</v>
      </c>
      <c r="BB143" s="11">
        <v>27813.97</v>
      </c>
      <c r="BC143" s="11">
        <v>12270.87</v>
      </c>
      <c r="BD143" s="11">
        <v>9816.69</v>
      </c>
      <c r="BE143" s="11">
        <v>11452.81</v>
      </c>
      <c r="BF143" s="11">
        <v>20451.45</v>
      </c>
      <c r="BG143" s="11">
        <v>32500</v>
      </c>
      <c r="BH143" s="11">
        <v>15000</v>
      </c>
      <c r="BI143" s="11">
        <v>10445</v>
      </c>
      <c r="BJ143" s="11">
        <v>22807</v>
      </c>
      <c r="BK143" s="11">
        <v>41565</v>
      </c>
      <c r="BL143" s="11">
        <v>18624</v>
      </c>
      <c r="BM143" s="11">
        <v>12724</v>
      </c>
      <c r="BN143" s="11">
        <v>9545</v>
      </c>
      <c r="BO143" s="9">
        <v>106000</v>
      </c>
      <c r="BP143" s="9">
        <v>4643</v>
      </c>
    </row>
    <row r="144" spans="1:68" x14ac:dyDescent="0.3">
      <c r="A144" s="7">
        <v>45434</v>
      </c>
      <c r="B144" s="7" t="str">
        <f t="shared" si="2"/>
        <v>MAY</v>
      </c>
      <c r="C144" s="8">
        <f>MONTH(Data!$A144)</f>
        <v>5</v>
      </c>
      <c r="D144" s="9">
        <v>1058</v>
      </c>
      <c r="E144" s="9">
        <v>665</v>
      </c>
      <c r="F144" s="9">
        <v>476</v>
      </c>
      <c r="G144" s="9">
        <v>318</v>
      </c>
      <c r="H144" s="9">
        <v>264</v>
      </c>
      <c r="I144" s="9">
        <v>246</v>
      </c>
      <c r="J144" s="9">
        <v>366</v>
      </c>
      <c r="K144" s="9">
        <v>53</v>
      </c>
      <c r="L144" s="9">
        <v>275</v>
      </c>
      <c r="M144" s="9">
        <v>229</v>
      </c>
      <c r="N144" s="9">
        <v>52</v>
      </c>
      <c r="O144" s="9">
        <v>78</v>
      </c>
      <c r="P144" s="9">
        <v>26</v>
      </c>
      <c r="Q144" s="9">
        <v>192</v>
      </c>
      <c r="R144" s="9">
        <v>100</v>
      </c>
      <c r="S144" s="9">
        <v>40</v>
      </c>
      <c r="T144" s="9">
        <v>20</v>
      </c>
      <c r="U144" s="9">
        <v>46</v>
      </c>
      <c r="V144" s="9">
        <v>59</v>
      </c>
      <c r="W144" s="9">
        <v>0</v>
      </c>
      <c r="X144" s="9">
        <v>39</v>
      </c>
      <c r="Y144" s="9">
        <v>6</v>
      </c>
      <c r="Z144" s="9">
        <v>59</v>
      </c>
      <c r="AA144" s="9">
        <v>59</v>
      </c>
      <c r="AB144" s="9">
        <v>19</v>
      </c>
      <c r="AC144" s="9">
        <v>13</v>
      </c>
      <c r="AD144" s="9">
        <v>39</v>
      </c>
      <c r="AE144" s="9">
        <v>0</v>
      </c>
      <c r="AF144" s="9">
        <v>6</v>
      </c>
      <c r="AG144" s="9">
        <v>26</v>
      </c>
      <c r="AH144" s="9">
        <v>19</v>
      </c>
      <c r="AI144" s="9">
        <v>6</v>
      </c>
      <c r="AJ144" s="9">
        <v>13</v>
      </c>
      <c r="AK144" s="9">
        <v>59</v>
      </c>
      <c r="AL144" s="9">
        <v>13</v>
      </c>
      <c r="AM144" s="9">
        <v>19</v>
      </c>
      <c r="AN144" s="9">
        <v>6</v>
      </c>
      <c r="AO144" s="9">
        <v>6</v>
      </c>
      <c r="AP144" s="9">
        <v>26</v>
      </c>
      <c r="AQ144" s="9">
        <v>6</v>
      </c>
      <c r="AR144" s="9">
        <v>46</v>
      </c>
      <c r="AS144" s="9">
        <v>19</v>
      </c>
      <c r="AT144" s="9">
        <v>39</v>
      </c>
      <c r="AU144" s="9">
        <v>6</v>
      </c>
      <c r="AV144" s="9">
        <v>0</v>
      </c>
      <c r="AW144" s="9">
        <v>19</v>
      </c>
      <c r="AX144" s="9">
        <v>19</v>
      </c>
      <c r="AY144" s="9">
        <v>6</v>
      </c>
      <c r="AZ144" s="9">
        <v>13</v>
      </c>
      <c r="BA144" s="10">
        <v>59.521000000000001</v>
      </c>
      <c r="BB144" s="11">
        <v>26636.3</v>
      </c>
      <c r="BC144" s="11">
        <v>14150.53</v>
      </c>
      <c r="BD144" s="11">
        <v>10821</v>
      </c>
      <c r="BE144" s="11">
        <v>13318.15</v>
      </c>
      <c r="BF144" s="11">
        <v>18312.45</v>
      </c>
      <c r="BG144" s="11">
        <v>32500</v>
      </c>
      <c r="BH144" s="11">
        <v>15000</v>
      </c>
      <c r="BI144" s="11">
        <v>10445</v>
      </c>
      <c r="BJ144" s="11">
        <v>22807</v>
      </c>
      <c r="BK144" s="11">
        <v>41565</v>
      </c>
      <c r="BL144" s="11">
        <v>18624</v>
      </c>
      <c r="BM144" s="11">
        <v>12724</v>
      </c>
      <c r="BN144" s="11">
        <v>9545</v>
      </c>
      <c r="BO144" s="9">
        <v>106000</v>
      </c>
      <c r="BP144" s="9">
        <v>4422</v>
      </c>
    </row>
    <row r="145" spans="1:68" x14ac:dyDescent="0.3">
      <c r="A145" s="7">
        <v>45435</v>
      </c>
      <c r="B145" s="7" t="str">
        <f t="shared" si="2"/>
        <v>MAY</v>
      </c>
      <c r="C145" s="8">
        <f>MONTH(Data!$A145)</f>
        <v>5</v>
      </c>
      <c r="D145" s="9">
        <v>1080</v>
      </c>
      <c r="E145" s="9">
        <v>678</v>
      </c>
      <c r="F145" s="9">
        <v>518</v>
      </c>
      <c r="G145" s="9">
        <v>411</v>
      </c>
      <c r="H145" s="9">
        <v>151</v>
      </c>
      <c r="I145" s="9">
        <v>176</v>
      </c>
      <c r="J145" s="9">
        <v>469</v>
      </c>
      <c r="K145" s="9">
        <v>33</v>
      </c>
      <c r="L145" s="9">
        <v>261</v>
      </c>
      <c r="M145" s="9">
        <v>120</v>
      </c>
      <c r="N145" s="9">
        <v>73</v>
      </c>
      <c r="O145" s="9">
        <v>73</v>
      </c>
      <c r="P145" s="9">
        <v>20</v>
      </c>
      <c r="Q145" s="9">
        <v>139</v>
      </c>
      <c r="R145" s="9">
        <v>41</v>
      </c>
      <c r="S145" s="9">
        <v>36</v>
      </c>
      <c r="T145" s="9">
        <v>53</v>
      </c>
      <c r="U145" s="9">
        <v>264</v>
      </c>
      <c r="V145" s="9">
        <v>33</v>
      </c>
      <c r="W145" s="9">
        <v>0</v>
      </c>
      <c r="X145" s="9">
        <v>20</v>
      </c>
      <c r="Y145" s="9">
        <v>6</v>
      </c>
      <c r="Z145" s="9">
        <v>61</v>
      </c>
      <c r="AA145" s="9">
        <v>54</v>
      </c>
      <c r="AB145" s="9">
        <v>0</v>
      </c>
      <c r="AC145" s="9">
        <v>0</v>
      </c>
      <c r="AD145" s="9">
        <v>40</v>
      </c>
      <c r="AE145" s="9">
        <v>20</v>
      </c>
      <c r="AF145" s="9">
        <v>6</v>
      </c>
      <c r="AG145" s="9">
        <v>6</v>
      </c>
      <c r="AH145" s="9">
        <v>6</v>
      </c>
      <c r="AI145" s="9">
        <v>0</v>
      </c>
      <c r="AJ145" s="9">
        <v>6</v>
      </c>
      <c r="AK145" s="9">
        <v>33</v>
      </c>
      <c r="AL145" s="9">
        <v>13</v>
      </c>
      <c r="AM145" s="9">
        <v>6</v>
      </c>
      <c r="AN145" s="9">
        <v>20</v>
      </c>
      <c r="AO145" s="9">
        <v>6</v>
      </c>
      <c r="AP145" s="9">
        <v>13</v>
      </c>
      <c r="AQ145" s="9">
        <v>20</v>
      </c>
      <c r="AR145" s="9">
        <v>47</v>
      </c>
      <c r="AS145" s="9">
        <v>6</v>
      </c>
      <c r="AT145" s="9">
        <v>20</v>
      </c>
      <c r="AU145" s="9">
        <v>13</v>
      </c>
      <c r="AV145" s="9">
        <v>6</v>
      </c>
      <c r="AW145" s="9">
        <v>40</v>
      </c>
      <c r="AX145" s="9">
        <v>27</v>
      </c>
      <c r="AY145" s="9">
        <v>6</v>
      </c>
      <c r="AZ145" s="9">
        <v>144</v>
      </c>
      <c r="BA145" s="10">
        <v>61.039999999999992</v>
      </c>
      <c r="BB145" s="11">
        <v>27210.639999999999</v>
      </c>
      <c r="BC145" s="11">
        <v>16156.32</v>
      </c>
      <c r="BD145" s="11">
        <v>21258.31</v>
      </c>
      <c r="BE145" s="11">
        <v>11054.32</v>
      </c>
      <c r="BF145" s="11">
        <v>9353.66</v>
      </c>
      <c r="BG145" s="11">
        <v>32500</v>
      </c>
      <c r="BH145" s="11">
        <v>15000</v>
      </c>
      <c r="BI145" s="11">
        <v>10445</v>
      </c>
      <c r="BJ145" s="11">
        <v>22807</v>
      </c>
      <c r="BK145" s="11">
        <v>41565</v>
      </c>
      <c r="BL145" s="11">
        <v>18624</v>
      </c>
      <c r="BM145" s="11">
        <v>12724</v>
      </c>
      <c r="BN145" s="11">
        <v>9545</v>
      </c>
      <c r="BO145" s="9">
        <v>106000</v>
      </c>
      <c r="BP145" s="9">
        <v>1630</v>
      </c>
    </row>
    <row r="146" spans="1:68" x14ac:dyDescent="0.3">
      <c r="A146" s="7">
        <v>45436</v>
      </c>
      <c r="B146" s="7" t="str">
        <f t="shared" si="2"/>
        <v>MAY</v>
      </c>
      <c r="C146" s="8">
        <f>MONTH(Data!$A146)</f>
        <v>5</v>
      </c>
      <c r="D146" s="9">
        <v>1101</v>
      </c>
      <c r="E146" s="9">
        <v>696</v>
      </c>
      <c r="F146" s="9">
        <v>275</v>
      </c>
      <c r="G146" s="9">
        <v>661</v>
      </c>
      <c r="H146" s="9">
        <v>165</v>
      </c>
      <c r="I146" s="9">
        <v>215</v>
      </c>
      <c r="J146" s="9">
        <v>433</v>
      </c>
      <c r="K146" s="9">
        <v>48</v>
      </c>
      <c r="L146" s="9">
        <v>368</v>
      </c>
      <c r="M146" s="9">
        <v>102</v>
      </c>
      <c r="N146" s="9">
        <v>54</v>
      </c>
      <c r="O146" s="9">
        <v>40</v>
      </c>
      <c r="P146" s="9">
        <v>61</v>
      </c>
      <c r="Q146" s="9">
        <v>146</v>
      </c>
      <c r="R146" s="9">
        <v>104</v>
      </c>
      <c r="S146" s="9">
        <v>62</v>
      </c>
      <c r="T146" s="9">
        <v>20</v>
      </c>
      <c r="U146" s="9">
        <v>144</v>
      </c>
      <c r="V146" s="9">
        <v>27</v>
      </c>
      <c r="W146" s="9">
        <v>0</v>
      </c>
      <c r="X146" s="9">
        <v>48</v>
      </c>
      <c r="Y146" s="9">
        <v>6</v>
      </c>
      <c r="Z146" s="9">
        <v>69</v>
      </c>
      <c r="AA146" s="9">
        <v>55</v>
      </c>
      <c r="AB146" s="9">
        <v>20</v>
      </c>
      <c r="AC146" s="9">
        <v>13</v>
      </c>
      <c r="AD146" s="9">
        <v>20</v>
      </c>
      <c r="AE146" s="9">
        <v>20</v>
      </c>
      <c r="AF146" s="9">
        <v>0</v>
      </c>
      <c r="AG146" s="9">
        <v>34</v>
      </c>
      <c r="AH146" s="9">
        <v>20</v>
      </c>
      <c r="AI146" s="9">
        <v>0</v>
      </c>
      <c r="AJ146" s="9">
        <v>20</v>
      </c>
      <c r="AK146" s="9">
        <v>34</v>
      </c>
      <c r="AL146" s="9">
        <v>13</v>
      </c>
      <c r="AM146" s="9">
        <v>13</v>
      </c>
      <c r="AN146" s="9">
        <v>6</v>
      </c>
      <c r="AO146" s="9">
        <v>0</v>
      </c>
      <c r="AP146" s="9">
        <v>6</v>
      </c>
      <c r="AQ146" s="9">
        <v>13</v>
      </c>
      <c r="AR146" s="9">
        <v>48</v>
      </c>
      <c r="AS146" s="9">
        <v>6</v>
      </c>
      <c r="AT146" s="9">
        <v>41</v>
      </c>
      <c r="AU146" s="9">
        <v>27</v>
      </c>
      <c r="AV146" s="9">
        <v>6</v>
      </c>
      <c r="AW146" s="9">
        <v>20</v>
      </c>
      <c r="AX146" s="9">
        <v>13</v>
      </c>
      <c r="AY146" s="9">
        <v>6</v>
      </c>
      <c r="AZ146" s="9">
        <v>92</v>
      </c>
      <c r="BA146" s="10">
        <v>63.307999999999993</v>
      </c>
      <c r="BB146" s="11">
        <v>25285.97</v>
      </c>
      <c r="BC146" s="11">
        <v>18310.53</v>
      </c>
      <c r="BD146" s="11">
        <v>16566.669999999998</v>
      </c>
      <c r="BE146" s="11">
        <v>18310.53</v>
      </c>
      <c r="BF146" s="11">
        <v>8719.2999999999993</v>
      </c>
      <c r="BG146" s="11">
        <v>32500</v>
      </c>
      <c r="BH146" s="11">
        <v>15000</v>
      </c>
      <c r="BI146" s="11">
        <v>10445</v>
      </c>
      <c r="BJ146" s="11">
        <v>17748</v>
      </c>
      <c r="BK146" s="11">
        <v>41565</v>
      </c>
      <c r="BL146" s="11">
        <v>18624</v>
      </c>
      <c r="BM146" s="11">
        <v>12724</v>
      </c>
      <c r="BN146" s="11">
        <v>9545</v>
      </c>
      <c r="BO146" s="9">
        <v>106000</v>
      </c>
      <c r="BP146" s="9">
        <v>5885</v>
      </c>
    </row>
    <row r="147" spans="1:68" x14ac:dyDescent="0.3">
      <c r="A147" s="7">
        <v>45437</v>
      </c>
      <c r="B147" s="7" t="str">
        <f t="shared" si="2"/>
        <v>MAY</v>
      </c>
      <c r="C147" s="8">
        <f>MONTH(Data!$A147)</f>
        <v>5</v>
      </c>
      <c r="D147" s="9">
        <v>1115</v>
      </c>
      <c r="E147" s="9">
        <v>725</v>
      </c>
      <c r="F147" s="9">
        <v>579</v>
      </c>
      <c r="G147" s="9">
        <v>369</v>
      </c>
      <c r="H147" s="9">
        <v>167</v>
      </c>
      <c r="I147" s="9">
        <v>319</v>
      </c>
      <c r="J147" s="9">
        <v>232</v>
      </c>
      <c r="K147" s="9">
        <v>174</v>
      </c>
      <c r="L147" s="9">
        <v>212</v>
      </c>
      <c r="M147" s="9">
        <v>235</v>
      </c>
      <c r="N147" s="9">
        <v>103</v>
      </c>
      <c r="O147" s="9">
        <v>89</v>
      </c>
      <c r="P147" s="9">
        <v>41</v>
      </c>
      <c r="Q147" s="9">
        <v>199</v>
      </c>
      <c r="R147" s="9">
        <v>144</v>
      </c>
      <c r="S147" s="9">
        <v>29</v>
      </c>
      <c r="T147" s="9">
        <v>63</v>
      </c>
      <c r="U147" s="9">
        <v>0</v>
      </c>
      <c r="V147" s="9">
        <v>58</v>
      </c>
      <c r="W147" s="9">
        <v>21</v>
      </c>
      <c r="X147" s="9">
        <v>43</v>
      </c>
      <c r="Y147" s="9">
        <v>14</v>
      </c>
      <c r="Z147" s="9">
        <v>26</v>
      </c>
      <c r="AA147" s="9">
        <v>50</v>
      </c>
      <c r="AB147" s="9">
        <v>7</v>
      </c>
      <c r="AC147" s="9">
        <v>21</v>
      </c>
      <c r="AD147" s="9">
        <v>36</v>
      </c>
      <c r="AE147" s="9">
        <v>0</v>
      </c>
      <c r="AF147" s="9">
        <v>0</v>
      </c>
      <c r="AG147" s="9">
        <v>36</v>
      </c>
      <c r="AH147" s="9">
        <v>21</v>
      </c>
      <c r="AI147" s="9">
        <v>7</v>
      </c>
      <c r="AJ147" s="9">
        <v>21</v>
      </c>
      <c r="AK147" s="9">
        <v>29</v>
      </c>
      <c r="AL147" s="9">
        <v>14</v>
      </c>
      <c r="AM147" s="9">
        <v>36</v>
      </c>
      <c r="AN147" s="9">
        <v>21</v>
      </c>
      <c r="AO147" s="9">
        <v>0</v>
      </c>
      <c r="AP147" s="9">
        <v>29</v>
      </c>
      <c r="AQ147" s="9">
        <v>21</v>
      </c>
      <c r="AR147" s="9">
        <v>72</v>
      </c>
      <c r="AS147" s="9">
        <v>21</v>
      </c>
      <c r="AT147" s="9">
        <v>58</v>
      </c>
      <c r="AU147" s="9">
        <v>7</v>
      </c>
      <c r="AV147" s="9">
        <v>7</v>
      </c>
      <c r="AW147" s="9">
        <v>21</v>
      </c>
      <c r="AX147" s="9">
        <v>7</v>
      </c>
      <c r="AY147" s="9">
        <v>21</v>
      </c>
      <c r="AZ147" s="9">
        <v>0</v>
      </c>
      <c r="BA147" s="10">
        <v>65.52000000000001</v>
      </c>
      <c r="BB147" s="11">
        <v>30750.66</v>
      </c>
      <c r="BC147" s="11">
        <v>18993.05</v>
      </c>
      <c r="BD147" s="11">
        <v>13566.47</v>
      </c>
      <c r="BE147" s="11">
        <v>18088.62</v>
      </c>
      <c r="BF147" s="11">
        <v>9044.31</v>
      </c>
      <c r="BG147" s="11">
        <v>32500</v>
      </c>
      <c r="BH147" s="11">
        <v>15000</v>
      </c>
      <c r="BI147" s="11">
        <v>10445</v>
      </c>
      <c r="BJ147" s="11">
        <v>17748</v>
      </c>
      <c r="BK147" s="11">
        <v>41565</v>
      </c>
      <c r="BL147" s="11">
        <v>18624</v>
      </c>
      <c r="BM147" s="11">
        <v>12724</v>
      </c>
      <c r="BN147" s="11">
        <v>9545</v>
      </c>
      <c r="BO147" s="9">
        <v>106000</v>
      </c>
      <c r="BP147" s="9">
        <v>912</v>
      </c>
    </row>
    <row r="148" spans="1:68" x14ac:dyDescent="0.3">
      <c r="A148" s="7">
        <v>45438</v>
      </c>
      <c r="B148" s="7" t="str">
        <f t="shared" si="2"/>
        <v>MAY</v>
      </c>
      <c r="C148" s="8">
        <f>MONTH(Data!$A148)</f>
        <v>5</v>
      </c>
      <c r="D148" s="9">
        <v>1127</v>
      </c>
      <c r="E148" s="9">
        <v>753</v>
      </c>
      <c r="F148" s="9">
        <v>439</v>
      </c>
      <c r="G148" s="9">
        <v>621</v>
      </c>
      <c r="H148" s="9">
        <v>67</v>
      </c>
      <c r="I148" s="9">
        <v>293</v>
      </c>
      <c r="J148" s="9">
        <v>385</v>
      </c>
      <c r="K148" s="9">
        <v>75</v>
      </c>
      <c r="L148" s="9">
        <v>332</v>
      </c>
      <c r="M148" s="9">
        <v>167</v>
      </c>
      <c r="N148" s="9">
        <v>97</v>
      </c>
      <c r="O148" s="9">
        <v>90</v>
      </c>
      <c r="P148" s="9">
        <v>41</v>
      </c>
      <c r="Q148" s="9">
        <v>192</v>
      </c>
      <c r="R148" s="9">
        <v>98</v>
      </c>
      <c r="S148" s="9">
        <v>51</v>
      </c>
      <c r="T148" s="9">
        <v>59</v>
      </c>
      <c r="U148" s="9">
        <v>0</v>
      </c>
      <c r="V148" s="9">
        <v>90</v>
      </c>
      <c r="W148" s="9">
        <v>22</v>
      </c>
      <c r="X148" s="9">
        <v>22</v>
      </c>
      <c r="Y148" s="9">
        <v>22</v>
      </c>
      <c r="Z148" s="9">
        <v>67</v>
      </c>
      <c r="AA148" s="9">
        <v>45</v>
      </c>
      <c r="AB148" s="9">
        <v>0</v>
      </c>
      <c r="AC148" s="9">
        <v>7</v>
      </c>
      <c r="AD148" s="9">
        <v>15</v>
      </c>
      <c r="AE148" s="9">
        <v>22</v>
      </c>
      <c r="AF148" s="9">
        <v>0</v>
      </c>
      <c r="AG148" s="9">
        <v>7</v>
      </c>
      <c r="AH148" s="9">
        <v>15</v>
      </c>
      <c r="AI148" s="9">
        <v>15</v>
      </c>
      <c r="AJ148" s="9">
        <v>15</v>
      </c>
      <c r="AK148" s="9">
        <v>30</v>
      </c>
      <c r="AL148" s="9">
        <v>15</v>
      </c>
      <c r="AM148" s="9">
        <v>37</v>
      </c>
      <c r="AN148" s="9">
        <v>0</v>
      </c>
      <c r="AO148" s="9">
        <v>7</v>
      </c>
      <c r="AP148" s="9">
        <v>7</v>
      </c>
      <c r="AQ148" s="9">
        <v>15</v>
      </c>
      <c r="AR148" s="9">
        <v>75</v>
      </c>
      <c r="AS148" s="9">
        <v>22</v>
      </c>
      <c r="AT148" s="9">
        <v>60</v>
      </c>
      <c r="AU148" s="9">
        <v>22</v>
      </c>
      <c r="AV148" s="9">
        <v>7</v>
      </c>
      <c r="AW148" s="9">
        <v>7</v>
      </c>
      <c r="AX148" s="9">
        <v>30</v>
      </c>
      <c r="AY148" s="9">
        <v>15</v>
      </c>
      <c r="AZ148" s="9">
        <v>40</v>
      </c>
      <c r="BA148" s="10">
        <v>67.710999999999999</v>
      </c>
      <c r="BB148" s="11">
        <v>29948.03</v>
      </c>
      <c r="BC148" s="11">
        <v>12166.39</v>
      </c>
      <c r="BD148" s="11">
        <v>21525.14</v>
      </c>
      <c r="BE148" s="11">
        <v>16845.759999999998</v>
      </c>
      <c r="BF148" s="11">
        <v>13102.26</v>
      </c>
      <c r="BG148" s="11">
        <v>32500</v>
      </c>
      <c r="BH148" s="11">
        <v>15000</v>
      </c>
      <c r="BI148" s="11">
        <v>10445</v>
      </c>
      <c r="BJ148" s="11">
        <v>17748</v>
      </c>
      <c r="BK148" s="11">
        <v>41565</v>
      </c>
      <c r="BL148" s="11">
        <v>18624</v>
      </c>
      <c r="BM148" s="11">
        <v>12724</v>
      </c>
      <c r="BN148" s="11">
        <v>9545</v>
      </c>
      <c r="BO148" s="9">
        <v>106000</v>
      </c>
      <c r="BP148" s="9">
        <v>1520</v>
      </c>
    </row>
    <row r="149" spans="1:68" x14ac:dyDescent="0.3">
      <c r="A149" s="7">
        <v>45439</v>
      </c>
      <c r="B149" s="7" t="str">
        <f t="shared" si="2"/>
        <v>MAY</v>
      </c>
      <c r="C149" s="8">
        <f>MONTH(Data!$A149)</f>
        <v>5</v>
      </c>
      <c r="D149" s="9">
        <v>1134</v>
      </c>
      <c r="E149" s="9">
        <v>785</v>
      </c>
      <c r="F149" s="9">
        <v>351</v>
      </c>
      <c r="G149" s="9">
        <v>545</v>
      </c>
      <c r="H149" s="9">
        <v>238</v>
      </c>
      <c r="I149" s="9">
        <v>251</v>
      </c>
      <c r="J149" s="9">
        <v>354</v>
      </c>
      <c r="K149" s="9">
        <v>180</v>
      </c>
      <c r="L149" s="9">
        <v>246</v>
      </c>
      <c r="M149" s="9">
        <v>63</v>
      </c>
      <c r="N149" s="9">
        <v>84</v>
      </c>
      <c r="O149" s="9">
        <v>63</v>
      </c>
      <c r="P149" s="9">
        <v>14</v>
      </c>
      <c r="Q149" s="9">
        <v>232</v>
      </c>
      <c r="R149" s="9">
        <v>25</v>
      </c>
      <c r="S149" s="9">
        <v>30</v>
      </c>
      <c r="T149" s="9">
        <v>43</v>
      </c>
      <c r="U149" s="9">
        <v>334</v>
      </c>
      <c r="V149" s="9">
        <v>102</v>
      </c>
      <c r="W149" s="9">
        <v>0</v>
      </c>
      <c r="X149" s="9">
        <v>54</v>
      </c>
      <c r="Y149" s="9">
        <v>23</v>
      </c>
      <c r="Z149" s="9">
        <v>102</v>
      </c>
      <c r="AA149" s="9">
        <v>39</v>
      </c>
      <c r="AB149" s="9">
        <v>7</v>
      </c>
      <c r="AC149" s="9">
        <v>0</v>
      </c>
      <c r="AD149" s="9">
        <v>23</v>
      </c>
      <c r="AE149" s="9">
        <v>0</v>
      </c>
      <c r="AF149" s="9">
        <v>7</v>
      </c>
      <c r="AG149" s="9">
        <v>7</v>
      </c>
      <c r="AH149" s="9">
        <v>7</v>
      </c>
      <c r="AI149" s="9">
        <v>0</v>
      </c>
      <c r="AJ149" s="9">
        <v>7</v>
      </c>
      <c r="AK149" s="9">
        <v>70</v>
      </c>
      <c r="AL149" s="9">
        <v>47</v>
      </c>
      <c r="AM149" s="9">
        <v>39</v>
      </c>
      <c r="AN149" s="9">
        <v>7</v>
      </c>
      <c r="AO149" s="9">
        <v>0</v>
      </c>
      <c r="AP149" s="9">
        <v>0</v>
      </c>
      <c r="AQ149" s="9">
        <v>7</v>
      </c>
      <c r="AR149" s="9">
        <v>86</v>
      </c>
      <c r="AS149" s="9">
        <v>7</v>
      </c>
      <c r="AT149" s="9">
        <v>39</v>
      </c>
      <c r="AU149" s="9">
        <v>7</v>
      </c>
      <c r="AV149" s="9">
        <v>0</v>
      </c>
      <c r="AW149" s="9">
        <v>47</v>
      </c>
      <c r="AX149" s="9">
        <v>15</v>
      </c>
      <c r="AY149" s="9">
        <v>0</v>
      </c>
      <c r="AZ149" s="9">
        <v>36</v>
      </c>
      <c r="BA149" s="10">
        <v>69.768999999999991</v>
      </c>
      <c r="BB149" s="11">
        <v>25153.93</v>
      </c>
      <c r="BC149" s="11">
        <v>17414.259999999998</v>
      </c>
      <c r="BD149" s="11">
        <v>15479.34</v>
      </c>
      <c r="BE149" s="11">
        <v>17414.259999999998</v>
      </c>
      <c r="BF149" s="11">
        <v>21284.1</v>
      </c>
      <c r="BG149" s="11">
        <v>32500</v>
      </c>
      <c r="BH149" s="11">
        <v>15000</v>
      </c>
      <c r="BI149" s="11">
        <v>10445</v>
      </c>
      <c r="BJ149" s="11">
        <v>17748</v>
      </c>
      <c r="BK149" s="11">
        <v>41565</v>
      </c>
      <c r="BL149" s="11">
        <v>18624</v>
      </c>
      <c r="BM149" s="11">
        <v>12724</v>
      </c>
      <c r="BN149" s="11">
        <v>9545</v>
      </c>
      <c r="BO149" s="9">
        <v>106000</v>
      </c>
      <c r="BP149" s="9">
        <v>6339</v>
      </c>
    </row>
    <row r="150" spans="1:68" x14ac:dyDescent="0.3">
      <c r="A150" s="7">
        <v>45440</v>
      </c>
      <c r="B150" s="7" t="str">
        <f t="shared" si="2"/>
        <v>MAY</v>
      </c>
      <c r="C150" s="8">
        <f>MONTH(Data!$A150)</f>
        <v>5</v>
      </c>
      <c r="D150" s="9">
        <v>1138</v>
      </c>
      <c r="E150" s="9">
        <v>821</v>
      </c>
      <c r="F150" s="9">
        <v>295</v>
      </c>
      <c r="G150" s="9">
        <v>696</v>
      </c>
      <c r="H150" s="9">
        <v>147</v>
      </c>
      <c r="I150" s="9">
        <v>188</v>
      </c>
      <c r="J150" s="9">
        <v>445</v>
      </c>
      <c r="K150" s="9">
        <v>188</v>
      </c>
      <c r="L150" s="9">
        <v>246</v>
      </c>
      <c r="M150" s="9">
        <v>91</v>
      </c>
      <c r="N150" s="9">
        <v>77</v>
      </c>
      <c r="O150" s="9">
        <v>91</v>
      </c>
      <c r="P150" s="9">
        <v>14</v>
      </c>
      <c r="Q150" s="9">
        <v>216</v>
      </c>
      <c r="R150" s="9">
        <v>60</v>
      </c>
      <c r="S150" s="9">
        <v>64</v>
      </c>
      <c r="T150" s="9">
        <v>47</v>
      </c>
      <c r="U150" s="9">
        <v>232</v>
      </c>
      <c r="V150" s="9">
        <v>82</v>
      </c>
      <c r="W150" s="9">
        <v>24</v>
      </c>
      <c r="X150" s="9">
        <v>57</v>
      </c>
      <c r="Y150" s="9">
        <v>0</v>
      </c>
      <c r="Z150" s="9">
        <v>52</v>
      </c>
      <c r="AA150" s="9">
        <v>41</v>
      </c>
      <c r="AB150" s="9">
        <v>0</v>
      </c>
      <c r="AC150" s="9">
        <v>24</v>
      </c>
      <c r="AD150" s="9">
        <v>16</v>
      </c>
      <c r="AE150" s="9">
        <v>24</v>
      </c>
      <c r="AF150" s="9">
        <v>8</v>
      </c>
      <c r="AG150" s="9">
        <v>8</v>
      </c>
      <c r="AH150" s="9">
        <v>8</v>
      </c>
      <c r="AI150" s="9">
        <v>24</v>
      </c>
      <c r="AJ150" s="9">
        <v>16</v>
      </c>
      <c r="AK150" s="9">
        <v>73</v>
      </c>
      <c r="AL150" s="9">
        <v>8</v>
      </c>
      <c r="AM150" s="9">
        <v>41</v>
      </c>
      <c r="AN150" s="9">
        <v>16</v>
      </c>
      <c r="AO150" s="9">
        <v>0</v>
      </c>
      <c r="AP150" s="9">
        <v>24</v>
      </c>
      <c r="AQ150" s="9">
        <v>16</v>
      </c>
      <c r="AR150" s="9">
        <v>73</v>
      </c>
      <c r="AS150" s="9">
        <v>24</v>
      </c>
      <c r="AT150" s="9">
        <v>49</v>
      </c>
      <c r="AU150" s="9">
        <v>24</v>
      </c>
      <c r="AV150" s="9">
        <v>8</v>
      </c>
      <c r="AW150" s="9">
        <v>49</v>
      </c>
      <c r="AX150" s="9">
        <v>16</v>
      </c>
      <c r="AY150" s="9">
        <v>16</v>
      </c>
      <c r="AZ150" s="9">
        <v>0</v>
      </c>
      <c r="BA150" s="10">
        <v>71.651999999999987</v>
      </c>
      <c r="BB150" s="11">
        <v>32892.33</v>
      </c>
      <c r="BC150" s="11">
        <v>19934.75</v>
      </c>
      <c r="BD150" s="11">
        <v>24918.43</v>
      </c>
      <c r="BE150" s="11">
        <v>11960.85</v>
      </c>
      <c r="BF150" s="11">
        <v>9967.3700000000008</v>
      </c>
      <c r="BG150" s="11">
        <v>32500</v>
      </c>
      <c r="BH150" s="11">
        <v>15000</v>
      </c>
      <c r="BI150" s="11">
        <v>10445</v>
      </c>
      <c r="BJ150" s="11">
        <v>17748</v>
      </c>
      <c r="BK150" s="11">
        <v>41565</v>
      </c>
      <c r="BL150" s="11">
        <v>18624</v>
      </c>
      <c r="BM150" s="11">
        <v>12724</v>
      </c>
      <c r="BN150" s="11">
        <v>9545</v>
      </c>
      <c r="BO150" s="9">
        <v>106000</v>
      </c>
      <c r="BP150" s="9">
        <v>8089</v>
      </c>
    </row>
    <row r="151" spans="1:68" x14ac:dyDescent="0.3">
      <c r="A151" s="7">
        <v>45441</v>
      </c>
      <c r="B151" s="7" t="str">
        <f t="shared" si="2"/>
        <v>MAY</v>
      </c>
      <c r="C151" s="8">
        <f>MONTH(Data!$A151)</f>
        <v>5</v>
      </c>
      <c r="D151" s="9">
        <v>1139</v>
      </c>
      <c r="E151" s="9">
        <v>854</v>
      </c>
      <c r="F151" s="9">
        <v>250</v>
      </c>
      <c r="G151" s="9">
        <v>628</v>
      </c>
      <c r="H151" s="9">
        <v>261</v>
      </c>
      <c r="I151" s="9">
        <v>427</v>
      </c>
      <c r="J151" s="9">
        <v>359</v>
      </c>
      <c r="K151" s="9">
        <v>68</v>
      </c>
      <c r="L151" s="9">
        <v>388</v>
      </c>
      <c r="M151" s="9">
        <v>56</v>
      </c>
      <c r="N151" s="9">
        <v>105</v>
      </c>
      <c r="O151" s="9">
        <v>91</v>
      </c>
      <c r="P151" s="9">
        <v>63</v>
      </c>
      <c r="Q151" s="9">
        <v>173</v>
      </c>
      <c r="R151" s="9">
        <v>125</v>
      </c>
      <c r="S151" s="9">
        <v>30</v>
      </c>
      <c r="T151" s="9">
        <v>30</v>
      </c>
      <c r="U151" s="9">
        <v>78</v>
      </c>
      <c r="V151" s="9">
        <v>119</v>
      </c>
      <c r="W151" s="9">
        <v>25</v>
      </c>
      <c r="X151" s="9">
        <v>34</v>
      </c>
      <c r="Y151" s="9">
        <v>17</v>
      </c>
      <c r="Z151" s="9">
        <v>3</v>
      </c>
      <c r="AA151" s="9">
        <v>76</v>
      </c>
      <c r="AB151" s="9">
        <v>25</v>
      </c>
      <c r="AC151" s="9">
        <v>25</v>
      </c>
      <c r="AD151" s="9">
        <v>34</v>
      </c>
      <c r="AE151" s="9">
        <v>25</v>
      </c>
      <c r="AF151" s="9">
        <v>0</v>
      </c>
      <c r="AG151" s="9">
        <v>42</v>
      </c>
      <c r="AH151" s="9">
        <v>8</v>
      </c>
      <c r="AI151" s="9">
        <v>17</v>
      </c>
      <c r="AJ151" s="9">
        <v>0</v>
      </c>
      <c r="AK151" s="9">
        <v>34</v>
      </c>
      <c r="AL151" s="9">
        <v>17</v>
      </c>
      <c r="AM151" s="9">
        <v>25</v>
      </c>
      <c r="AN151" s="9">
        <v>17</v>
      </c>
      <c r="AO151" s="9">
        <v>0</v>
      </c>
      <c r="AP151" s="9">
        <v>0</v>
      </c>
      <c r="AQ151" s="9">
        <v>25</v>
      </c>
      <c r="AR151" s="9">
        <v>76</v>
      </c>
      <c r="AS151" s="9">
        <v>25</v>
      </c>
      <c r="AT151" s="9">
        <v>76</v>
      </c>
      <c r="AU151" s="9">
        <v>42</v>
      </c>
      <c r="AV151" s="9">
        <v>8</v>
      </c>
      <c r="AW151" s="9">
        <v>17</v>
      </c>
      <c r="AX151" s="9">
        <v>25</v>
      </c>
      <c r="AY151" s="9">
        <v>17</v>
      </c>
      <c r="AZ151" s="9">
        <v>0</v>
      </c>
      <c r="BA151" s="10">
        <v>73.283000000000001</v>
      </c>
      <c r="BB151" s="11">
        <v>26615.66</v>
      </c>
      <c r="BC151" s="11">
        <v>23544.62</v>
      </c>
      <c r="BD151" s="11">
        <v>20473.580000000002</v>
      </c>
      <c r="BE151" s="11">
        <v>14331.51</v>
      </c>
      <c r="BF151" s="11">
        <v>17402.54</v>
      </c>
      <c r="BG151" s="11">
        <v>32500</v>
      </c>
      <c r="BH151" s="11">
        <v>15000</v>
      </c>
      <c r="BI151" s="11">
        <v>10445</v>
      </c>
      <c r="BJ151" s="11">
        <v>17748</v>
      </c>
      <c r="BK151" s="11">
        <v>41565</v>
      </c>
      <c r="BL151" s="11">
        <v>18624</v>
      </c>
      <c r="BM151" s="11">
        <v>12724</v>
      </c>
      <c r="BN151" s="11">
        <v>9545</v>
      </c>
      <c r="BO151" s="9">
        <v>106000</v>
      </c>
      <c r="BP151" s="9">
        <v>740</v>
      </c>
    </row>
    <row r="152" spans="1:68" x14ac:dyDescent="0.3">
      <c r="A152" s="7">
        <v>45442</v>
      </c>
      <c r="B152" s="7" t="str">
        <f t="shared" si="2"/>
        <v>MAY</v>
      </c>
      <c r="C152" s="8">
        <f>MONTH(Data!$A152)</f>
        <v>5</v>
      </c>
      <c r="D152" s="9">
        <v>1139</v>
      </c>
      <c r="E152" s="9">
        <v>888</v>
      </c>
      <c r="F152" s="9">
        <v>307</v>
      </c>
      <c r="G152" s="9">
        <v>696</v>
      </c>
      <c r="H152" s="9">
        <v>136</v>
      </c>
      <c r="I152" s="9">
        <v>390</v>
      </c>
      <c r="J152" s="9">
        <v>427</v>
      </c>
      <c r="K152" s="9">
        <v>71</v>
      </c>
      <c r="L152" s="9">
        <v>247</v>
      </c>
      <c r="M152" s="9">
        <v>91</v>
      </c>
      <c r="N152" s="9">
        <v>105</v>
      </c>
      <c r="O152" s="9">
        <v>105</v>
      </c>
      <c r="P152" s="9">
        <v>49</v>
      </c>
      <c r="Q152" s="9">
        <v>160</v>
      </c>
      <c r="R152" s="9">
        <v>30</v>
      </c>
      <c r="S152" s="9">
        <v>51</v>
      </c>
      <c r="T152" s="9">
        <v>43</v>
      </c>
      <c r="U152" s="9">
        <v>258</v>
      </c>
      <c r="V152" s="9">
        <v>88</v>
      </c>
      <c r="W152" s="9">
        <v>0</v>
      </c>
      <c r="X152" s="9">
        <v>53</v>
      </c>
      <c r="Y152" s="9">
        <v>17</v>
      </c>
      <c r="Z152" s="9">
        <v>44</v>
      </c>
      <c r="AA152" s="9">
        <v>79</v>
      </c>
      <c r="AB152" s="9">
        <v>8</v>
      </c>
      <c r="AC152" s="9">
        <v>8</v>
      </c>
      <c r="AD152" s="9">
        <v>26</v>
      </c>
      <c r="AE152" s="9">
        <v>8</v>
      </c>
      <c r="AF152" s="9">
        <v>0</v>
      </c>
      <c r="AG152" s="9">
        <v>35</v>
      </c>
      <c r="AH152" s="9">
        <v>17</v>
      </c>
      <c r="AI152" s="9">
        <v>17</v>
      </c>
      <c r="AJ152" s="9">
        <v>17</v>
      </c>
      <c r="AK152" s="9">
        <v>71</v>
      </c>
      <c r="AL152" s="9">
        <v>62</v>
      </c>
      <c r="AM152" s="9">
        <v>8</v>
      </c>
      <c r="AN152" s="9">
        <v>26</v>
      </c>
      <c r="AO152" s="9">
        <v>0</v>
      </c>
      <c r="AP152" s="9">
        <v>8</v>
      </c>
      <c r="AQ152" s="9">
        <v>17</v>
      </c>
      <c r="AR152" s="9">
        <v>97</v>
      </c>
      <c r="AS152" s="9">
        <v>17</v>
      </c>
      <c r="AT152" s="9">
        <v>62</v>
      </c>
      <c r="AU152" s="9">
        <v>8</v>
      </c>
      <c r="AV152" s="9">
        <v>8</v>
      </c>
      <c r="AW152" s="9">
        <v>26</v>
      </c>
      <c r="AX152" s="9">
        <v>26</v>
      </c>
      <c r="AY152" s="9">
        <v>35</v>
      </c>
      <c r="AZ152" s="9">
        <v>0</v>
      </c>
      <c r="BA152" s="10">
        <v>74.199999999999989</v>
      </c>
      <c r="BB152" s="11">
        <v>33504.870000000003</v>
      </c>
      <c r="BC152" s="11">
        <v>20940.54</v>
      </c>
      <c r="BD152" s="11">
        <v>19893.509999999998</v>
      </c>
      <c r="BE152" s="11">
        <v>16752.43</v>
      </c>
      <c r="BF152" s="11">
        <v>13611.35</v>
      </c>
      <c r="BG152" s="11">
        <v>32500</v>
      </c>
      <c r="BH152" s="11">
        <v>15000</v>
      </c>
      <c r="BI152" s="11">
        <v>10445</v>
      </c>
      <c r="BJ152" s="11">
        <v>17748</v>
      </c>
      <c r="BK152" s="11">
        <v>41565</v>
      </c>
      <c r="BL152" s="11">
        <v>18624</v>
      </c>
      <c r="BM152" s="11">
        <v>12724</v>
      </c>
      <c r="BN152" s="11">
        <v>9545</v>
      </c>
      <c r="BO152" s="9">
        <v>106000</v>
      </c>
      <c r="BP152" s="9">
        <v>5110</v>
      </c>
    </row>
    <row r="153" spans="1:68" x14ac:dyDescent="0.3">
      <c r="A153" s="7">
        <v>45443</v>
      </c>
      <c r="B153" s="7" t="str">
        <f t="shared" si="2"/>
        <v>MAY</v>
      </c>
      <c r="C153" s="8">
        <f>MONTH(Data!$A153)</f>
        <v>5</v>
      </c>
      <c r="D153" s="9">
        <v>1131</v>
      </c>
      <c r="E153" s="9">
        <v>913</v>
      </c>
      <c r="F153" s="9">
        <v>294</v>
      </c>
      <c r="G153" s="9">
        <v>679</v>
      </c>
      <c r="H153" s="9">
        <v>158</v>
      </c>
      <c r="I153" s="9">
        <v>365</v>
      </c>
      <c r="J153" s="9">
        <v>475</v>
      </c>
      <c r="K153" s="9">
        <v>73</v>
      </c>
      <c r="L153" s="9">
        <v>329</v>
      </c>
      <c r="M153" s="9">
        <v>224</v>
      </c>
      <c r="N153" s="9">
        <v>49</v>
      </c>
      <c r="O153" s="9">
        <v>35</v>
      </c>
      <c r="P153" s="9">
        <v>14</v>
      </c>
      <c r="Q153" s="9">
        <v>184</v>
      </c>
      <c r="R153" s="9">
        <v>34</v>
      </c>
      <c r="S153" s="9">
        <v>38</v>
      </c>
      <c r="T153" s="9">
        <v>38</v>
      </c>
      <c r="U153" s="9">
        <v>186</v>
      </c>
      <c r="V153" s="9">
        <v>109</v>
      </c>
      <c r="W153" s="9">
        <v>18</v>
      </c>
      <c r="X153" s="9">
        <v>63</v>
      </c>
      <c r="Y153" s="9">
        <v>18</v>
      </c>
      <c r="Z153" s="9">
        <v>118</v>
      </c>
      <c r="AA153" s="9">
        <v>82</v>
      </c>
      <c r="AB153" s="9">
        <v>9</v>
      </c>
      <c r="AC153" s="9">
        <v>0</v>
      </c>
      <c r="AD153" s="9">
        <v>18</v>
      </c>
      <c r="AE153" s="9">
        <v>0</v>
      </c>
      <c r="AF153" s="9">
        <v>0</v>
      </c>
      <c r="AG153" s="9">
        <v>45</v>
      </c>
      <c r="AH153" s="9">
        <v>18</v>
      </c>
      <c r="AI153" s="9">
        <v>9</v>
      </c>
      <c r="AJ153" s="9">
        <v>27</v>
      </c>
      <c r="AK153" s="9">
        <v>36</v>
      </c>
      <c r="AL153" s="9">
        <v>36</v>
      </c>
      <c r="AM153" s="9">
        <v>18</v>
      </c>
      <c r="AN153" s="9">
        <v>0</v>
      </c>
      <c r="AO153" s="9">
        <v>0</v>
      </c>
      <c r="AP153" s="9">
        <v>36</v>
      </c>
      <c r="AQ153" s="9">
        <v>9</v>
      </c>
      <c r="AR153" s="9">
        <v>63</v>
      </c>
      <c r="AS153" s="9">
        <v>9</v>
      </c>
      <c r="AT153" s="9">
        <v>27</v>
      </c>
      <c r="AU153" s="9">
        <v>18</v>
      </c>
      <c r="AV153" s="9">
        <v>9</v>
      </c>
      <c r="AW153" s="9">
        <v>18</v>
      </c>
      <c r="AX153" s="9">
        <v>9</v>
      </c>
      <c r="AY153" s="9">
        <v>0</v>
      </c>
      <c r="AZ153" s="9">
        <v>91</v>
      </c>
      <c r="BA153" s="10">
        <v>74.199999999999989</v>
      </c>
      <c r="BB153" s="11">
        <v>26500</v>
      </c>
      <c r="BC153" s="11">
        <v>25440</v>
      </c>
      <c r="BD153" s="11">
        <v>15900</v>
      </c>
      <c r="BE153" s="11">
        <v>10600</v>
      </c>
      <c r="BF153" s="11">
        <v>27560</v>
      </c>
      <c r="BG153" s="11">
        <v>32500</v>
      </c>
      <c r="BH153" s="11">
        <v>15000</v>
      </c>
      <c r="BI153" s="11">
        <v>10445</v>
      </c>
      <c r="BJ153" s="11">
        <v>17748</v>
      </c>
      <c r="BK153" s="11">
        <v>41565</v>
      </c>
      <c r="BL153" s="11">
        <v>18624</v>
      </c>
      <c r="BM153" s="11">
        <v>12724</v>
      </c>
      <c r="BN153" s="11">
        <v>9545</v>
      </c>
      <c r="BO153" s="9">
        <v>106000</v>
      </c>
      <c r="BP153" s="9">
        <v>7704</v>
      </c>
    </row>
    <row r="154" spans="1:68" x14ac:dyDescent="0.3">
      <c r="A154" s="7">
        <v>45444</v>
      </c>
      <c r="B154" s="7" t="str">
        <f t="shared" si="2"/>
        <v>JUNE</v>
      </c>
      <c r="C154" s="8">
        <f>MONTH(Data!$A154)</f>
        <v>6</v>
      </c>
      <c r="D154" s="9">
        <v>1117</v>
      </c>
      <c r="E154" s="9">
        <v>833</v>
      </c>
      <c r="F154" s="9">
        <v>569</v>
      </c>
      <c r="G154" s="9">
        <v>314</v>
      </c>
      <c r="H154" s="9">
        <v>234</v>
      </c>
      <c r="I154" s="9">
        <v>166</v>
      </c>
      <c r="J154" s="9">
        <v>626</v>
      </c>
      <c r="K154" s="9">
        <v>41</v>
      </c>
      <c r="L154" s="9">
        <v>339</v>
      </c>
      <c r="M154" s="9">
        <v>145</v>
      </c>
      <c r="N154" s="9">
        <v>103</v>
      </c>
      <c r="O154" s="9">
        <v>83</v>
      </c>
      <c r="P154" s="9">
        <v>62</v>
      </c>
      <c r="Q154" s="9">
        <v>195</v>
      </c>
      <c r="R154" s="9">
        <v>76</v>
      </c>
      <c r="S154" s="9">
        <v>29</v>
      </c>
      <c r="T154" s="9">
        <v>29</v>
      </c>
      <c r="U154" s="9">
        <v>56</v>
      </c>
      <c r="V154" s="9">
        <v>58</v>
      </c>
      <c r="W154" s="9">
        <v>16</v>
      </c>
      <c r="X154" s="9">
        <v>33</v>
      </c>
      <c r="Y154" s="9">
        <v>8</v>
      </c>
      <c r="Z154" s="9">
        <v>73</v>
      </c>
      <c r="AA154" s="9">
        <v>41</v>
      </c>
      <c r="AB154" s="9">
        <v>8</v>
      </c>
      <c r="AC154" s="9">
        <v>0</v>
      </c>
      <c r="AD154" s="9">
        <v>16</v>
      </c>
      <c r="AE154" s="9">
        <v>8</v>
      </c>
      <c r="AF154" s="9">
        <v>0</v>
      </c>
      <c r="AG154" s="9">
        <v>33</v>
      </c>
      <c r="AH154" s="9">
        <v>24</v>
      </c>
      <c r="AI154" s="9">
        <v>24</v>
      </c>
      <c r="AJ154" s="9">
        <v>0</v>
      </c>
      <c r="AK154" s="9">
        <v>58</v>
      </c>
      <c r="AL154" s="9">
        <v>58</v>
      </c>
      <c r="AM154" s="9">
        <v>16</v>
      </c>
      <c r="AN154" s="9">
        <v>8</v>
      </c>
      <c r="AO154" s="9">
        <v>8</v>
      </c>
      <c r="AP154" s="9">
        <v>24</v>
      </c>
      <c r="AQ154" s="9">
        <v>24</v>
      </c>
      <c r="AR154" s="9">
        <v>66</v>
      </c>
      <c r="AS154" s="9">
        <v>8</v>
      </c>
      <c r="AT154" s="9">
        <v>66</v>
      </c>
      <c r="AU154" s="9">
        <v>41</v>
      </c>
      <c r="AV154" s="9">
        <v>8</v>
      </c>
      <c r="AW154" s="9">
        <v>49</v>
      </c>
      <c r="AX154" s="9">
        <v>24</v>
      </c>
      <c r="AY154" s="9">
        <v>33</v>
      </c>
      <c r="AZ154" s="9">
        <v>0</v>
      </c>
      <c r="BA154" s="10">
        <v>105.33999999999999</v>
      </c>
      <c r="BB154" s="11">
        <v>26500</v>
      </c>
      <c r="BC154" s="11">
        <v>25440</v>
      </c>
      <c r="BD154" s="11">
        <v>15900</v>
      </c>
      <c r="BE154" s="11">
        <v>10600</v>
      </c>
      <c r="BF154" s="11">
        <v>27560</v>
      </c>
      <c r="BG154" s="11">
        <v>32500</v>
      </c>
      <c r="BH154" s="11">
        <v>13750</v>
      </c>
      <c r="BI154" s="11">
        <v>10445</v>
      </c>
      <c r="BJ154" s="11">
        <v>17748</v>
      </c>
      <c r="BK154" s="11">
        <v>48286</v>
      </c>
      <c r="BL154" s="11">
        <v>22765</v>
      </c>
      <c r="BM154" s="11">
        <v>21425</v>
      </c>
      <c r="BN154" s="11">
        <v>11977</v>
      </c>
      <c r="BO154" s="9">
        <v>126000</v>
      </c>
      <c r="BP154" s="9">
        <v>5089</v>
      </c>
    </row>
    <row r="155" spans="1:68" x14ac:dyDescent="0.3">
      <c r="A155" s="7">
        <v>45445</v>
      </c>
      <c r="B155" s="7" t="str">
        <f t="shared" si="2"/>
        <v>JUNE</v>
      </c>
      <c r="C155" s="8">
        <f>MONTH(Data!$A155)</f>
        <v>6</v>
      </c>
      <c r="D155" s="9">
        <v>1093</v>
      </c>
      <c r="E155" s="9">
        <v>846</v>
      </c>
      <c r="F155" s="9">
        <v>327</v>
      </c>
      <c r="G155" s="9">
        <v>635</v>
      </c>
      <c r="H155" s="9">
        <v>131</v>
      </c>
      <c r="I155" s="9">
        <v>253</v>
      </c>
      <c r="J155" s="9">
        <v>526</v>
      </c>
      <c r="K155" s="9">
        <v>67</v>
      </c>
      <c r="L155" s="9">
        <v>352</v>
      </c>
      <c r="M155" s="9">
        <v>74</v>
      </c>
      <c r="N155" s="9">
        <v>81</v>
      </c>
      <c r="O155" s="9">
        <v>47</v>
      </c>
      <c r="P155" s="9">
        <v>33</v>
      </c>
      <c r="Q155" s="9">
        <v>199</v>
      </c>
      <c r="R155" s="9">
        <v>37</v>
      </c>
      <c r="S155" s="9">
        <v>58</v>
      </c>
      <c r="T155" s="9">
        <v>49</v>
      </c>
      <c r="U155" s="9">
        <v>163</v>
      </c>
      <c r="V155" s="9">
        <v>42</v>
      </c>
      <c r="W155" s="9">
        <v>8</v>
      </c>
      <c r="X155" s="9">
        <v>59</v>
      </c>
      <c r="Y155" s="9">
        <v>8</v>
      </c>
      <c r="Z155" s="9">
        <v>67</v>
      </c>
      <c r="AA155" s="9">
        <v>42</v>
      </c>
      <c r="AB155" s="9">
        <v>8</v>
      </c>
      <c r="AC155" s="9">
        <v>8</v>
      </c>
      <c r="AD155" s="9">
        <v>16</v>
      </c>
      <c r="AE155" s="9">
        <v>0</v>
      </c>
      <c r="AF155" s="9">
        <v>8</v>
      </c>
      <c r="AG155" s="9">
        <v>25</v>
      </c>
      <c r="AH155" s="9">
        <v>16</v>
      </c>
      <c r="AI155" s="9">
        <v>16</v>
      </c>
      <c r="AJ155" s="9">
        <v>25</v>
      </c>
      <c r="AK155" s="9">
        <v>67</v>
      </c>
      <c r="AL155" s="9">
        <v>8</v>
      </c>
      <c r="AM155" s="9">
        <v>25</v>
      </c>
      <c r="AN155" s="9">
        <v>16</v>
      </c>
      <c r="AO155" s="9">
        <v>0</v>
      </c>
      <c r="AP155" s="9">
        <v>33</v>
      </c>
      <c r="AQ155" s="9">
        <v>16</v>
      </c>
      <c r="AR155" s="9">
        <v>59</v>
      </c>
      <c r="AS155" s="9">
        <v>8</v>
      </c>
      <c r="AT155" s="9">
        <v>25</v>
      </c>
      <c r="AU155" s="9">
        <v>16</v>
      </c>
      <c r="AV155" s="9">
        <v>8</v>
      </c>
      <c r="AW155" s="9">
        <v>50</v>
      </c>
      <c r="AX155" s="9">
        <v>16</v>
      </c>
      <c r="AY155" s="9">
        <v>0</v>
      </c>
      <c r="AZ155" s="9">
        <v>151</v>
      </c>
      <c r="BA155" s="10">
        <v>105.19999999999999</v>
      </c>
      <c r="BB155" s="11">
        <v>26333.38</v>
      </c>
      <c r="BC155" s="11">
        <v>21066.7</v>
      </c>
      <c r="BD155" s="11">
        <v>15800.03</v>
      </c>
      <c r="BE155" s="11">
        <v>8426.68</v>
      </c>
      <c r="BF155" s="11">
        <v>33706.720000000001</v>
      </c>
      <c r="BG155" s="11">
        <v>32500</v>
      </c>
      <c r="BH155" s="11">
        <v>13750</v>
      </c>
      <c r="BI155" s="11">
        <v>8809</v>
      </c>
      <c r="BJ155" s="11">
        <v>17748</v>
      </c>
      <c r="BK155" s="11">
        <v>48286</v>
      </c>
      <c r="BL155" s="11">
        <v>22765</v>
      </c>
      <c r="BM155" s="11">
        <v>21425</v>
      </c>
      <c r="BN155" s="11">
        <v>11977</v>
      </c>
      <c r="BO155" s="9">
        <v>126000</v>
      </c>
      <c r="BP155" s="9">
        <v>210</v>
      </c>
    </row>
    <row r="156" spans="1:68" x14ac:dyDescent="0.3">
      <c r="A156" s="7">
        <v>45446</v>
      </c>
      <c r="B156" s="7" t="str">
        <f t="shared" si="2"/>
        <v>JUNE</v>
      </c>
      <c r="C156" s="8">
        <f>MONTH(Data!$A156)</f>
        <v>6</v>
      </c>
      <c r="D156" s="9">
        <v>1063</v>
      </c>
      <c r="E156" s="9">
        <v>856</v>
      </c>
      <c r="F156" s="9">
        <v>255</v>
      </c>
      <c r="G156" s="9">
        <v>575</v>
      </c>
      <c r="H156" s="9">
        <v>233</v>
      </c>
      <c r="I156" s="9">
        <v>222</v>
      </c>
      <c r="J156" s="9">
        <v>583</v>
      </c>
      <c r="K156" s="9">
        <v>51</v>
      </c>
      <c r="L156" s="9">
        <v>316</v>
      </c>
      <c r="M156" s="9">
        <v>230</v>
      </c>
      <c r="N156" s="9">
        <v>65</v>
      </c>
      <c r="O156" s="9">
        <v>85</v>
      </c>
      <c r="P156" s="9">
        <v>32</v>
      </c>
      <c r="Q156" s="9">
        <v>193</v>
      </c>
      <c r="R156" s="9">
        <v>48</v>
      </c>
      <c r="S156" s="9">
        <v>44</v>
      </c>
      <c r="T156" s="9">
        <v>20</v>
      </c>
      <c r="U156" s="9">
        <v>30</v>
      </c>
      <c r="V156" s="9">
        <v>119</v>
      </c>
      <c r="W156" s="9">
        <v>25</v>
      </c>
      <c r="X156" s="9">
        <v>34</v>
      </c>
      <c r="Y156" s="9">
        <v>17</v>
      </c>
      <c r="Z156" s="9">
        <v>94</v>
      </c>
      <c r="AA156" s="9">
        <v>51</v>
      </c>
      <c r="AB156" s="9">
        <v>17</v>
      </c>
      <c r="AC156" s="9">
        <v>8</v>
      </c>
      <c r="AD156" s="9">
        <v>17</v>
      </c>
      <c r="AE156" s="9">
        <v>0</v>
      </c>
      <c r="AF156" s="9">
        <v>0</v>
      </c>
      <c r="AG156" s="9">
        <v>42</v>
      </c>
      <c r="AH156" s="9">
        <v>0</v>
      </c>
      <c r="AI156" s="9">
        <v>0</v>
      </c>
      <c r="AJ156" s="9">
        <v>8</v>
      </c>
      <c r="AK156" s="9">
        <v>51</v>
      </c>
      <c r="AL156" s="9">
        <v>17</v>
      </c>
      <c r="AM156" s="9">
        <v>25</v>
      </c>
      <c r="AN156" s="9">
        <v>17</v>
      </c>
      <c r="AO156" s="9">
        <v>8</v>
      </c>
      <c r="AP156" s="9">
        <v>0</v>
      </c>
      <c r="AQ156" s="9">
        <v>34</v>
      </c>
      <c r="AR156" s="9">
        <v>59</v>
      </c>
      <c r="AS156" s="9">
        <v>17</v>
      </c>
      <c r="AT156" s="9">
        <v>77</v>
      </c>
      <c r="AU156" s="9">
        <v>42</v>
      </c>
      <c r="AV156" s="9">
        <v>0</v>
      </c>
      <c r="AW156" s="9">
        <v>34</v>
      </c>
      <c r="AX156" s="9">
        <v>17</v>
      </c>
      <c r="AY156" s="9">
        <v>0</v>
      </c>
      <c r="AZ156" s="9">
        <v>26</v>
      </c>
      <c r="BA156" s="10">
        <v>105.33</v>
      </c>
      <c r="BB156" s="11">
        <v>26300.43</v>
      </c>
      <c r="BC156" s="11">
        <v>16832.27</v>
      </c>
      <c r="BD156" s="11">
        <v>13676.22</v>
      </c>
      <c r="BE156" s="11">
        <v>19988.32</v>
      </c>
      <c r="BF156" s="11">
        <v>28404.46</v>
      </c>
      <c r="BG156" s="11">
        <v>32500</v>
      </c>
      <c r="BH156" s="11">
        <v>13750</v>
      </c>
      <c r="BI156" s="11">
        <v>8809</v>
      </c>
      <c r="BJ156" s="11">
        <v>17748</v>
      </c>
      <c r="BK156" s="11">
        <v>48286</v>
      </c>
      <c r="BL156" s="11">
        <v>22765</v>
      </c>
      <c r="BM156" s="11">
        <v>21425</v>
      </c>
      <c r="BN156" s="11">
        <v>11977</v>
      </c>
      <c r="BO156" s="9">
        <v>126000</v>
      </c>
      <c r="BP156" s="9">
        <v>4036</v>
      </c>
    </row>
    <row r="157" spans="1:68" x14ac:dyDescent="0.3">
      <c r="A157" s="7">
        <v>45447</v>
      </c>
      <c r="B157" s="7" t="str">
        <f t="shared" si="2"/>
        <v>JUNE</v>
      </c>
      <c r="C157" s="8">
        <f>MONTH(Data!$A157)</f>
        <v>6</v>
      </c>
      <c r="D157" s="9">
        <v>1045</v>
      </c>
      <c r="E157" s="9">
        <v>859</v>
      </c>
      <c r="F157" s="9">
        <v>292</v>
      </c>
      <c r="G157" s="9">
        <v>555</v>
      </c>
      <c r="H157" s="9">
        <v>198</v>
      </c>
      <c r="I157" s="9">
        <v>300</v>
      </c>
      <c r="J157" s="9">
        <v>448</v>
      </c>
      <c r="K157" s="9">
        <v>111</v>
      </c>
      <c r="L157" s="9">
        <v>233</v>
      </c>
      <c r="M157" s="9">
        <v>207</v>
      </c>
      <c r="N157" s="9">
        <v>84</v>
      </c>
      <c r="O157" s="9">
        <v>84</v>
      </c>
      <c r="P157" s="9">
        <v>38</v>
      </c>
      <c r="Q157" s="9">
        <v>162</v>
      </c>
      <c r="R157" s="9">
        <v>55</v>
      </c>
      <c r="S157" s="9">
        <v>51</v>
      </c>
      <c r="T157" s="9">
        <v>31</v>
      </c>
      <c r="U157" s="9">
        <v>100</v>
      </c>
      <c r="V157" s="9">
        <v>51</v>
      </c>
      <c r="W157" s="9">
        <v>8</v>
      </c>
      <c r="X157" s="9">
        <v>34</v>
      </c>
      <c r="Y157" s="9">
        <v>25</v>
      </c>
      <c r="Z157" s="9">
        <v>68</v>
      </c>
      <c r="AA157" s="9">
        <v>60</v>
      </c>
      <c r="AB157" s="9">
        <v>25</v>
      </c>
      <c r="AC157" s="9">
        <v>8</v>
      </c>
      <c r="AD157" s="9">
        <v>34</v>
      </c>
      <c r="AE157" s="9">
        <v>17</v>
      </c>
      <c r="AF157" s="9">
        <v>0</v>
      </c>
      <c r="AG157" s="9">
        <v>8</v>
      </c>
      <c r="AH157" s="9">
        <v>0</v>
      </c>
      <c r="AI157" s="9">
        <v>17</v>
      </c>
      <c r="AJ157" s="9">
        <v>17</v>
      </c>
      <c r="AK157" s="9">
        <v>34</v>
      </c>
      <c r="AL157" s="9">
        <v>8</v>
      </c>
      <c r="AM157" s="9">
        <v>17</v>
      </c>
      <c r="AN157" s="9">
        <v>25</v>
      </c>
      <c r="AO157" s="9">
        <v>0</v>
      </c>
      <c r="AP157" s="9">
        <v>8</v>
      </c>
      <c r="AQ157" s="9">
        <v>8</v>
      </c>
      <c r="AR157" s="9">
        <v>94</v>
      </c>
      <c r="AS157" s="9">
        <v>8</v>
      </c>
      <c r="AT157" s="9">
        <v>42</v>
      </c>
      <c r="AU157" s="9">
        <v>34</v>
      </c>
      <c r="AV157" s="9">
        <v>8</v>
      </c>
      <c r="AW157" s="9">
        <v>42</v>
      </c>
      <c r="AX157" s="9">
        <v>0</v>
      </c>
      <c r="AY157" s="9">
        <v>34</v>
      </c>
      <c r="AZ157" s="9">
        <v>125</v>
      </c>
      <c r="BA157" s="10">
        <v>106.93</v>
      </c>
      <c r="BB157" s="11">
        <v>35813.29</v>
      </c>
      <c r="BC157" s="11">
        <v>26333.3</v>
      </c>
      <c r="BD157" s="11">
        <v>22119.97</v>
      </c>
      <c r="BE157" s="11">
        <v>12639.98</v>
      </c>
      <c r="BF157" s="11">
        <v>8426.66</v>
      </c>
      <c r="BG157" s="11">
        <v>32500</v>
      </c>
      <c r="BH157" s="11">
        <v>13750</v>
      </c>
      <c r="BI157" s="11">
        <v>8809</v>
      </c>
      <c r="BJ157" s="11">
        <v>17748</v>
      </c>
      <c r="BK157" s="11">
        <v>48286</v>
      </c>
      <c r="BL157" s="11">
        <v>22765</v>
      </c>
      <c r="BM157" s="11">
        <v>21425</v>
      </c>
      <c r="BN157" s="11">
        <v>11977</v>
      </c>
      <c r="BO157" s="9">
        <v>126000</v>
      </c>
      <c r="BP157" s="9">
        <v>5330</v>
      </c>
    </row>
    <row r="158" spans="1:68" x14ac:dyDescent="0.3">
      <c r="A158" s="7">
        <v>45448</v>
      </c>
      <c r="B158" s="7" t="str">
        <f t="shared" si="2"/>
        <v>JUNE</v>
      </c>
      <c r="C158" s="8">
        <f>MONTH(Data!$A158)</f>
        <v>6</v>
      </c>
      <c r="D158" s="9">
        <v>1035</v>
      </c>
      <c r="E158" s="9">
        <v>860</v>
      </c>
      <c r="F158" s="9">
        <v>227</v>
      </c>
      <c r="G158" s="9">
        <v>674</v>
      </c>
      <c r="H158" s="9">
        <v>134</v>
      </c>
      <c r="I158" s="9">
        <v>378</v>
      </c>
      <c r="J158" s="9">
        <v>336</v>
      </c>
      <c r="K158" s="9">
        <v>146</v>
      </c>
      <c r="L158" s="9">
        <v>237</v>
      </c>
      <c r="M158" s="9">
        <v>109</v>
      </c>
      <c r="N158" s="9">
        <v>51</v>
      </c>
      <c r="O158" s="9">
        <v>83</v>
      </c>
      <c r="P158" s="9">
        <v>32</v>
      </c>
      <c r="Q158" s="9">
        <v>180</v>
      </c>
      <c r="R158" s="9">
        <v>55</v>
      </c>
      <c r="S158" s="9">
        <v>47</v>
      </c>
      <c r="T158" s="9">
        <v>43</v>
      </c>
      <c r="U158" s="9">
        <v>198</v>
      </c>
      <c r="V158" s="9">
        <v>86</v>
      </c>
      <c r="W158" s="9">
        <v>8</v>
      </c>
      <c r="X158" s="9">
        <v>60</v>
      </c>
      <c r="Y158" s="9">
        <v>8</v>
      </c>
      <c r="Z158" s="9">
        <v>137</v>
      </c>
      <c r="AA158" s="9">
        <v>60</v>
      </c>
      <c r="AB158" s="9">
        <v>0</v>
      </c>
      <c r="AC158" s="9">
        <v>8</v>
      </c>
      <c r="AD158" s="9">
        <v>17</v>
      </c>
      <c r="AE158" s="9">
        <v>17</v>
      </c>
      <c r="AF158" s="9">
        <v>0</v>
      </c>
      <c r="AG158" s="9">
        <v>34</v>
      </c>
      <c r="AH158" s="9">
        <v>25</v>
      </c>
      <c r="AI158" s="9">
        <v>17</v>
      </c>
      <c r="AJ158" s="9">
        <v>0</v>
      </c>
      <c r="AK158" s="9">
        <v>43</v>
      </c>
      <c r="AL158" s="9">
        <v>17</v>
      </c>
      <c r="AM158" s="9">
        <v>43</v>
      </c>
      <c r="AN158" s="9">
        <v>25</v>
      </c>
      <c r="AO158" s="9">
        <v>8</v>
      </c>
      <c r="AP158" s="9">
        <v>8</v>
      </c>
      <c r="AQ158" s="9">
        <v>8</v>
      </c>
      <c r="AR158" s="9">
        <v>77</v>
      </c>
      <c r="AS158" s="9">
        <v>17</v>
      </c>
      <c r="AT158" s="9">
        <v>25</v>
      </c>
      <c r="AU158" s="9">
        <v>25</v>
      </c>
      <c r="AV158" s="9">
        <v>8</v>
      </c>
      <c r="AW158" s="9">
        <v>17</v>
      </c>
      <c r="AX158" s="9">
        <v>34</v>
      </c>
      <c r="AY158" s="9">
        <v>25</v>
      </c>
      <c r="AZ158" s="9">
        <v>3</v>
      </c>
      <c r="BA158" s="10">
        <v>109.08000000000001</v>
      </c>
      <c r="BB158" s="11">
        <v>29936.14</v>
      </c>
      <c r="BC158" s="11">
        <v>18175.509999999998</v>
      </c>
      <c r="BD158" s="11">
        <v>16037.22</v>
      </c>
      <c r="BE158" s="11">
        <v>12829.77</v>
      </c>
      <c r="BF158" s="11">
        <v>29936.14</v>
      </c>
      <c r="BG158" s="11">
        <v>32500</v>
      </c>
      <c r="BH158" s="11">
        <v>13750</v>
      </c>
      <c r="BI158" s="11">
        <v>8809</v>
      </c>
      <c r="BJ158" s="11">
        <v>17748</v>
      </c>
      <c r="BK158" s="11">
        <v>48286</v>
      </c>
      <c r="BL158" s="11">
        <v>22765</v>
      </c>
      <c r="BM158" s="11">
        <v>21425</v>
      </c>
      <c r="BN158" s="11">
        <v>11977</v>
      </c>
      <c r="BO158" s="9">
        <v>126000</v>
      </c>
      <c r="BP158" s="9">
        <v>6138</v>
      </c>
    </row>
    <row r="159" spans="1:68" x14ac:dyDescent="0.3">
      <c r="A159" s="7">
        <v>45449</v>
      </c>
      <c r="B159" s="7" t="str">
        <f t="shared" si="2"/>
        <v>JUNE</v>
      </c>
      <c r="C159" s="8">
        <f>MONTH(Data!$A159)</f>
        <v>6</v>
      </c>
      <c r="D159" s="9">
        <v>1031</v>
      </c>
      <c r="E159" s="9">
        <v>858</v>
      </c>
      <c r="F159" s="9">
        <v>257</v>
      </c>
      <c r="G159" s="9">
        <v>661</v>
      </c>
      <c r="H159" s="9">
        <v>113</v>
      </c>
      <c r="I159" s="9">
        <v>420</v>
      </c>
      <c r="J159" s="9">
        <v>224</v>
      </c>
      <c r="K159" s="9">
        <v>214</v>
      </c>
      <c r="L159" s="9">
        <v>274</v>
      </c>
      <c r="M159" s="9">
        <v>44</v>
      </c>
      <c r="N159" s="9">
        <v>44</v>
      </c>
      <c r="O159" s="9">
        <v>89</v>
      </c>
      <c r="P159" s="9">
        <v>25</v>
      </c>
      <c r="Q159" s="9">
        <v>144</v>
      </c>
      <c r="R159" s="9">
        <v>19</v>
      </c>
      <c r="S159" s="9">
        <v>27</v>
      </c>
      <c r="T159" s="9">
        <v>35</v>
      </c>
      <c r="U159" s="9">
        <v>330</v>
      </c>
      <c r="V159" s="9">
        <v>51</v>
      </c>
      <c r="W159" s="9">
        <v>25</v>
      </c>
      <c r="X159" s="9">
        <v>60</v>
      </c>
      <c r="Y159" s="9">
        <v>25</v>
      </c>
      <c r="Z159" s="9">
        <v>60</v>
      </c>
      <c r="AA159" s="9">
        <v>42</v>
      </c>
      <c r="AB159" s="9">
        <v>0</v>
      </c>
      <c r="AC159" s="9">
        <v>8</v>
      </c>
      <c r="AD159" s="9">
        <v>34</v>
      </c>
      <c r="AE159" s="9">
        <v>0</v>
      </c>
      <c r="AF159" s="9">
        <v>8</v>
      </c>
      <c r="AG159" s="9">
        <v>25</v>
      </c>
      <c r="AH159" s="9">
        <v>0</v>
      </c>
      <c r="AI159" s="9">
        <v>8</v>
      </c>
      <c r="AJ159" s="9">
        <v>0</v>
      </c>
      <c r="AK159" s="9">
        <v>85</v>
      </c>
      <c r="AL159" s="9">
        <v>17</v>
      </c>
      <c r="AM159" s="9">
        <v>34</v>
      </c>
      <c r="AN159" s="9">
        <v>0</v>
      </c>
      <c r="AO159" s="9">
        <v>8</v>
      </c>
      <c r="AP159" s="9">
        <v>8</v>
      </c>
      <c r="AQ159" s="9">
        <v>8</v>
      </c>
      <c r="AR159" s="9">
        <v>94</v>
      </c>
      <c r="AS159" s="9">
        <v>8</v>
      </c>
      <c r="AT159" s="9">
        <v>42</v>
      </c>
      <c r="AU159" s="9">
        <v>8</v>
      </c>
      <c r="AV159" s="9">
        <v>0</v>
      </c>
      <c r="AW159" s="9">
        <v>17</v>
      </c>
      <c r="AX159" s="9">
        <v>8</v>
      </c>
      <c r="AY159" s="9">
        <v>8</v>
      </c>
      <c r="AZ159" s="9">
        <v>167</v>
      </c>
      <c r="BA159" s="10">
        <v>112.58</v>
      </c>
      <c r="BB159" s="11">
        <v>27270.31</v>
      </c>
      <c r="BC159" s="11">
        <v>14180.56</v>
      </c>
      <c r="BD159" s="11">
        <v>23997.87</v>
      </c>
      <c r="BE159" s="11">
        <v>18543.810000000001</v>
      </c>
      <c r="BF159" s="11">
        <v>25088.69</v>
      </c>
      <c r="BG159" s="11">
        <v>32500</v>
      </c>
      <c r="BH159" s="11">
        <v>13750</v>
      </c>
      <c r="BI159" s="11">
        <v>8809</v>
      </c>
      <c r="BJ159" s="11">
        <v>17748</v>
      </c>
      <c r="BK159" s="11">
        <v>48286</v>
      </c>
      <c r="BL159" s="11">
        <v>22765</v>
      </c>
      <c r="BM159" s="11">
        <v>21425</v>
      </c>
      <c r="BN159" s="11">
        <v>11977</v>
      </c>
      <c r="BO159" s="9">
        <v>126000</v>
      </c>
      <c r="BP159" s="9">
        <v>5188</v>
      </c>
    </row>
    <row r="160" spans="1:68" x14ac:dyDescent="0.3">
      <c r="A160" s="7">
        <v>45450</v>
      </c>
      <c r="B160" s="7" t="str">
        <f t="shared" si="2"/>
        <v>JUNE</v>
      </c>
      <c r="C160" s="8">
        <f>MONTH(Data!$A160)</f>
        <v>6</v>
      </c>
      <c r="D160" s="9">
        <v>1037</v>
      </c>
      <c r="E160" s="9">
        <v>843</v>
      </c>
      <c r="F160" s="9">
        <v>466</v>
      </c>
      <c r="G160" s="9">
        <v>343</v>
      </c>
      <c r="H160" s="9">
        <v>228</v>
      </c>
      <c r="I160" s="9">
        <v>337</v>
      </c>
      <c r="J160" s="9">
        <v>372</v>
      </c>
      <c r="K160" s="9">
        <v>134</v>
      </c>
      <c r="L160" s="9">
        <v>282</v>
      </c>
      <c r="M160" s="9">
        <v>180</v>
      </c>
      <c r="N160" s="9">
        <v>90</v>
      </c>
      <c r="O160" s="9">
        <v>32</v>
      </c>
      <c r="P160" s="9">
        <v>51</v>
      </c>
      <c r="Q160" s="9">
        <v>212</v>
      </c>
      <c r="R160" s="9">
        <v>19</v>
      </c>
      <c r="S160" s="9">
        <v>35</v>
      </c>
      <c r="T160" s="9">
        <v>35</v>
      </c>
      <c r="U160" s="9">
        <v>101</v>
      </c>
      <c r="V160" s="9">
        <v>75</v>
      </c>
      <c r="W160" s="9">
        <v>16</v>
      </c>
      <c r="X160" s="9">
        <v>25</v>
      </c>
      <c r="Y160" s="9">
        <v>8</v>
      </c>
      <c r="Z160" s="9">
        <v>75</v>
      </c>
      <c r="AA160" s="9">
        <v>67</v>
      </c>
      <c r="AB160" s="9">
        <v>0</v>
      </c>
      <c r="AC160" s="9">
        <v>0</v>
      </c>
      <c r="AD160" s="9">
        <v>50</v>
      </c>
      <c r="AE160" s="9">
        <v>0</v>
      </c>
      <c r="AF160" s="9">
        <v>0</v>
      </c>
      <c r="AG160" s="9">
        <v>42</v>
      </c>
      <c r="AH160" s="9">
        <v>16</v>
      </c>
      <c r="AI160" s="9">
        <v>0</v>
      </c>
      <c r="AJ160" s="9">
        <v>16</v>
      </c>
      <c r="AK160" s="9">
        <v>33</v>
      </c>
      <c r="AL160" s="9">
        <v>33</v>
      </c>
      <c r="AM160" s="9">
        <v>8</v>
      </c>
      <c r="AN160" s="9">
        <v>25</v>
      </c>
      <c r="AO160" s="9">
        <v>0</v>
      </c>
      <c r="AP160" s="9">
        <v>0</v>
      </c>
      <c r="AQ160" s="9">
        <v>16</v>
      </c>
      <c r="AR160" s="9">
        <v>67</v>
      </c>
      <c r="AS160" s="9">
        <v>8</v>
      </c>
      <c r="AT160" s="9">
        <v>59</v>
      </c>
      <c r="AU160" s="9">
        <v>33</v>
      </c>
      <c r="AV160" s="9">
        <v>8</v>
      </c>
      <c r="AW160" s="9">
        <v>8</v>
      </c>
      <c r="AX160" s="9">
        <v>16</v>
      </c>
      <c r="AY160" s="9">
        <v>16</v>
      </c>
      <c r="AZ160" s="9">
        <v>123</v>
      </c>
      <c r="BA160" s="10">
        <v>116.45</v>
      </c>
      <c r="BB160" s="11">
        <v>30399.8</v>
      </c>
      <c r="BC160" s="11">
        <v>15762.86</v>
      </c>
      <c r="BD160" s="11">
        <v>21392.45</v>
      </c>
      <c r="BE160" s="11">
        <v>23644.29</v>
      </c>
      <c r="BF160" s="11">
        <v>21392.45</v>
      </c>
      <c r="BG160" s="11">
        <v>32500</v>
      </c>
      <c r="BH160" s="11">
        <v>13750</v>
      </c>
      <c r="BI160" s="11">
        <v>8809</v>
      </c>
      <c r="BJ160" s="11">
        <v>26687</v>
      </c>
      <c r="BK160" s="11">
        <v>48286</v>
      </c>
      <c r="BL160" s="11">
        <v>22765</v>
      </c>
      <c r="BM160" s="11">
        <v>21425</v>
      </c>
      <c r="BN160" s="11">
        <v>11977</v>
      </c>
      <c r="BO160" s="9">
        <v>126000</v>
      </c>
      <c r="BP160" s="9">
        <v>1213</v>
      </c>
    </row>
    <row r="161" spans="1:68" x14ac:dyDescent="0.3">
      <c r="A161" s="7">
        <v>45451</v>
      </c>
      <c r="B161" s="7" t="str">
        <f t="shared" si="2"/>
        <v>JUNE</v>
      </c>
      <c r="C161" s="8">
        <f>MONTH(Data!$A161)</f>
        <v>6</v>
      </c>
      <c r="D161" s="9">
        <v>1056</v>
      </c>
      <c r="E161" s="9">
        <v>826</v>
      </c>
      <c r="F161" s="9">
        <v>464</v>
      </c>
      <c r="G161" s="9">
        <v>424</v>
      </c>
      <c r="H161" s="9">
        <v>168</v>
      </c>
      <c r="I161" s="9">
        <v>396</v>
      </c>
      <c r="J161" s="9">
        <v>381</v>
      </c>
      <c r="K161" s="9">
        <v>49</v>
      </c>
      <c r="L161" s="9">
        <v>210</v>
      </c>
      <c r="M161" s="9">
        <v>229</v>
      </c>
      <c r="N161" s="9">
        <v>52</v>
      </c>
      <c r="O161" s="9">
        <v>78</v>
      </c>
      <c r="P161" s="9">
        <v>39</v>
      </c>
      <c r="Q161" s="9">
        <v>220</v>
      </c>
      <c r="R161" s="9">
        <v>124</v>
      </c>
      <c r="S161" s="9">
        <v>48</v>
      </c>
      <c r="T161" s="9">
        <v>56</v>
      </c>
      <c r="U161" s="9">
        <v>0</v>
      </c>
      <c r="V161" s="9">
        <v>99</v>
      </c>
      <c r="W161" s="9">
        <v>16</v>
      </c>
      <c r="X161" s="9">
        <v>57</v>
      </c>
      <c r="Y161" s="9">
        <v>8</v>
      </c>
      <c r="Z161" s="9">
        <v>19</v>
      </c>
      <c r="AA161" s="9">
        <v>66</v>
      </c>
      <c r="AB161" s="9">
        <v>0</v>
      </c>
      <c r="AC161" s="9">
        <v>16</v>
      </c>
      <c r="AD161" s="9">
        <v>49</v>
      </c>
      <c r="AE161" s="9">
        <v>8</v>
      </c>
      <c r="AF161" s="9">
        <v>8</v>
      </c>
      <c r="AG161" s="9">
        <v>33</v>
      </c>
      <c r="AH161" s="9">
        <v>24</v>
      </c>
      <c r="AI161" s="9">
        <v>0</v>
      </c>
      <c r="AJ161" s="9">
        <v>16</v>
      </c>
      <c r="AK161" s="9">
        <v>49</v>
      </c>
      <c r="AL161" s="9">
        <v>16</v>
      </c>
      <c r="AM161" s="9">
        <v>33</v>
      </c>
      <c r="AN161" s="9">
        <v>24</v>
      </c>
      <c r="AO161" s="9">
        <v>0</v>
      </c>
      <c r="AP161" s="9">
        <v>0</v>
      </c>
      <c r="AQ161" s="9">
        <v>16</v>
      </c>
      <c r="AR161" s="9">
        <v>74</v>
      </c>
      <c r="AS161" s="9">
        <v>16</v>
      </c>
      <c r="AT161" s="9">
        <v>74</v>
      </c>
      <c r="AU161" s="9">
        <v>33</v>
      </c>
      <c r="AV161" s="9">
        <v>8</v>
      </c>
      <c r="AW161" s="9">
        <v>16</v>
      </c>
      <c r="AX161" s="9">
        <v>24</v>
      </c>
      <c r="AY161" s="9">
        <v>24</v>
      </c>
      <c r="AZ161" s="9">
        <v>0</v>
      </c>
      <c r="BA161" s="10">
        <v>119.62</v>
      </c>
      <c r="BB161" s="11">
        <v>29114.99</v>
      </c>
      <c r="BC161" s="11">
        <v>20962.79</v>
      </c>
      <c r="BD161" s="11">
        <v>15139.79</v>
      </c>
      <c r="BE161" s="11">
        <v>19798.189999999999</v>
      </c>
      <c r="BF161" s="11">
        <v>31444.19</v>
      </c>
      <c r="BG161" s="11">
        <v>32500</v>
      </c>
      <c r="BH161" s="11">
        <v>13750</v>
      </c>
      <c r="BI161" s="11">
        <v>8809</v>
      </c>
      <c r="BJ161" s="11">
        <v>26687</v>
      </c>
      <c r="BK161" s="11">
        <v>48286</v>
      </c>
      <c r="BL161" s="11">
        <v>22765</v>
      </c>
      <c r="BM161" s="11">
        <v>21425</v>
      </c>
      <c r="BN161" s="11">
        <v>11977</v>
      </c>
      <c r="BO161" s="9">
        <v>126000</v>
      </c>
      <c r="BP161" s="9">
        <v>5694</v>
      </c>
    </row>
    <row r="162" spans="1:68" x14ac:dyDescent="0.3">
      <c r="A162" s="7">
        <v>45452</v>
      </c>
      <c r="B162" s="7" t="str">
        <f t="shared" si="2"/>
        <v>JUNE</v>
      </c>
      <c r="C162" s="8">
        <f>MONTH(Data!$A162)</f>
        <v>6</v>
      </c>
      <c r="D162" s="9">
        <v>1082</v>
      </c>
      <c r="E162" s="9">
        <v>800</v>
      </c>
      <c r="F162" s="9">
        <v>335</v>
      </c>
      <c r="G162" s="9">
        <v>574</v>
      </c>
      <c r="H162" s="9">
        <v>173</v>
      </c>
      <c r="I162" s="9">
        <v>240</v>
      </c>
      <c r="J162" s="9">
        <v>448</v>
      </c>
      <c r="K162" s="9">
        <v>112</v>
      </c>
      <c r="L162" s="9">
        <v>268</v>
      </c>
      <c r="M162" s="9">
        <v>134</v>
      </c>
      <c r="N162" s="9">
        <v>93</v>
      </c>
      <c r="O162" s="9">
        <v>53</v>
      </c>
      <c r="P162" s="9">
        <v>60</v>
      </c>
      <c r="Q162" s="9">
        <v>152</v>
      </c>
      <c r="R162" s="9">
        <v>74</v>
      </c>
      <c r="S162" s="9">
        <v>37</v>
      </c>
      <c r="T162" s="9">
        <v>41</v>
      </c>
      <c r="U162" s="9">
        <v>170</v>
      </c>
      <c r="V162" s="9">
        <v>40</v>
      </c>
      <c r="W162" s="9">
        <v>8</v>
      </c>
      <c r="X162" s="9">
        <v>56</v>
      </c>
      <c r="Y162" s="9">
        <v>0</v>
      </c>
      <c r="Z162" s="9">
        <v>112</v>
      </c>
      <c r="AA162" s="9">
        <v>40</v>
      </c>
      <c r="AB162" s="9">
        <v>8</v>
      </c>
      <c r="AC162" s="9">
        <v>0</v>
      </c>
      <c r="AD162" s="9">
        <v>40</v>
      </c>
      <c r="AE162" s="9">
        <v>16</v>
      </c>
      <c r="AF162" s="9">
        <v>8</v>
      </c>
      <c r="AG162" s="9">
        <v>16</v>
      </c>
      <c r="AH162" s="9">
        <v>16</v>
      </c>
      <c r="AI162" s="9">
        <v>0</v>
      </c>
      <c r="AJ162" s="9">
        <v>24</v>
      </c>
      <c r="AK162" s="9">
        <v>80</v>
      </c>
      <c r="AL162" s="9">
        <v>8</v>
      </c>
      <c r="AM162" s="9">
        <v>24</v>
      </c>
      <c r="AN162" s="9">
        <v>0</v>
      </c>
      <c r="AO162" s="9">
        <v>0</v>
      </c>
      <c r="AP162" s="9">
        <v>0</v>
      </c>
      <c r="AQ162" s="9">
        <v>16</v>
      </c>
      <c r="AR162" s="9">
        <v>56</v>
      </c>
      <c r="AS162" s="9">
        <v>8</v>
      </c>
      <c r="AT162" s="9">
        <v>56</v>
      </c>
      <c r="AU162" s="9">
        <v>8</v>
      </c>
      <c r="AV162" s="9">
        <v>8</v>
      </c>
      <c r="AW162" s="9">
        <v>24</v>
      </c>
      <c r="AX162" s="9">
        <v>32</v>
      </c>
      <c r="AY162" s="9">
        <v>32</v>
      </c>
      <c r="AZ162" s="9">
        <v>64</v>
      </c>
      <c r="BA162" s="10">
        <v>121.95</v>
      </c>
      <c r="BB162" s="11">
        <v>39476.129999999997</v>
      </c>
      <c r="BC162" s="11">
        <v>23924.93</v>
      </c>
      <c r="BD162" s="11">
        <v>17943.689999999999</v>
      </c>
      <c r="BE162" s="11">
        <v>27513.66</v>
      </c>
      <c r="BF162" s="11">
        <v>10766.22</v>
      </c>
      <c r="BG162" s="11">
        <v>32500</v>
      </c>
      <c r="BH162" s="11">
        <v>13750</v>
      </c>
      <c r="BI162" s="11">
        <v>8809</v>
      </c>
      <c r="BJ162" s="11">
        <v>26687</v>
      </c>
      <c r="BK162" s="11">
        <v>48286</v>
      </c>
      <c r="BL162" s="11">
        <v>22765</v>
      </c>
      <c r="BM162" s="11">
        <v>21425</v>
      </c>
      <c r="BN162" s="11">
        <v>11977</v>
      </c>
      <c r="BO162" s="9">
        <v>126000</v>
      </c>
      <c r="BP162" s="9">
        <v>5234</v>
      </c>
    </row>
    <row r="163" spans="1:68" x14ac:dyDescent="0.3">
      <c r="A163" s="7">
        <v>45453</v>
      </c>
      <c r="B163" s="7" t="str">
        <f t="shared" si="2"/>
        <v>JUNE</v>
      </c>
      <c r="C163" s="8">
        <f>MONTH(Data!$A163)</f>
        <v>6</v>
      </c>
      <c r="D163" s="9">
        <v>1095</v>
      </c>
      <c r="E163" s="9">
        <v>772</v>
      </c>
      <c r="F163" s="9">
        <v>569</v>
      </c>
      <c r="G163" s="9">
        <v>472</v>
      </c>
      <c r="H163" s="9">
        <v>54</v>
      </c>
      <c r="I163" s="9">
        <v>293</v>
      </c>
      <c r="J163" s="9">
        <v>402</v>
      </c>
      <c r="K163" s="9">
        <v>77</v>
      </c>
      <c r="L163" s="9">
        <v>271</v>
      </c>
      <c r="M163" s="9">
        <v>237</v>
      </c>
      <c r="N163" s="9">
        <v>101</v>
      </c>
      <c r="O163" s="9">
        <v>74</v>
      </c>
      <c r="P163" s="9">
        <v>27</v>
      </c>
      <c r="Q163" s="9">
        <v>166</v>
      </c>
      <c r="R163" s="9">
        <v>45</v>
      </c>
      <c r="S163" s="9">
        <v>41</v>
      </c>
      <c r="T163" s="9">
        <v>41</v>
      </c>
      <c r="U163" s="9">
        <v>92</v>
      </c>
      <c r="V163" s="9">
        <v>54</v>
      </c>
      <c r="W163" s="9">
        <v>7</v>
      </c>
      <c r="X163" s="9">
        <v>54</v>
      </c>
      <c r="Y163" s="9">
        <v>0</v>
      </c>
      <c r="Z163" s="9">
        <v>123</v>
      </c>
      <c r="AA163" s="9">
        <v>38</v>
      </c>
      <c r="AB163" s="9">
        <v>23</v>
      </c>
      <c r="AC163" s="9">
        <v>7</v>
      </c>
      <c r="AD163" s="9">
        <v>15</v>
      </c>
      <c r="AE163" s="9">
        <v>23</v>
      </c>
      <c r="AF163" s="9">
        <v>7</v>
      </c>
      <c r="AG163" s="9">
        <v>7</v>
      </c>
      <c r="AH163" s="9">
        <v>0</v>
      </c>
      <c r="AI163" s="9">
        <v>7</v>
      </c>
      <c r="AJ163" s="9">
        <v>15</v>
      </c>
      <c r="AK163" s="9">
        <v>30</v>
      </c>
      <c r="AL163" s="9">
        <v>15</v>
      </c>
      <c r="AM163" s="9">
        <v>38</v>
      </c>
      <c r="AN163" s="9">
        <v>23</v>
      </c>
      <c r="AO163" s="9">
        <v>0</v>
      </c>
      <c r="AP163" s="9">
        <v>7</v>
      </c>
      <c r="AQ163" s="9">
        <v>7</v>
      </c>
      <c r="AR163" s="9">
        <v>61</v>
      </c>
      <c r="AS163" s="9">
        <v>15</v>
      </c>
      <c r="AT163" s="9">
        <v>69</v>
      </c>
      <c r="AU163" s="9">
        <v>23</v>
      </c>
      <c r="AV163" s="9">
        <v>0</v>
      </c>
      <c r="AW163" s="9">
        <v>30</v>
      </c>
      <c r="AX163" s="9">
        <v>7</v>
      </c>
      <c r="AY163" s="9">
        <v>15</v>
      </c>
      <c r="AZ163" s="9">
        <v>52</v>
      </c>
      <c r="BA163" s="10">
        <v>122.46</v>
      </c>
      <c r="BB163" s="11">
        <v>40243.72</v>
      </c>
      <c r="BC163" s="11">
        <v>17073.09</v>
      </c>
      <c r="BD163" s="11">
        <v>12195.07</v>
      </c>
      <c r="BE163" s="11">
        <v>28048.65</v>
      </c>
      <c r="BF163" s="11">
        <v>24390.13</v>
      </c>
      <c r="BG163" s="11">
        <v>32500</v>
      </c>
      <c r="BH163" s="11">
        <v>13750</v>
      </c>
      <c r="BI163" s="11">
        <v>8809</v>
      </c>
      <c r="BJ163" s="11">
        <v>26687</v>
      </c>
      <c r="BK163" s="11">
        <v>48286</v>
      </c>
      <c r="BL163" s="11">
        <v>22765</v>
      </c>
      <c r="BM163" s="11">
        <v>21425</v>
      </c>
      <c r="BN163" s="11">
        <v>11977</v>
      </c>
      <c r="BO163" s="9">
        <v>126000</v>
      </c>
      <c r="BP163" s="9">
        <v>780</v>
      </c>
    </row>
    <row r="164" spans="1:68" x14ac:dyDescent="0.3">
      <c r="A164" s="7">
        <v>45454</v>
      </c>
      <c r="B164" s="7" t="str">
        <f t="shared" si="2"/>
        <v>JUNE</v>
      </c>
      <c r="C164" s="8">
        <f>MONTH(Data!$A164)</f>
        <v>6</v>
      </c>
      <c r="D164" s="9">
        <v>1101</v>
      </c>
      <c r="E164" s="9">
        <v>749</v>
      </c>
      <c r="F164" s="9">
        <v>319</v>
      </c>
      <c r="G164" s="9">
        <v>617</v>
      </c>
      <c r="H164" s="9">
        <v>165</v>
      </c>
      <c r="I164" s="9">
        <v>367</v>
      </c>
      <c r="J164" s="9">
        <v>263</v>
      </c>
      <c r="K164" s="9">
        <v>119</v>
      </c>
      <c r="L164" s="9">
        <v>245</v>
      </c>
      <c r="M164" s="9">
        <v>232</v>
      </c>
      <c r="N164" s="9">
        <v>61</v>
      </c>
      <c r="O164" s="9">
        <v>95</v>
      </c>
      <c r="P164" s="9">
        <v>47</v>
      </c>
      <c r="Q164" s="9">
        <v>150</v>
      </c>
      <c r="R164" s="9">
        <v>54</v>
      </c>
      <c r="S164" s="9">
        <v>37</v>
      </c>
      <c r="T164" s="9">
        <v>20</v>
      </c>
      <c r="U164" s="9">
        <v>160</v>
      </c>
      <c r="V164" s="9">
        <v>44</v>
      </c>
      <c r="W164" s="9">
        <v>14</v>
      </c>
      <c r="X164" s="9">
        <v>29</v>
      </c>
      <c r="Y164" s="9">
        <v>7</v>
      </c>
      <c r="Z164" s="9">
        <v>97</v>
      </c>
      <c r="AA164" s="9">
        <v>59</v>
      </c>
      <c r="AB164" s="9">
        <v>14</v>
      </c>
      <c r="AC164" s="9">
        <v>0</v>
      </c>
      <c r="AD164" s="9">
        <v>14</v>
      </c>
      <c r="AE164" s="9">
        <v>7</v>
      </c>
      <c r="AF164" s="9">
        <v>0</v>
      </c>
      <c r="AG164" s="9">
        <v>29</v>
      </c>
      <c r="AH164" s="9">
        <v>0</v>
      </c>
      <c r="AI164" s="9">
        <v>14</v>
      </c>
      <c r="AJ164" s="9">
        <v>0</v>
      </c>
      <c r="AK164" s="9">
        <v>29</v>
      </c>
      <c r="AL164" s="9">
        <v>44</v>
      </c>
      <c r="AM164" s="9">
        <v>14</v>
      </c>
      <c r="AN164" s="9">
        <v>0</v>
      </c>
      <c r="AO164" s="9">
        <v>7</v>
      </c>
      <c r="AP164" s="9">
        <v>22</v>
      </c>
      <c r="AQ164" s="9">
        <v>22</v>
      </c>
      <c r="AR164" s="9">
        <v>74</v>
      </c>
      <c r="AS164" s="9">
        <v>14</v>
      </c>
      <c r="AT164" s="9">
        <v>44</v>
      </c>
      <c r="AU164" s="9">
        <v>37</v>
      </c>
      <c r="AV164" s="9">
        <v>7</v>
      </c>
      <c r="AW164" s="9">
        <v>44</v>
      </c>
      <c r="AX164" s="9">
        <v>14</v>
      </c>
      <c r="AY164" s="9">
        <v>14</v>
      </c>
      <c r="AZ164" s="9">
        <v>35</v>
      </c>
      <c r="BA164" s="10">
        <v>122.63999999999999</v>
      </c>
      <c r="BB164" s="11">
        <v>42863.39</v>
      </c>
      <c r="BC164" s="11">
        <v>28167.37</v>
      </c>
      <c r="BD164" s="11">
        <v>15920.69</v>
      </c>
      <c r="BE164" s="11">
        <v>11022.01</v>
      </c>
      <c r="BF164" s="11">
        <v>24493.360000000001</v>
      </c>
      <c r="BG164" s="11">
        <v>32500</v>
      </c>
      <c r="BH164" s="11">
        <v>13750</v>
      </c>
      <c r="BI164" s="11">
        <v>8809</v>
      </c>
      <c r="BJ164" s="11">
        <v>26687</v>
      </c>
      <c r="BK164" s="11">
        <v>48286</v>
      </c>
      <c r="BL164" s="11">
        <v>22765</v>
      </c>
      <c r="BM164" s="11">
        <v>21425</v>
      </c>
      <c r="BN164" s="11">
        <v>11977</v>
      </c>
      <c r="BO164" s="9">
        <v>126000</v>
      </c>
      <c r="BP164" s="9">
        <v>8423</v>
      </c>
    </row>
    <row r="165" spans="1:68" x14ac:dyDescent="0.3">
      <c r="A165" s="7">
        <v>45455</v>
      </c>
      <c r="B165" s="7" t="str">
        <f t="shared" si="2"/>
        <v>JUNE</v>
      </c>
      <c r="C165" s="8">
        <f>MONTH(Data!$A165)</f>
        <v>6</v>
      </c>
      <c r="D165" s="9">
        <v>1101</v>
      </c>
      <c r="E165" s="9">
        <v>730</v>
      </c>
      <c r="F165" s="9">
        <v>462</v>
      </c>
      <c r="G165" s="9">
        <v>518</v>
      </c>
      <c r="H165" s="9">
        <v>121</v>
      </c>
      <c r="I165" s="9">
        <v>379</v>
      </c>
      <c r="J165" s="9">
        <v>286</v>
      </c>
      <c r="K165" s="9">
        <v>65</v>
      </c>
      <c r="L165" s="9">
        <v>286</v>
      </c>
      <c r="M165" s="9">
        <v>225</v>
      </c>
      <c r="N165" s="9">
        <v>81</v>
      </c>
      <c r="O165" s="9">
        <v>61</v>
      </c>
      <c r="P165" s="9">
        <v>47</v>
      </c>
      <c r="Q165" s="9">
        <v>146</v>
      </c>
      <c r="R165" s="9">
        <v>133</v>
      </c>
      <c r="S165" s="9">
        <v>62</v>
      </c>
      <c r="T165" s="9">
        <v>50</v>
      </c>
      <c r="U165" s="9">
        <v>10</v>
      </c>
      <c r="V165" s="9">
        <v>73</v>
      </c>
      <c r="W165" s="9">
        <v>21</v>
      </c>
      <c r="X165" s="9">
        <v>51</v>
      </c>
      <c r="Y165" s="9">
        <v>21</v>
      </c>
      <c r="Z165" s="9">
        <v>12</v>
      </c>
      <c r="AA165" s="9">
        <v>51</v>
      </c>
      <c r="AB165" s="9">
        <v>14</v>
      </c>
      <c r="AC165" s="9">
        <v>7</v>
      </c>
      <c r="AD165" s="9">
        <v>29</v>
      </c>
      <c r="AE165" s="9">
        <v>21</v>
      </c>
      <c r="AF165" s="9">
        <v>0</v>
      </c>
      <c r="AG165" s="9">
        <v>29</v>
      </c>
      <c r="AH165" s="9">
        <v>0</v>
      </c>
      <c r="AI165" s="9">
        <v>21</v>
      </c>
      <c r="AJ165" s="9">
        <v>0</v>
      </c>
      <c r="AK165" s="9">
        <v>51</v>
      </c>
      <c r="AL165" s="9">
        <v>21</v>
      </c>
      <c r="AM165" s="9">
        <v>7</v>
      </c>
      <c r="AN165" s="9">
        <v>21</v>
      </c>
      <c r="AO165" s="9">
        <v>7</v>
      </c>
      <c r="AP165" s="9">
        <v>29</v>
      </c>
      <c r="AQ165" s="9">
        <v>21</v>
      </c>
      <c r="AR165" s="9">
        <v>73</v>
      </c>
      <c r="AS165" s="9">
        <v>21</v>
      </c>
      <c r="AT165" s="9">
        <v>58</v>
      </c>
      <c r="AU165" s="9">
        <v>21</v>
      </c>
      <c r="AV165" s="9">
        <v>0</v>
      </c>
      <c r="AW165" s="9">
        <v>36</v>
      </c>
      <c r="AX165" s="9">
        <v>0</v>
      </c>
      <c r="AY165" s="9">
        <v>14</v>
      </c>
      <c r="AZ165" s="9">
        <v>0</v>
      </c>
      <c r="BA165" s="10">
        <v>121.93999999999998</v>
      </c>
      <c r="BB165" s="11">
        <v>41697.660000000003</v>
      </c>
      <c r="BC165" s="11">
        <v>29433.64</v>
      </c>
      <c r="BD165" s="11">
        <v>18396.03</v>
      </c>
      <c r="BE165" s="11">
        <v>23301.63</v>
      </c>
      <c r="BF165" s="11">
        <v>9811.2099999999991</v>
      </c>
      <c r="BG165" s="11">
        <v>32500</v>
      </c>
      <c r="BH165" s="11">
        <v>13750</v>
      </c>
      <c r="BI165" s="11">
        <v>8809</v>
      </c>
      <c r="BJ165" s="11">
        <v>26687</v>
      </c>
      <c r="BK165" s="11">
        <v>48286</v>
      </c>
      <c r="BL165" s="11">
        <v>22765</v>
      </c>
      <c r="BM165" s="11">
        <v>21425</v>
      </c>
      <c r="BN165" s="11">
        <v>11977</v>
      </c>
      <c r="BO165" s="9">
        <v>126000</v>
      </c>
      <c r="BP165" s="9">
        <v>8493</v>
      </c>
    </row>
    <row r="166" spans="1:68" x14ac:dyDescent="0.3">
      <c r="A166" s="7">
        <v>45456</v>
      </c>
      <c r="B166" s="7" t="str">
        <f t="shared" si="2"/>
        <v>JUNE</v>
      </c>
      <c r="C166" s="8">
        <f>MONTH(Data!$A166)</f>
        <v>6</v>
      </c>
      <c r="D166" s="9">
        <v>1097</v>
      </c>
      <c r="E166" s="9">
        <v>722</v>
      </c>
      <c r="F166" s="9">
        <v>383</v>
      </c>
      <c r="G166" s="9">
        <v>572</v>
      </c>
      <c r="H166" s="9">
        <v>142</v>
      </c>
      <c r="I166" s="9">
        <v>296</v>
      </c>
      <c r="J166" s="9">
        <v>282</v>
      </c>
      <c r="K166" s="9">
        <v>144</v>
      </c>
      <c r="L166" s="9">
        <v>258</v>
      </c>
      <c r="M166" s="9">
        <v>40</v>
      </c>
      <c r="N166" s="9">
        <v>81</v>
      </c>
      <c r="O166" s="9">
        <v>40</v>
      </c>
      <c r="P166" s="9">
        <v>54</v>
      </c>
      <c r="Q166" s="9">
        <v>191</v>
      </c>
      <c r="R166" s="9">
        <v>112</v>
      </c>
      <c r="S166" s="9">
        <v>58</v>
      </c>
      <c r="T166" s="9">
        <v>33</v>
      </c>
      <c r="U166" s="9">
        <v>230</v>
      </c>
      <c r="V166" s="9">
        <v>86</v>
      </c>
      <c r="W166" s="9">
        <v>21</v>
      </c>
      <c r="X166" s="9">
        <v>28</v>
      </c>
      <c r="Y166" s="9">
        <v>21</v>
      </c>
      <c r="Z166" s="9">
        <v>20</v>
      </c>
      <c r="AA166" s="9">
        <v>57</v>
      </c>
      <c r="AB166" s="9">
        <v>0</v>
      </c>
      <c r="AC166" s="9">
        <v>21</v>
      </c>
      <c r="AD166" s="9">
        <v>28</v>
      </c>
      <c r="AE166" s="9">
        <v>14</v>
      </c>
      <c r="AF166" s="9">
        <v>7</v>
      </c>
      <c r="AG166" s="9">
        <v>28</v>
      </c>
      <c r="AH166" s="9">
        <v>14</v>
      </c>
      <c r="AI166" s="9">
        <v>21</v>
      </c>
      <c r="AJ166" s="9">
        <v>0</v>
      </c>
      <c r="AK166" s="9">
        <v>36</v>
      </c>
      <c r="AL166" s="9">
        <v>36</v>
      </c>
      <c r="AM166" s="9">
        <v>14</v>
      </c>
      <c r="AN166" s="9">
        <v>21</v>
      </c>
      <c r="AO166" s="9">
        <v>7</v>
      </c>
      <c r="AP166" s="9">
        <v>7</v>
      </c>
      <c r="AQ166" s="9">
        <v>14</v>
      </c>
      <c r="AR166" s="9">
        <v>79</v>
      </c>
      <c r="AS166" s="9">
        <v>14</v>
      </c>
      <c r="AT166" s="9">
        <v>36</v>
      </c>
      <c r="AU166" s="9">
        <v>14</v>
      </c>
      <c r="AV166" s="9">
        <v>7</v>
      </c>
      <c r="AW166" s="9">
        <v>36</v>
      </c>
      <c r="AX166" s="9">
        <v>14</v>
      </c>
      <c r="AY166" s="9">
        <v>21</v>
      </c>
      <c r="AZ166" s="9">
        <v>0</v>
      </c>
      <c r="BA166" s="10">
        <v>120.73999999999998</v>
      </c>
      <c r="BB166" s="11">
        <v>41461.279999999999</v>
      </c>
      <c r="BC166" s="11">
        <v>23169.54</v>
      </c>
      <c r="BD166" s="11">
        <v>24388.99</v>
      </c>
      <c r="BE166" s="11">
        <v>17072.29</v>
      </c>
      <c r="BF166" s="11">
        <v>15852.84</v>
      </c>
      <c r="BG166" s="11">
        <v>32500</v>
      </c>
      <c r="BH166" s="11">
        <v>13750</v>
      </c>
      <c r="BI166" s="11">
        <v>8809</v>
      </c>
      <c r="BJ166" s="11">
        <v>26687</v>
      </c>
      <c r="BK166" s="11">
        <v>48286</v>
      </c>
      <c r="BL166" s="11">
        <v>22765</v>
      </c>
      <c r="BM166" s="11">
        <v>21425</v>
      </c>
      <c r="BN166" s="11">
        <v>11977</v>
      </c>
      <c r="BO166" s="9">
        <v>126000</v>
      </c>
      <c r="BP166" s="9">
        <v>3694</v>
      </c>
    </row>
    <row r="167" spans="1:68" x14ac:dyDescent="0.3">
      <c r="A167" s="7">
        <v>45457</v>
      </c>
      <c r="B167" s="7" t="str">
        <f t="shared" si="2"/>
        <v>JUNE</v>
      </c>
      <c r="C167" s="8">
        <f>MONTH(Data!$A167)</f>
        <v>6</v>
      </c>
      <c r="D167" s="9">
        <v>1079</v>
      </c>
      <c r="E167" s="9">
        <v>719</v>
      </c>
      <c r="F167" s="9">
        <v>366</v>
      </c>
      <c r="G167" s="9">
        <v>508</v>
      </c>
      <c r="H167" s="9">
        <v>205</v>
      </c>
      <c r="I167" s="9">
        <v>150</v>
      </c>
      <c r="J167" s="9">
        <v>411</v>
      </c>
      <c r="K167" s="9">
        <v>158</v>
      </c>
      <c r="L167" s="9">
        <v>247</v>
      </c>
      <c r="M167" s="9">
        <v>73</v>
      </c>
      <c r="N167" s="9">
        <v>53</v>
      </c>
      <c r="O167" s="9">
        <v>73</v>
      </c>
      <c r="P167" s="9">
        <v>13</v>
      </c>
      <c r="Q167" s="9">
        <v>147</v>
      </c>
      <c r="R167" s="9">
        <v>143</v>
      </c>
      <c r="S167" s="9">
        <v>45</v>
      </c>
      <c r="T167" s="9">
        <v>61</v>
      </c>
      <c r="U167" s="9">
        <v>224</v>
      </c>
      <c r="V167" s="9">
        <v>100</v>
      </c>
      <c r="W167" s="9">
        <v>0</v>
      </c>
      <c r="X167" s="9">
        <v>50</v>
      </c>
      <c r="Y167" s="9">
        <v>21</v>
      </c>
      <c r="Z167" s="9">
        <v>11</v>
      </c>
      <c r="AA167" s="9">
        <v>43</v>
      </c>
      <c r="AB167" s="9">
        <v>21</v>
      </c>
      <c r="AC167" s="9">
        <v>7</v>
      </c>
      <c r="AD167" s="9">
        <v>28</v>
      </c>
      <c r="AE167" s="9">
        <v>14</v>
      </c>
      <c r="AF167" s="9">
        <v>0</v>
      </c>
      <c r="AG167" s="9">
        <v>28</v>
      </c>
      <c r="AH167" s="9">
        <v>7</v>
      </c>
      <c r="AI167" s="9">
        <v>14</v>
      </c>
      <c r="AJ167" s="9">
        <v>0</v>
      </c>
      <c r="AK167" s="9">
        <v>50</v>
      </c>
      <c r="AL167" s="9">
        <v>35</v>
      </c>
      <c r="AM167" s="9">
        <v>21</v>
      </c>
      <c r="AN167" s="9">
        <v>14</v>
      </c>
      <c r="AO167" s="9">
        <v>0</v>
      </c>
      <c r="AP167" s="9">
        <v>28</v>
      </c>
      <c r="AQ167" s="9">
        <v>7</v>
      </c>
      <c r="AR167" s="9">
        <v>79</v>
      </c>
      <c r="AS167" s="9">
        <v>7</v>
      </c>
      <c r="AT167" s="9">
        <v>64</v>
      </c>
      <c r="AU167" s="9">
        <v>7</v>
      </c>
      <c r="AV167" s="9">
        <v>0</v>
      </c>
      <c r="AW167" s="9">
        <v>14</v>
      </c>
      <c r="AX167" s="9">
        <v>21</v>
      </c>
      <c r="AY167" s="9">
        <v>28</v>
      </c>
      <c r="AZ167" s="9">
        <v>0</v>
      </c>
      <c r="BA167" s="10">
        <v>119.04999999999998</v>
      </c>
      <c r="BB167" s="11">
        <v>38637</v>
      </c>
      <c r="BC167" s="11">
        <v>22940.720000000001</v>
      </c>
      <c r="BD167" s="11">
        <v>24148.13</v>
      </c>
      <c r="BE167" s="11">
        <v>18111.099999999999</v>
      </c>
      <c r="BF167" s="11">
        <v>16903.689999999999</v>
      </c>
      <c r="BG167" s="11">
        <v>32500</v>
      </c>
      <c r="BH167" s="11">
        <v>13750</v>
      </c>
      <c r="BI167" s="11">
        <v>8809</v>
      </c>
      <c r="BJ167" s="11">
        <v>26687</v>
      </c>
      <c r="BK167" s="11">
        <v>48286</v>
      </c>
      <c r="BL167" s="11">
        <v>22765</v>
      </c>
      <c r="BM167" s="11">
        <v>21425</v>
      </c>
      <c r="BN167" s="11">
        <v>11977</v>
      </c>
      <c r="BO167" s="9">
        <v>126000</v>
      </c>
      <c r="BP167" s="9">
        <v>2178</v>
      </c>
    </row>
    <row r="168" spans="1:68" x14ac:dyDescent="0.3">
      <c r="A168" s="7">
        <v>45458</v>
      </c>
      <c r="B168" s="7" t="str">
        <f t="shared" si="2"/>
        <v>JUNE</v>
      </c>
      <c r="C168" s="8">
        <f>MONTH(Data!$A168)</f>
        <v>6</v>
      </c>
      <c r="D168" s="9">
        <v>1048</v>
      </c>
      <c r="E168" s="9">
        <v>723</v>
      </c>
      <c r="F168" s="9">
        <v>471</v>
      </c>
      <c r="G168" s="9">
        <v>347</v>
      </c>
      <c r="H168" s="9">
        <v>230</v>
      </c>
      <c r="I168" s="9">
        <v>173</v>
      </c>
      <c r="J168" s="9">
        <v>478</v>
      </c>
      <c r="K168" s="9">
        <v>72</v>
      </c>
      <c r="L168" s="9">
        <v>266</v>
      </c>
      <c r="M168" s="9">
        <v>175</v>
      </c>
      <c r="N168" s="9">
        <v>71</v>
      </c>
      <c r="O168" s="9">
        <v>97</v>
      </c>
      <c r="P168" s="9">
        <v>19</v>
      </c>
      <c r="Q168" s="9">
        <v>179</v>
      </c>
      <c r="R168" s="9">
        <v>19</v>
      </c>
      <c r="S168" s="9">
        <v>27</v>
      </c>
      <c r="T168" s="9">
        <v>43</v>
      </c>
      <c r="U168" s="9">
        <v>152</v>
      </c>
      <c r="V168" s="9">
        <v>50</v>
      </c>
      <c r="W168" s="9">
        <v>7</v>
      </c>
      <c r="X168" s="9">
        <v>50</v>
      </c>
      <c r="Y168" s="9">
        <v>14</v>
      </c>
      <c r="Z168" s="9">
        <v>50</v>
      </c>
      <c r="AA168" s="9">
        <v>57</v>
      </c>
      <c r="AB168" s="9">
        <v>0</v>
      </c>
      <c r="AC168" s="9">
        <v>14</v>
      </c>
      <c r="AD168" s="9">
        <v>28</v>
      </c>
      <c r="AE168" s="9">
        <v>7</v>
      </c>
      <c r="AF168" s="9">
        <v>7</v>
      </c>
      <c r="AG168" s="9">
        <v>36</v>
      </c>
      <c r="AH168" s="9">
        <v>7</v>
      </c>
      <c r="AI168" s="9">
        <v>7</v>
      </c>
      <c r="AJ168" s="9">
        <v>7</v>
      </c>
      <c r="AK168" s="9">
        <v>43</v>
      </c>
      <c r="AL168" s="9">
        <v>36</v>
      </c>
      <c r="AM168" s="9">
        <v>14</v>
      </c>
      <c r="AN168" s="9">
        <v>0</v>
      </c>
      <c r="AO168" s="9">
        <v>0</v>
      </c>
      <c r="AP168" s="9">
        <v>14</v>
      </c>
      <c r="AQ168" s="9">
        <v>14</v>
      </c>
      <c r="AR168" s="9">
        <v>72</v>
      </c>
      <c r="AS168" s="9">
        <v>21</v>
      </c>
      <c r="AT168" s="9">
        <v>50</v>
      </c>
      <c r="AU168" s="9">
        <v>7</v>
      </c>
      <c r="AV168" s="9">
        <v>0</v>
      </c>
      <c r="AW168" s="9">
        <v>21</v>
      </c>
      <c r="AX168" s="9">
        <v>7</v>
      </c>
      <c r="AY168" s="9">
        <v>0</v>
      </c>
      <c r="AZ168" s="9">
        <v>83</v>
      </c>
      <c r="BA168" s="10">
        <v>116.75</v>
      </c>
      <c r="BB168" s="11">
        <v>38096.17</v>
      </c>
      <c r="BC168" s="11">
        <v>28572.13</v>
      </c>
      <c r="BD168" s="11">
        <v>28572.13</v>
      </c>
      <c r="BE168" s="11">
        <v>13095.56</v>
      </c>
      <c r="BF168" s="11">
        <v>10714.55</v>
      </c>
      <c r="BG168" s="11">
        <v>29000</v>
      </c>
      <c r="BH168" s="11">
        <v>13750</v>
      </c>
      <c r="BI168" s="11">
        <v>8809</v>
      </c>
      <c r="BJ168" s="11">
        <v>26687</v>
      </c>
      <c r="BK168" s="11">
        <v>48286</v>
      </c>
      <c r="BL168" s="11">
        <v>22765</v>
      </c>
      <c r="BM168" s="11">
        <v>21425</v>
      </c>
      <c r="BN168" s="11">
        <v>11977</v>
      </c>
      <c r="BO168" s="9">
        <v>126000</v>
      </c>
      <c r="BP168" s="9">
        <v>8729</v>
      </c>
    </row>
    <row r="169" spans="1:68" x14ac:dyDescent="0.3">
      <c r="A169" s="7">
        <v>45459</v>
      </c>
      <c r="B169" s="7" t="str">
        <f t="shared" si="2"/>
        <v>JUNE</v>
      </c>
      <c r="C169" s="8">
        <f>MONTH(Data!$A169)</f>
        <v>6</v>
      </c>
      <c r="D169" s="9">
        <v>1018</v>
      </c>
      <c r="E169" s="9">
        <v>737</v>
      </c>
      <c r="F169" s="9">
        <v>346</v>
      </c>
      <c r="G169" s="9">
        <v>550</v>
      </c>
      <c r="H169" s="9">
        <v>122</v>
      </c>
      <c r="I169" s="9">
        <v>154</v>
      </c>
      <c r="J169" s="9">
        <v>429</v>
      </c>
      <c r="K169" s="9">
        <v>154</v>
      </c>
      <c r="L169" s="9">
        <v>220</v>
      </c>
      <c r="M169" s="9">
        <v>138</v>
      </c>
      <c r="N169" s="9">
        <v>75</v>
      </c>
      <c r="O169" s="9">
        <v>88</v>
      </c>
      <c r="P169" s="9">
        <v>12</v>
      </c>
      <c r="Q169" s="9">
        <v>189</v>
      </c>
      <c r="R169" s="9">
        <v>108</v>
      </c>
      <c r="S169" s="9">
        <v>27</v>
      </c>
      <c r="T169" s="9">
        <v>23</v>
      </c>
      <c r="U169" s="9">
        <v>138</v>
      </c>
      <c r="V169" s="9">
        <v>44</v>
      </c>
      <c r="W169" s="9">
        <v>7</v>
      </c>
      <c r="X169" s="9">
        <v>51</v>
      </c>
      <c r="Y169" s="9">
        <v>7</v>
      </c>
      <c r="Z169" s="9">
        <v>79</v>
      </c>
      <c r="AA169" s="9">
        <v>36</v>
      </c>
      <c r="AB169" s="9">
        <v>7</v>
      </c>
      <c r="AC169" s="9">
        <v>0</v>
      </c>
      <c r="AD169" s="9">
        <v>14</v>
      </c>
      <c r="AE169" s="9">
        <v>7</v>
      </c>
      <c r="AF169" s="9">
        <v>7</v>
      </c>
      <c r="AG169" s="9">
        <v>36</v>
      </c>
      <c r="AH169" s="9">
        <v>0</v>
      </c>
      <c r="AI169" s="9">
        <v>22</v>
      </c>
      <c r="AJ169" s="9">
        <v>14</v>
      </c>
      <c r="AK169" s="9">
        <v>51</v>
      </c>
      <c r="AL169" s="9">
        <v>44</v>
      </c>
      <c r="AM169" s="9">
        <v>29</v>
      </c>
      <c r="AN169" s="9">
        <v>14</v>
      </c>
      <c r="AO169" s="9">
        <v>0</v>
      </c>
      <c r="AP169" s="9">
        <v>14</v>
      </c>
      <c r="AQ169" s="9">
        <v>22</v>
      </c>
      <c r="AR169" s="9">
        <v>73</v>
      </c>
      <c r="AS169" s="9">
        <v>7</v>
      </c>
      <c r="AT169" s="9">
        <v>58</v>
      </c>
      <c r="AU169" s="9">
        <v>14</v>
      </c>
      <c r="AV169" s="9">
        <v>0</v>
      </c>
      <c r="AW169" s="9">
        <v>44</v>
      </c>
      <c r="AX169" s="9">
        <v>22</v>
      </c>
      <c r="AY169" s="9">
        <v>14</v>
      </c>
      <c r="AZ169" s="9">
        <v>0</v>
      </c>
      <c r="BA169" s="10">
        <v>113.56</v>
      </c>
      <c r="BB169" s="11">
        <v>32688.14</v>
      </c>
      <c r="BC169" s="11">
        <v>22181.24</v>
      </c>
      <c r="BD169" s="11">
        <v>17511.5</v>
      </c>
      <c r="BE169" s="11">
        <v>10506.9</v>
      </c>
      <c r="BF169" s="11">
        <v>33855.57</v>
      </c>
      <c r="BG169" s="11">
        <v>29000</v>
      </c>
      <c r="BH169" s="11">
        <v>10000</v>
      </c>
      <c r="BI169" s="11">
        <v>8809</v>
      </c>
      <c r="BJ169" s="11">
        <v>12053</v>
      </c>
      <c r="BK169" s="11">
        <v>48286</v>
      </c>
      <c r="BL169" s="11">
        <v>22765</v>
      </c>
      <c r="BM169" s="11">
        <v>21425</v>
      </c>
      <c r="BN169" s="11">
        <v>11977</v>
      </c>
      <c r="BO169" s="9">
        <v>126000</v>
      </c>
      <c r="BP169" s="9">
        <v>7010</v>
      </c>
    </row>
    <row r="170" spans="1:68" x14ac:dyDescent="0.3">
      <c r="A170" s="7">
        <v>45460</v>
      </c>
      <c r="B170" s="7" t="str">
        <f t="shared" si="2"/>
        <v>JUNE</v>
      </c>
      <c r="C170" s="8">
        <f>MONTH(Data!$A170)</f>
        <v>6</v>
      </c>
      <c r="D170" s="9">
        <v>995</v>
      </c>
      <c r="E170" s="9">
        <v>764</v>
      </c>
      <c r="F170" s="9">
        <v>268</v>
      </c>
      <c r="G170" s="9">
        <v>668</v>
      </c>
      <c r="H170" s="9">
        <v>59</v>
      </c>
      <c r="I170" s="9">
        <v>313</v>
      </c>
      <c r="J170" s="9">
        <v>360</v>
      </c>
      <c r="K170" s="9">
        <v>91</v>
      </c>
      <c r="L170" s="9">
        <v>265</v>
      </c>
      <c r="M170" s="9">
        <v>141</v>
      </c>
      <c r="N170" s="9">
        <v>67</v>
      </c>
      <c r="O170" s="9">
        <v>67</v>
      </c>
      <c r="P170" s="9">
        <v>61</v>
      </c>
      <c r="Q170" s="9">
        <v>207</v>
      </c>
      <c r="R170" s="9">
        <v>120</v>
      </c>
      <c r="S170" s="9">
        <v>34</v>
      </c>
      <c r="T170" s="9">
        <v>26</v>
      </c>
      <c r="U170" s="9">
        <v>7</v>
      </c>
      <c r="V170" s="9">
        <v>99</v>
      </c>
      <c r="W170" s="9">
        <v>7</v>
      </c>
      <c r="X170" s="9">
        <v>38</v>
      </c>
      <c r="Y170" s="9">
        <v>0</v>
      </c>
      <c r="Z170" s="9">
        <v>67</v>
      </c>
      <c r="AA170" s="9">
        <v>68</v>
      </c>
      <c r="AB170" s="9">
        <v>15</v>
      </c>
      <c r="AC170" s="9">
        <v>7</v>
      </c>
      <c r="AD170" s="9">
        <v>15</v>
      </c>
      <c r="AE170" s="9">
        <v>0</v>
      </c>
      <c r="AF170" s="9">
        <v>7</v>
      </c>
      <c r="AG170" s="9">
        <v>7</v>
      </c>
      <c r="AH170" s="9">
        <v>7</v>
      </c>
      <c r="AI170" s="9">
        <v>0</v>
      </c>
      <c r="AJ170" s="9">
        <v>7</v>
      </c>
      <c r="AK170" s="9">
        <v>76</v>
      </c>
      <c r="AL170" s="9">
        <v>30</v>
      </c>
      <c r="AM170" s="9">
        <v>30</v>
      </c>
      <c r="AN170" s="9">
        <v>22</v>
      </c>
      <c r="AO170" s="9">
        <v>7</v>
      </c>
      <c r="AP170" s="9">
        <v>15</v>
      </c>
      <c r="AQ170" s="9">
        <v>22</v>
      </c>
      <c r="AR170" s="9">
        <v>53</v>
      </c>
      <c r="AS170" s="9">
        <v>7</v>
      </c>
      <c r="AT170" s="9">
        <v>30</v>
      </c>
      <c r="AU170" s="9">
        <v>38</v>
      </c>
      <c r="AV170" s="9">
        <v>0</v>
      </c>
      <c r="AW170" s="9">
        <v>30</v>
      </c>
      <c r="AX170" s="9">
        <v>30</v>
      </c>
      <c r="AY170" s="9">
        <v>30</v>
      </c>
      <c r="AZ170" s="9">
        <v>0</v>
      </c>
      <c r="BA170" s="10">
        <v>110.51999999999998</v>
      </c>
      <c r="BB170" s="11">
        <v>35203.79</v>
      </c>
      <c r="BC170" s="11">
        <v>18169.7</v>
      </c>
      <c r="BD170" s="11">
        <v>21576.51</v>
      </c>
      <c r="BE170" s="11">
        <v>20440.91</v>
      </c>
      <c r="BF170" s="11">
        <v>18169.7</v>
      </c>
      <c r="BG170" s="11">
        <v>29000</v>
      </c>
      <c r="BH170" s="11">
        <v>10000</v>
      </c>
      <c r="BI170" s="11">
        <v>8809</v>
      </c>
      <c r="BJ170" s="11">
        <v>12053</v>
      </c>
      <c r="BK170" s="11">
        <v>48286</v>
      </c>
      <c r="BL170" s="11">
        <v>22765</v>
      </c>
      <c r="BM170" s="11">
        <v>21425</v>
      </c>
      <c r="BN170" s="11">
        <v>11977</v>
      </c>
      <c r="BO170" s="9">
        <v>126000</v>
      </c>
      <c r="BP170" s="9">
        <v>6260</v>
      </c>
    </row>
    <row r="171" spans="1:68" x14ac:dyDescent="0.3">
      <c r="A171" s="7">
        <v>45461</v>
      </c>
      <c r="B171" s="7" t="str">
        <f t="shared" si="2"/>
        <v>JUNE</v>
      </c>
      <c r="C171" s="8">
        <f>MONTH(Data!$A171)</f>
        <v>6</v>
      </c>
      <c r="D171" s="9">
        <v>986</v>
      </c>
      <c r="E171" s="9">
        <v>796</v>
      </c>
      <c r="F171" s="9">
        <v>374</v>
      </c>
      <c r="G171" s="9">
        <v>405</v>
      </c>
      <c r="H171" s="9">
        <v>207</v>
      </c>
      <c r="I171" s="9">
        <v>358</v>
      </c>
      <c r="J171" s="9">
        <v>255</v>
      </c>
      <c r="K171" s="9">
        <v>183</v>
      </c>
      <c r="L171" s="9">
        <v>292</v>
      </c>
      <c r="M171" s="9">
        <v>134</v>
      </c>
      <c r="N171" s="9">
        <v>79</v>
      </c>
      <c r="O171" s="9">
        <v>79</v>
      </c>
      <c r="P171" s="9">
        <v>48</v>
      </c>
      <c r="Q171" s="9">
        <v>198</v>
      </c>
      <c r="R171" s="9">
        <v>97</v>
      </c>
      <c r="S171" s="9">
        <v>33</v>
      </c>
      <c r="T171" s="9">
        <v>26</v>
      </c>
      <c r="U171" s="9">
        <v>0</v>
      </c>
      <c r="V171" s="9">
        <v>55</v>
      </c>
      <c r="W171" s="9">
        <v>23</v>
      </c>
      <c r="X171" s="9">
        <v>55</v>
      </c>
      <c r="Y171" s="9">
        <v>0</v>
      </c>
      <c r="Z171" s="9">
        <v>79</v>
      </c>
      <c r="AA171" s="9">
        <v>55</v>
      </c>
      <c r="AB171" s="9">
        <v>15</v>
      </c>
      <c r="AC171" s="9">
        <v>15</v>
      </c>
      <c r="AD171" s="9">
        <v>39</v>
      </c>
      <c r="AE171" s="9">
        <v>15</v>
      </c>
      <c r="AF171" s="9">
        <v>0</v>
      </c>
      <c r="AG171" s="9">
        <v>23</v>
      </c>
      <c r="AH171" s="9">
        <v>7</v>
      </c>
      <c r="AI171" s="9">
        <v>7</v>
      </c>
      <c r="AJ171" s="9">
        <v>15</v>
      </c>
      <c r="AK171" s="9">
        <v>31</v>
      </c>
      <c r="AL171" s="9">
        <v>15</v>
      </c>
      <c r="AM171" s="9">
        <v>23</v>
      </c>
      <c r="AN171" s="9">
        <v>15</v>
      </c>
      <c r="AO171" s="9">
        <v>0</v>
      </c>
      <c r="AP171" s="9">
        <v>23</v>
      </c>
      <c r="AQ171" s="9">
        <v>23</v>
      </c>
      <c r="AR171" s="9">
        <v>71</v>
      </c>
      <c r="AS171" s="9">
        <v>23</v>
      </c>
      <c r="AT171" s="9">
        <v>39</v>
      </c>
      <c r="AU171" s="9">
        <v>7</v>
      </c>
      <c r="AV171" s="9">
        <v>0</v>
      </c>
      <c r="AW171" s="9">
        <v>39</v>
      </c>
      <c r="AX171" s="9">
        <v>31</v>
      </c>
      <c r="AY171" s="9">
        <v>31</v>
      </c>
      <c r="AZ171" s="9">
        <v>22</v>
      </c>
      <c r="BA171" s="10">
        <v>106.93</v>
      </c>
      <c r="BB171" s="11">
        <v>34264.519999999997</v>
      </c>
      <c r="BC171" s="11">
        <v>25422.06</v>
      </c>
      <c r="BD171" s="11">
        <v>23211.45</v>
      </c>
      <c r="BE171" s="11">
        <v>11053.07</v>
      </c>
      <c r="BF171" s="11">
        <v>16579.61</v>
      </c>
      <c r="BG171" s="11">
        <v>29000</v>
      </c>
      <c r="BH171" s="11">
        <v>10000</v>
      </c>
      <c r="BI171" s="11">
        <v>8809</v>
      </c>
      <c r="BJ171" s="11">
        <v>12053</v>
      </c>
      <c r="BK171" s="11">
        <v>48286</v>
      </c>
      <c r="BL171" s="11">
        <v>22765</v>
      </c>
      <c r="BM171" s="11">
        <v>21425</v>
      </c>
      <c r="BN171" s="11">
        <v>11977</v>
      </c>
      <c r="BO171" s="9">
        <v>126000</v>
      </c>
      <c r="BP171" s="9">
        <v>3057</v>
      </c>
    </row>
    <row r="172" spans="1:68" x14ac:dyDescent="0.3">
      <c r="A172" s="7">
        <v>45462</v>
      </c>
      <c r="B172" s="7" t="str">
        <f t="shared" si="2"/>
        <v>JUNE</v>
      </c>
      <c r="C172" s="8">
        <f>MONTH(Data!$A172)</f>
        <v>6</v>
      </c>
      <c r="D172" s="9">
        <v>983</v>
      </c>
      <c r="E172" s="9">
        <v>841</v>
      </c>
      <c r="F172" s="9">
        <v>452</v>
      </c>
      <c r="G172" s="9">
        <v>296</v>
      </c>
      <c r="H172" s="9">
        <v>235</v>
      </c>
      <c r="I172" s="9">
        <v>227</v>
      </c>
      <c r="J172" s="9">
        <v>455</v>
      </c>
      <c r="K172" s="9">
        <v>159</v>
      </c>
      <c r="L172" s="9">
        <v>292</v>
      </c>
      <c r="M172" s="9">
        <v>182</v>
      </c>
      <c r="N172" s="9">
        <v>54</v>
      </c>
      <c r="O172" s="9">
        <v>48</v>
      </c>
      <c r="P172" s="9">
        <v>12</v>
      </c>
      <c r="Q172" s="9">
        <v>179</v>
      </c>
      <c r="R172" s="9">
        <v>97</v>
      </c>
      <c r="S172" s="9">
        <v>52</v>
      </c>
      <c r="T172" s="9">
        <v>37</v>
      </c>
      <c r="U172" s="9">
        <v>30</v>
      </c>
      <c r="V172" s="9">
        <v>117</v>
      </c>
      <c r="W172" s="9">
        <v>8</v>
      </c>
      <c r="X172" s="9">
        <v>33</v>
      </c>
      <c r="Y172" s="9">
        <v>0</v>
      </c>
      <c r="Z172" s="9">
        <v>58</v>
      </c>
      <c r="AA172" s="9">
        <v>58</v>
      </c>
      <c r="AB172" s="9">
        <v>0</v>
      </c>
      <c r="AC172" s="9">
        <v>0</v>
      </c>
      <c r="AD172" s="9">
        <v>42</v>
      </c>
      <c r="AE172" s="9">
        <v>25</v>
      </c>
      <c r="AF172" s="9">
        <v>8</v>
      </c>
      <c r="AG172" s="9">
        <v>8</v>
      </c>
      <c r="AH172" s="9">
        <v>8</v>
      </c>
      <c r="AI172" s="9">
        <v>16</v>
      </c>
      <c r="AJ172" s="9">
        <v>16</v>
      </c>
      <c r="AK172" s="9">
        <v>42</v>
      </c>
      <c r="AL172" s="9">
        <v>33</v>
      </c>
      <c r="AM172" s="9">
        <v>42</v>
      </c>
      <c r="AN172" s="9">
        <v>0</v>
      </c>
      <c r="AO172" s="9">
        <v>0</v>
      </c>
      <c r="AP172" s="9">
        <v>33</v>
      </c>
      <c r="AQ172" s="9">
        <v>8</v>
      </c>
      <c r="AR172" s="9">
        <v>67</v>
      </c>
      <c r="AS172" s="9">
        <v>8</v>
      </c>
      <c r="AT172" s="9">
        <v>33</v>
      </c>
      <c r="AU172" s="9">
        <v>33</v>
      </c>
      <c r="AV172" s="9">
        <v>0</v>
      </c>
      <c r="AW172" s="9">
        <v>50</v>
      </c>
      <c r="AX172" s="9">
        <v>25</v>
      </c>
      <c r="AY172" s="9">
        <v>8</v>
      </c>
      <c r="AZ172" s="9">
        <v>62</v>
      </c>
      <c r="BA172" s="10">
        <v>103.52</v>
      </c>
      <c r="BB172" s="11">
        <v>36353.279999999999</v>
      </c>
      <c r="BC172" s="11">
        <v>17107.43</v>
      </c>
      <c r="BD172" s="11">
        <v>20315.07</v>
      </c>
      <c r="BE172" s="11">
        <v>20315.07</v>
      </c>
      <c r="BF172" s="11">
        <v>12830.57</v>
      </c>
      <c r="BG172" s="11">
        <v>29000</v>
      </c>
      <c r="BH172" s="11">
        <v>10000</v>
      </c>
      <c r="BI172" s="11">
        <v>8809</v>
      </c>
      <c r="BJ172" s="11">
        <v>12053</v>
      </c>
      <c r="BK172" s="11">
        <v>48286</v>
      </c>
      <c r="BL172" s="11">
        <v>22765</v>
      </c>
      <c r="BM172" s="11">
        <v>21425</v>
      </c>
      <c r="BN172" s="11">
        <v>11977</v>
      </c>
      <c r="BO172" s="9">
        <v>126000</v>
      </c>
      <c r="BP172" s="9">
        <v>6203</v>
      </c>
    </row>
    <row r="173" spans="1:68" x14ac:dyDescent="0.3">
      <c r="A173" s="7">
        <v>45463</v>
      </c>
      <c r="B173" s="7" t="str">
        <f t="shared" si="2"/>
        <v>JUNE</v>
      </c>
      <c r="C173" s="8">
        <f>MONTH(Data!$A173)</f>
        <v>6</v>
      </c>
      <c r="D173" s="9">
        <v>985</v>
      </c>
      <c r="E173" s="9">
        <v>874</v>
      </c>
      <c r="F173" s="9">
        <v>275</v>
      </c>
      <c r="G173" s="9">
        <v>533</v>
      </c>
      <c r="H173" s="9">
        <v>177</v>
      </c>
      <c r="I173" s="9">
        <v>209</v>
      </c>
      <c r="J173" s="9">
        <v>578</v>
      </c>
      <c r="K173" s="9">
        <v>87</v>
      </c>
      <c r="L173" s="9">
        <v>335</v>
      </c>
      <c r="M173" s="9">
        <v>122</v>
      </c>
      <c r="N173" s="9">
        <v>91</v>
      </c>
      <c r="O173" s="9">
        <v>54</v>
      </c>
      <c r="P173" s="9">
        <v>24</v>
      </c>
      <c r="Q173" s="9">
        <v>160</v>
      </c>
      <c r="R173" s="9">
        <v>37</v>
      </c>
      <c r="S173" s="9">
        <v>33</v>
      </c>
      <c r="T173" s="9">
        <v>26</v>
      </c>
      <c r="U173" s="9">
        <v>103</v>
      </c>
      <c r="V173" s="9">
        <v>96</v>
      </c>
      <c r="W173" s="9">
        <v>26</v>
      </c>
      <c r="X173" s="9">
        <v>61</v>
      </c>
      <c r="Y173" s="9">
        <v>0</v>
      </c>
      <c r="Z173" s="9">
        <v>78</v>
      </c>
      <c r="AA173" s="9">
        <v>43</v>
      </c>
      <c r="AB173" s="9">
        <v>0</v>
      </c>
      <c r="AC173" s="9">
        <v>17</v>
      </c>
      <c r="AD173" s="9">
        <v>52</v>
      </c>
      <c r="AE173" s="9">
        <v>17</v>
      </c>
      <c r="AF173" s="9">
        <v>8</v>
      </c>
      <c r="AG173" s="9">
        <v>26</v>
      </c>
      <c r="AH173" s="9">
        <v>17</v>
      </c>
      <c r="AI173" s="9">
        <v>17</v>
      </c>
      <c r="AJ173" s="9">
        <v>8</v>
      </c>
      <c r="AK173" s="9">
        <v>61</v>
      </c>
      <c r="AL173" s="9">
        <v>8</v>
      </c>
      <c r="AM173" s="9">
        <v>17</v>
      </c>
      <c r="AN173" s="9">
        <v>8</v>
      </c>
      <c r="AO173" s="9">
        <v>8</v>
      </c>
      <c r="AP173" s="9">
        <v>17</v>
      </c>
      <c r="AQ173" s="9">
        <v>34</v>
      </c>
      <c r="AR173" s="9">
        <v>69</v>
      </c>
      <c r="AS173" s="9">
        <v>17</v>
      </c>
      <c r="AT173" s="9">
        <v>43</v>
      </c>
      <c r="AU173" s="9">
        <v>17</v>
      </c>
      <c r="AV173" s="9">
        <v>0</v>
      </c>
      <c r="AW173" s="9">
        <v>52</v>
      </c>
      <c r="AX173" s="9">
        <v>0</v>
      </c>
      <c r="AY173" s="9">
        <v>26</v>
      </c>
      <c r="AZ173" s="9">
        <v>31</v>
      </c>
      <c r="BA173" s="10">
        <v>100.31</v>
      </c>
      <c r="BB173" s="11">
        <v>25879.72</v>
      </c>
      <c r="BC173" s="11">
        <v>16563.02</v>
      </c>
      <c r="BD173" s="11">
        <v>11387.08</v>
      </c>
      <c r="BE173" s="11">
        <v>14492.64</v>
      </c>
      <c r="BF173" s="11">
        <v>35196.42</v>
      </c>
      <c r="BG173" s="11">
        <v>29000</v>
      </c>
      <c r="BH173" s="11">
        <v>10000</v>
      </c>
      <c r="BI173" s="11">
        <v>8809</v>
      </c>
      <c r="BJ173" s="11">
        <v>12053</v>
      </c>
      <c r="BK173" s="11">
        <v>48286</v>
      </c>
      <c r="BL173" s="11">
        <v>22765</v>
      </c>
      <c r="BM173" s="11">
        <v>21425</v>
      </c>
      <c r="BN173" s="11">
        <v>11977</v>
      </c>
      <c r="BO173" s="9">
        <v>126000</v>
      </c>
      <c r="BP173" s="9">
        <v>7443</v>
      </c>
    </row>
    <row r="174" spans="1:68" x14ac:dyDescent="0.3">
      <c r="A174" s="7">
        <v>45464</v>
      </c>
      <c r="B174" s="7" t="str">
        <f t="shared" si="2"/>
        <v>JUNE</v>
      </c>
      <c r="C174" s="8">
        <f>MONTH(Data!$A174)</f>
        <v>6</v>
      </c>
      <c r="D174" s="9">
        <v>998</v>
      </c>
      <c r="E174" s="9">
        <v>902</v>
      </c>
      <c r="F174" s="9">
        <v>399</v>
      </c>
      <c r="G174" s="9">
        <v>390</v>
      </c>
      <c r="H174" s="9">
        <v>209</v>
      </c>
      <c r="I174" s="9">
        <v>315</v>
      </c>
      <c r="J174" s="9">
        <v>425</v>
      </c>
      <c r="K174" s="9">
        <v>162</v>
      </c>
      <c r="L174" s="9">
        <v>228</v>
      </c>
      <c r="M174" s="9">
        <v>167</v>
      </c>
      <c r="N174" s="9">
        <v>61</v>
      </c>
      <c r="O174" s="9">
        <v>86</v>
      </c>
      <c r="P174" s="9">
        <v>24</v>
      </c>
      <c r="Q174" s="9">
        <v>151</v>
      </c>
      <c r="R174" s="9">
        <v>18</v>
      </c>
      <c r="S174" s="9">
        <v>30</v>
      </c>
      <c r="T174" s="9">
        <v>18</v>
      </c>
      <c r="U174" s="9">
        <v>215</v>
      </c>
      <c r="V174" s="9">
        <v>45</v>
      </c>
      <c r="W174" s="9">
        <v>18</v>
      </c>
      <c r="X174" s="9">
        <v>36</v>
      </c>
      <c r="Y174" s="9">
        <v>18</v>
      </c>
      <c r="Z174" s="9">
        <v>126</v>
      </c>
      <c r="AA174" s="9">
        <v>54</v>
      </c>
      <c r="AB174" s="9">
        <v>27</v>
      </c>
      <c r="AC174" s="9">
        <v>27</v>
      </c>
      <c r="AD174" s="9">
        <v>36</v>
      </c>
      <c r="AE174" s="9">
        <v>0</v>
      </c>
      <c r="AF174" s="9">
        <v>0</v>
      </c>
      <c r="AG174" s="9">
        <v>9</v>
      </c>
      <c r="AH174" s="9">
        <v>18</v>
      </c>
      <c r="AI174" s="9">
        <v>27</v>
      </c>
      <c r="AJ174" s="9">
        <v>9</v>
      </c>
      <c r="AK174" s="9">
        <v>72</v>
      </c>
      <c r="AL174" s="9">
        <v>45</v>
      </c>
      <c r="AM174" s="9">
        <v>36</v>
      </c>
      <c r="AN174" s="9">
        <v>0</v>
      </c>
      <c r="AO174" s="9">
        <v>9</v>
      </c>
      <c r="AP174" s="9">
        <v>36</v>
      </c>
      <c r="AQ174" s="9">
        <v>36</v>
      </c>
      <c r="AR174" s="9">
        <v>81</v>
      </c>
      <c r="AS174" s="9">
        <v>9</v>
      </c>
      <c r="AT174" s="9">
        <v>36</v>
      </c>
      <c r="AU174" s="9">
        <v>36</v>
      </c>
      <c r="AV174" s="9">
        <v>9</v>
      </c>
      <c r="AW174" s="9">
        <v>9</v>
      </c>
      <c r="AX174" s="9">
        <v>0</v>
      </c>
      <c r="AY174" s="9">
        <v>36</v>
      </c>
      <c r="AZ174" s="9">
        <v>2</v>
      </c>
      <c r="BA174" s="10">
        <v>97.16</v>
      </c>
      <c r="BB174" s="11">
        <v>27082.73</v>
      </c>
      <c r="BC174" s="11">
        <v>16049.02</v>
      </c>
      <c r="BD174" s="11">
        <v>12036.77</v>
      </c>
      <c r="BE174" s="11">
        <v>17052.09</v>
      </c>
      <c r="BF174" s="11">
        <v>28085.79</v>
      </c>
      <c r="BG174" s="11">
        <v>29000</v>
      </c>
      <c r="BH174" s="11">
        <v>10000</v>
      </c>
      <c r="BI174" s="11">
        <v>8809</v>
      </c>
      <c r="BJ174" s="11">
        <v>12053</v>
      </c>
      <c r="BK174" s="11">
        <v>48286</v>
      </c>
      <c r="BL174" s="11">
        <v>22765</v>
      </c>
      <c r="BM174" s="11">
        <v>21425</v>
      </c>
      <c r="BN174" s="11">
        <v>11977</v>
      </c>
      <c r="BO174" s="9">
        <v>126000</v>
      </c>
      <c r="BP174" s="9">
        <v>7169</v>
      </c>
    </row>
    <row r="175" spans="1:68" x14ac:dyDescent="0.3">
      <c r="A175" s="7">
        <v>45465</v>
      </c>
      <c r="B175" s="7" t="str">
        <f t="shared" si="2"/>
        <v>JUNE</v>
      </c>
      <c r="C175" s="8">
        <f>MONTH(Data!$A175)</f>
        <v>6</v>
      </c>
      <c r="D175" s="9">
        <v>1032</v>
      </c>
      <c r="E175" s="9">
        <v>910</v>
      </c>
      <c r="F175" s="9">
        <v>495</v>
      </c>
      <c r="G175" s="9">
        <v>465</v>
      </c>
      <c r="H175" s="9">
        <v>72</v>
      </c>
      <c r="I175" s="9">
        <v>473</v>
      </c>
      <c r="J175" s="9">
        <v>346</v>
      </c>
      <c r="K175" s="9">
        <v>91</v>
      </c>
      <c r="L175" s="9">
        <v>217</v>
      </c>
      <c r="M175" s="9">
        <v>159</v>
      </c>
      <c r="N175" s="9">
        <v>95</v>
      </c>
      <c r="O175" s="9">
        <v>76</v>
      </c>
      <c r="P175" s="9">
        <v>51</v>
      </c>
      <c r="Q175" s="9">
        <v>207</v>
      </c>
      <c r="R175" s="9">
        <v>35</v>
      </c>
      <c r="S175" s="9">
        <v>27</v>
      </c>
      <c r="T175" s="9">
        <v>54</v>
      </c>
      <c r="U175" s="9">
        <v>111</v>
      </c>
      <c r="V175" s="9">
        <v>91</v>
      </c>
      <c r="W175" s="9">
        <v>0</v>
      </c>
      <c r="X175" s="9">
        <v>45</v>
      </c>
      <c r="Y175" s="9">
        <v>27</v>
      </c>
      <c r="Z175" s="9">
        <v>54</v>
      </c>
      <c r="AA175" s="9">
        <v>63</v>
      </c>
      <c r="AB175" s="9">
        <v>9</v>
      </c>
      <c r="AC175" s="9">
        <v>27</v>
      </c>
      <c r="AD175" s="9">
        <v>18</v>
      </c>
      <c r="AE175" s="9">
        <v>18</v>
      </c>
      <c r="AF175" s="9">
        <v>0</v>
      </c>
      <c r="AG175" s="9">
        <v>45</v>
      </c>
      <c r="AH175" s="9">
        <v>9</v>
      </c>
      <c r="AI175" s="9">
        <v>18</v>
      </c>
      <c r="AJ175" s="9">
        <v>0</v>
      </c>
      <c r="AK175" s="9">
        <v>45</v>
      </c>
      <c r="AL175" s="9">
        <v>45</v>
      </c>
      <c r="AM175" s="9">
        <v>45</v>
      </c>
      <c r="AN175" s="9">
        <v>0</v>
      </c>
      <c r="AO175" s="9">
        <v>0</v>
      </c>
      <c r="AP175" s="9">
        <v>18</v>
      </c>
      <c r="AQ175" s="9">
        <v>9</v>
      </c>
      <c r="AR175" s="9">
        <v>63</v>
      </c>
      <c r="AS175" s="9">
        <v>27</v>
      </c>
      <c r="AT175" s="9">
        <v>72</v>
      </c>
      <c r="AU175" s="9">
        <v>18</v>
      </c>
      <c r="AV175" s="9">
        <v>0</v>
      </c>
      <c r="AW175" s="9">
        <v>45</v>
      </c>
      <c r="AX175" s="9">
        <v>27</v>
      </c>
      <c r="AY175" s="9">
        <v>9</v>
      </c>
      <c r="AZ175" s="9">
        <v>63</v>
      </c>
      <c r="BA175" s="10">
        <v>94.62</v>
      </c>
      <c r="BB175" s="11">
        <v>24286.880000000001</v>
      </c>
      <c r="BC175" s="11">
        <v>23315.41</v>
      </c>
      <c r="BD175" s="11">
        <v>19429.509999999998</v>
      </c>
      <c r="BE175" s="11">
        <v>17486.560000000001</v>
      </c>
      <c r="BF175" s="11">
        <v>12629.18</v>
      </c>
      <c r="BG175" s="11">
        <v>29000</v>
      </c>
      <c r="BH175" s="11">
        <v>10000</v>
      </c>
      <c r="BI175" s="11">
        <v>8809</v>
      </c>
      <c r="BJ175" s="11">
        <v>12053</v>
      </c>
      <c r="BK175" s="11">
        <v>48286</v>
      </c>
      <c r="BL175" s="11">
        <v>22765</v>
      </c>
      <c r="BM175" s="11">
        <v>21425</v>
      </c>
      <c r="BN175" s="11">
        <v>11977</v>
      </c>
      <c r="BO175" s="9">
        <v>126000</v>
      </c>
      <c r="BP175" s="9">
        <v>219</v>
      </c>
    </row>
    <row r="176" spans="1:68" x14ac:dyDescent="0.3">
      <c r="A176" s="7">
        <v>45466</v>
      </c>
      <c r="B176" s="7" t="str">
        <f t="shared" si="2"/>
        <v>JUNE</v>
      </c>
      <c r="C176" s="8">
        <f>MONTH(Data!$A176)</f>
        <v>6</v>
      </c>
      <c r="D176" s="9">
        <v>1047</v>
      </c>
      <c r="E176" s="9">
        <v>912</v>
      </c>
      <c r="F176" s="9">
        <v>366</v>
      </c>
      <c r="G176" s="9">
        <v>451</v>
      </c>
      <c r="H176" s="9">
        <v>230</v>
      </c>
      <c r="I176" s="9">
        <v>355</v>
      </c>
      <c r="J176" s="9">
        <v>375</v>
      </c>
      <c r="K176" s="9">
        <v>182</v>
      </c>
      <c r="L176" s="9">
        <v>246</v>
      </c>
      <c r="M176" s="9">
        <v>142</v>
      </c>
      <c r="N176" s="9">
        <v>97</v>
      </c>
      <c r="O176" s="9">
        <v>64</v>
      </c>
      <c r="P176" s="9">
        <v>32</v>
      </c>
      <c r="Q176" s="9">
        <v>206</v>
      </c>
      <c r="R176" s="9">
        <v>59</v>
      </c>
      <c r="S176" s="9">
        <v>31</v>
      </c>
      <c r="T176" s="9">
        <v>43</v>
      </c>
      <c r="U176" s="9">
        <v>127</v>
      </c>
      <c r="V176" s="9">
        <v>36</v>
      </c>
      <c r="W176" s="9">
        <v>9</v>
      </c>
      <c r="X176" s="9">
        <v>36</v>
      </c>
      <c r="Y176" s="9">
        <v>27</v>
      </c>
      <c r="Z176" s="9">
        <v>100</v>
      </c>
      <c r="AA176" s="9">
        <v>54</v>
      </c>
      <c r="AB176" s="9">
        <v>0</v>
      </c>
      <c r="AC176" s="9">
        <v>9</v>
      </c>
      <c r="AD176" s="9">
        <v>54</v>
      </c>
      <c r="AE176" s="9">
        <v>18</v>
      </c>
      <c r="AF176" s="9">
        <v>0</v>
      </c>
      <c r="AG176" s="9">
        <v>9</v>
      </c>
      <c r="AH176" s="9">
        <v>27</v>
      </c>
      <c r="AI176" s="9">
        <v>0</v>
      </c>
      <c r="AJ176" s="9">
        <v>9</v>
      </c>
      <c r="AK176" s="9">
        <v>36</v>
      </c>
      <c r="AL176" s="9">
        <v>54</v>
      </c>
      <c r="AM176" s="9">
        <v>18</v>
      </c>
      <c r="AN176" s="9">
        <v>9</v>
      </c>
      <c r="AO176" s="9">
        <v>0</v>
      </c>
      <c r="AP176" s="9">
        <v>36</v>
      </c>
      <c r="AQ176" s="9">
        <v>36</v>
      </c>
      <c r="AR176" s="9">
        <v>91</v>
      </c>
      <c r="AS176" s="9">
        <v>18</v>
      </c>
      <c r="AT176" s="9">
        <v>82</v>
      </c>
      <c r="AU176" s="9">
        <v>45</v>
      </c>
      <c r="AV176" s="9">
        <v>0</v>
      </c>
      <c r="AW176" s="9">
        <v>18</v>
      </c>
      <c r="AX176" s="9">
        <v>36</v>
      </c>
      <c r="AY176" s="9">
        <v>9</v>
      </c>
      <c r="AZ176" s="9">
        <v>36</v>
      </c>
      <c r="BA176" s="10">
        <v>92.32</v>
      </c>
      <c r="BB176" s="11">
        <v>24601.83</v>
      </c>
      <c r="BC176" s="11">
        <v>20816.93</v>
      </c>
      <c r="BD176" s="11">
        <v>14193.36</v>
      </c>
      <c r="BE176" s="11">
        <v>18924.490000000002</v>
      </c>
      <c r="BF176" s="11">
        <v>16085.81</v>
      </c>
      <c r="BG176" s="11">
        <v>29000</v>
      </c>
      <c r="BH176" s="11">
        <v>13750</v>
      </c>
      <c r="BI176" s="11">
        <v>8809</v>
      </c>
      <c r="BJ176" s="11">
        <v>17694</v>
      </c>
      <c r="BK176" s="11">
        <v>48286</v>
      </c>
      <c r="BL176" s="11">
        <v>22765</v>
      </c>
      <c r="BM176" s="11">
        <v>21425</v>
      </c>
      <c r="BN176" s="11">
        <v>11977</v>
      </c>
      <c r="BO176" s="9">
        <v>126000</v>
      </c>
      <c r="BP176" s="9">
        <v>8320</v>
      </c>
    </row>
    <row r="177" spans="1:68" x14ac:dyDescent="0.3">
      <c r="A177" s="7">
        <v>45467</v>
      </c>
      <c r="B177" s="7" t="str">
        <f t="shared" si="2"/>
        <v>JUNE</v>
      </c>
      <c r="C177" s="8">
        <f>MONTH(Data!$A177)</f>
        <v>6</v>
      </c>
      <c r="D177" s="9">
        <v>1051</v>
      </c>
      <c r="E177" s="9">
        <v>912</v>
      </c>
      <c r="F177" s="9">
        <v>536</v>
      </c>
      <c r="G177" s="9">
        <v>421</v>
      </c>
      <c r="H177" s="9">
        <v>94</v>
      </c>
      <c r="I177" s="9">
        <v>218</v>
      </c>
      <c r="J177" s="9">
        <v>549</v>
      </c>
      <c r="K177" s="9">
        <v>145</v>
      </c>
      <c r="L177" s="9">
        <v>247</v>
      </c>
      <c r="M177" s="9">
        <v>58</v>
      </c>
      <c r="N177" s="9">
        <v>78</v>
      </c>
      <c r="O177" s="9">
        <v>97</v>
      </c>
      <c r="P177" s="9">
        <v>32</v>
      </c>
      <c r="Q177" s="9">
        <v>195</v>
      </c>
      <c r="R177" s="9">
        <v>47</v>
      </c>
      <c r="S177" s="9">
        <v>31</v>
      </c>
      <c r="T177" s="9">
        <v>23</v>
      </c>
      <c r="U177" s="9">
        <v>243</v>
      </c>
      <c r="V177" s="9">
        <v>127</v>
      </c>
      <c r="W177" s="9">
        <v>0</v>
      </c>
      <c r="X177" s="9">
        <v>27</v>
      </c>
      <c r="Y177" s="9">
        <v>9</v>
      </c>
      <c r="Z177" s="9">
        <v>118</v>
      </c>
      <c r="AA177" s="9">
        <v>82</v>
      </c>
      <c r="AB177" s="9">
        <v>18</v>
      </c>
      <c r="AC177" s="9">
        <v>0</v>
      </c>
      <c r="AD177" s="9">
        <v>18</v>
      </c>
      <c r="AE177" s="9">
        <v>18</v>
      </c>
      <c r="AF177" s="9">
        <v>0</v>
      </c>
      <c r="AG177" s="9">
        <v>18</v>
      </c>
      <c r="AH177" s="9">
        <v>18</v>
      </c>
      <c r="AI177" s="9">
        <v>18</v>
      </c>
      <c r="AJ177" s="9">
        <v>9</v>
      </c>
      <c r="AK177" s="9">
        <v>63</v>
      </c>
      <c r="AL177" s="9">
        <v>54</v>
      </c>
      <c r="AM177" s="9">
        <v>45</v>
      </c>
      <c r="AN177" s="9">
        <v>0</v>
      </c>
      <c r="AO177" s="9">
        <v>0</v>
      </c>
      <c r="AP177" s="9">
        <v>18</v>
      </c>
      <c r="AQ177" s="9">
        <v>27</v>
      </c>
      <c r="AR177" s="9">
        <v>72</v>
      </c>
      <c r="AS177" s="9">
        <v>9</v>
      </c>
      <c r="AT177" s="9">
        <v>54</v>
      </c>
      <c r="AU177" s="9">
        <v>9</v>
      </c>
      <c r="AV177" s="9">
        <v>9</v>
      </c>
      <c r="AW177" s="9">
        <v>9</v>
      </c>
      <c r="AX177" s="9">
        <v>9</v>
      </c>
      <c r="AY177" s="9">
        <v>9</v>
      </c>
      <c r="AZ177" s="9">
        <v>45</v>
      </c>
      <c r="BA177" s="10">
        <v>90.85</v>
      </c>
      <c r="BB177" s="11">
        <v>32312.9</v>
      </c>
      <c r="BC177" s="11">
        <v>23080.639999999999</v>
      </c>
      <c r="BD177" s="11">
        <v>11078.71</v>
      </c>
      <c r="BE177" s="11">
        <v>11078.71</v>
      </c>
      <c r="BF177" s="11">
        <v>14771.61</v>
      </c>
      <c r="BG177" s="11">
        <v>29000</v>
      </c>
      <c r="BH177" s="11">
        <v>13750</v>
      </c>
      <c r="BI177" s="11">
        <v>6498</v>
      </c>
      <c r="BJ177" s="11">
        <v>17694</v>
      </c>
      <c r="BK177" s="11">
        <v>48286</v>
      </c>
      <c r="BL177" s="11">
        <v>22765</v>
      </c>
      <c r="BM177" s="11">
        <v>21425</v>
      </c>
      <c r="BN177" s="11">
        <v>11977</v>
      </c>
      <c r="BO177" s="9">
        <v>126000</v>
      </c>
      <c r="BP177" s="9">
        <v>2216</v>
      </c>
    </row>
    <row r="178" spans="1:68" x14ac:dyDescent="0.3">
      <c r="A178" s="7">
        <v>45468</v>
      </c>
      <c r="B178" s="7" t="str">
        <f t="shared" si="2"/>
        <v>JUNE</v>
      </c>
      <c r="C178" s="8">
        <f>MONTH(Data!$A178)</f>
        <v>6</v>
      </c>
      <c r="D178" s="9">
        <v>1051</v>
      </c>
      <c r="E178" s="9">
        <v>905</v>
      </c>
      <c r="F178" s="9">
        <v>399</v>
      </c>
      <c r="G178" s="9">
        <v>589</v>
      </c>
      <c r="H178" s="9">
        <v>63</v>
      </c>
      <c r="I178" s="9">
        <v>416</v>
      </c>
      <c r="J178" s="9">
        <v>308</v>
      </c>
      <c r="K178" s="9">
        <v>181</v>
      </c>
      <c r="L178" s="9">
        <v>319</v>
      </c>
      <c r="M178" s="9">
        <v>162</v>
      </c>
      <c r="N178" s="9">
        <v>91</v>
      </c>
      <c r="O178" s="9">
        <v>39</v>
      </c>
      <c r="P178" s="9">
        <v>32</v>
      </c>
      <c r="Q178" s="9">
        <v>219</v>
      </c>
      <c r="R178" s="9">
        <v>23</v>
      </c>
      <c r="S178" s="9">
        <v>59</v>
      </c>
      <c r="T178" s="9">
        <v>23</v>
      </c>
      <c r="U178" s="9">
        <v>84</v>
      </c>
      <c r="V178" s="9">
        <v>117</v>
      </c>
      <c r="W178" s="9">
        <v>18</v>
      </c>
      <c r="X178" s="9">
        <v>27</v>
      </c>
      <c r="Y178" s="9">
        <v>9</v>
      </c>
      <c r="Z178" s="9">
        <v>72</v>
      </c>
      <c r="AA178" s="9">
        <v>72</v>
      </c>
      <c r="AB178" s="9">
        <v>9</v>
      </c>
      <c r="AC178" s="9">
        <v>27</v>
      </c>
      <c r="AD178" s="9">
        <v>45</v>
      </c>
      <c r="AE178" s="9">
        <v>18</v>
      </c>
      <c r="AF178" s="9">
        <v>0</v>
      </c>
      <c r="AG178" s="9">
        <v>36</v>
      </c>
      <c r="AH178" s="9">
        <v>9</v>
      </c>
      <c r="AI178" s="9">
        <v>18</v>
      </c>
      <c r="AJ178" s="9">
        <v>0</v>
      </c>
      <c r="AK178" s="9">
        <v>72</v>
      </c>
      <c r="AL178" s="9">
        <v>63</v>
      </c>
      <c r="AM178" s="9">
        <v>36</v>
      </c>
      <c r="AN178" s="9">
        <v>9</v>
      </c>
      <c r="AO178" s="9">
        <v>9</v>
      </c>
      <c r="AP178" s="9">
        <v>0</v>
      </c>
      <c r="AQ178" s="9">
        <v>18</v>
      </c>
      <c r="AR178" s="9">
        <v>0</v>
      </c>
      <c r="AS178" s="9">
        <v>9</v>
      </c>
      <c r="AT178" s="9">
        <v>77</v>
      </c>
      <c r="AU178" s="9">
        <v>9</v>
      </c>
      <c r="AV178" s="9">
        <v>9</v>
      </c>
      <c r="AW178" s="9">
        <v>63</v>
      </c>
      <c r="AX178" s="9">
        <v>36</v>
      </c>
      <c r="AY178" s="9">
        <v>18</v>
      </c>
      <c r="AZ178" s="9">
        <v>0</v>
      </c>
      <c r="BA178" s="10">
        <v>89.63</v>
      </c>
      <c r="BB178" s="11">
        <v>26347.99</v>
      </c>
      <c r="BC178" s="11">
        <v>16353.93</v>
      </c>
      <c r="BD178" s="11">
        <v>12719.72</v>
      </c>
      <c r="BE178" s="11">
        <v>22713.79</v>
      </c>
      <c r="BF178" s="11">
        <v>12719.72</v>
      </c>
      <c r="BG178" s="11">
        <v>29000</v>
      </c>
      <c r="BH178" s="11">
        <v>13750</v>
      </c>
      <c r="BI178" s="11">
        <v>6498</v>
      </c>
      <c r="BJ178" s="11">
        <v>17694</v>
      </c>
      <c r="BK178" s="11">
        <v>48286</v>
      </c>
      <c r="BL178" s="11">
        <v>22765</v>
      </c>
      <c r="BM178" s="11">
        <v>21425</v>
      </c>
      <c r="BN178" s="11">
        <v>11977</v>
      </c>
      <c r="BO178" s="9">
        <v>126000</v>
      </c>
      <c r="BP178" s="9">
        <v>973</v>
      </c>
    </row>
    <row r="179" spans="1:68" x14ac:dyDescent="0.3">
      <c r="A179" s="7">
        <v>45469</v>
      </c>
      <c r="B179" s="7" t="str">
        <f t="shared" si="2"/>
        <v>JUNE</v>
      </c>
      <c r="C179" s="8">
        <f>MONTH(Data!$A179)</f>
        <v>6</v>
      </c>
      <c r="D179" s="9">
        <v>1039</v>
      </c>
      <c r="E179" s="9">
        <v>897</v>
      </c>
      <c r="F179" s="9">
        <v>529</v>
      </c>
      <c r="G179" s="9">
        <v>396</v>
      </c>
      <c r="H179" s="9">
        <v>114</v>
      </c>
      <c r="I179" s="9">
        <v>233</v>
      </c>
      <c r="J179" s="9">
        <v>503</v>
      </c>
      <c r="K179" s="9">
        <v>161</v>
      </c>
      <c r="L179" s="9">
        <v>309</v>
      </c>
      <c r="M179" s="9">
        <v>51</v>
      </c>
      <c r="N179" s="9">
        <v>57</v>
      </c>
      <c r="O179" s="9">
        <v>70</v>
      </c>
      <c r="P179" s="9">
        <v>51</v>
      </c>
      <c r="Q179" s="9">
        <v>169</v>
      </c>
      <c r="R179" s="9">
        <v>19</v>
      </c>
      <c r="S179" s="9">
        <v>43</v>
      </c>
      <c r="T179" s="9">
        <v>27</v>
      </c>
      <c r="U179" s="9">
        <v>243</v>
      </c>
      <c r="V179" s="9">
        <v>53</v>
      </c>
      <c r="W179" s="9">
        <v>26</v>
      </c>
      <c r="X179" s="9">
        <v>53</v>
      </c>
      <c r="Y179" s="9">
        <v>8</v>
      </c>
      <c r="Z179" s="9">
        <v>94</v>
      </c>
      <c r="AA179" s="9">
        <v>71</v>
      </c>
      <c r="AB179" s="9">
        <v>0</v>
      </c>
      <c r="AC179" s="9">
        <v>26</v>
      </c>
      <c r="AD179" s="9">
        <v>44</v>
      </c>
      <c r="AE179" s="9">
        <v>17</v>
      </c>
      <c r="AF179" s="9">
        <v>8</v>
      </c>
      <c r="AG179" s="9">
        <v>17</v>
      </c>
      <c r="AH179" s="9">
        <v>26</v>
      </c>
      <c r="AI179" s="9">
        <v>26</v>
      </c>
      <c r="AJ179" s="9">
        <v>0</v>
      </c>
      <c r="AK179" s="9">
        <v>80</v>
      </c>
      <c r="AL179" s="9">
        <v>53</v>
      </c>
      <c r="AM179" s="9">
        <v>8</v>
      </c>
      <c r="AN179" s="9">
        <v>26</v>
      </c>
      <c r="AO179" s="9">
        <v>8</v>
      </c>
      <c r="AP179" s="9">
        <v>0</v>
      </c>
      <c r="AQ179" s="9">
        <v>26</v>
      </c>
      <c r="AR179" s="9">
        <v>71</v>
      </c>
      <c r="AS179" s="9">
        <v>17</v>
      </c>
      <c r="AT179" s="9">
        <v>26</v>
      </c>
      <c r="AU179" s="9">
        <v>17</v>
      </c>
      <c r="AV179" s="9">
        <v>0</v>
      </c>
      <c r="AW179" s="9">
        <v>35</v>
      </c>
      <c r="AX179" s="9">
        <v>35</v>
      </c>
      <c r="AY179" s="9">
        <v>26</v>
      </c>
      <c r="AZ179" s="9">
        <v>0</v>
      </c>
      <c r="BA179" s="10">
        <v>88.94</v>
      </c>
      <c r="BB179" s="11">
        <v>31371.51</v>
      </c>
      <c r="BC179" s="11">
        <v>15237.59</v>
      </c>
      <c r="BD179" s="11">
        <v>14341.26</v>
      </c>
      <c r="BE179" s="11">
        <v>8963.2900000000009</v>
      </c>
      <c r="BF179" s="11">
        <v>19719.23</v>
      </c>
      <c r="BG179" s="11">
        <v>29000</v>
      </c>
      <c r="BH179" s="11">
        <v>13750</v>
      </c>
      <c r="BI179" s="11">
        <v>6498</v>
      </c>
      <c r="BJ179" s="11">
        <v>17694</v>
      </c>
      <c r="BK179" s="11">
        <v>48286</v>
      </c>
      <c r="BL179" s="11">
        <v>22765</v>
      </c>
      <c r="BM179" s="11">
        <v>21425</v>
      </c>
      <c r="BN179" s="11">
        <v>11977</v>
      </c>
      <c r="BO179" s="9">
        <v>126000</v>
      </c>
      <c r="BP179" s="9">
        <v>2616</v>
      </c>
    </row>
    <row r="180" spans="1:68" x14ac:dyDescent="0.3">
      <c r="A180" s="7">
        <v>45470</v>
      </c>
      <c r="B180" s="7" t="str">
        <f t="shared" si="2"/>
        <v>JUNE</v>
      </c>
      <c r="C180" s="8">
        <f>MONTH(Data!$A180)</f>
        <v>6</v>
      </c>
      <c r="D180" s="9">
        <v>1022</v>
      </c>
      <c r="E180" s="9">
        <v>882</v>
      </c>
      <c r="F180" s="9">
        <v>265</v>
      </c>
      <c r="G180" s="9">
        <v>614</v>
      </c>
      <c r="H180" s="9">
        <v>143</v>
      </c>
      <c r="I180" s="9">
        <v>273</v>
      </c>
      <c r="J180" s="9">
        <v>460</v>
      </c>
      <c r="K180" s="9">
        <v>149</v>
      </c>
      <c r="L180" s="9">
        <v>259</v>
      </c>
      <c r="M180" s="9">
        <v>139</v>
      </c>
      <c r="N180" s="9">
        <v>57</v>
      </c>
      <c r="O180" s="9">
        <v>76</v>
      </c>
      <c r="P180" s="9">
        <v>50</v>
      </c>
      <c r="Q180" s="9">
        <v>174</v>
      </c>
      <c r="R180" s="9">
        <v>135</v>
      </c>
      <c r="S180" s="9">
        <v>27</v>
      </c>
      <c r="T180" s="9">
        <v>38</v>
      </c>
      <c r="U180" s="9">
        <v>67</v>
      </c>
      <c r="V180" s="9">
        <v>52</v>
      </c>
      <c r="W180" s="9">
        <v>8</v>
      </c>
      <c r="X180" s="9">
        <v>52</v>
      </c>
      <c r="Y180" s="9">
        <v>17</v>
      </c>
      <c r="Z180" s="9">
        <v>86</v>
      </c>
      <c r="AA180" s="9">
        <v>79</v>
      </c>
      <c r="AB180" s="9">
        <v>8</v>
      </c>
      <c r="AC180" s="9">
        <v>8</v>
      </c>
      <c r="AD180" s="9">
        <v>35</v>
      </c>
      <c r="AE180" s="9">
        <v>26</v>
      </c>
      <c r="AF180" s="9">
        <v>8</v>
      </c>
      <c r="AG180" s="9">
        <v>26</v>
      </c>
      <c r="AH180" s="9">
        <v>26</v>
      </c>
      <c r="AI180" s="9">
        <v>26</v>
      </c>
      <c r="AJ180" s="9">
        <v>0</v>
      </c>
      <c r="AK180" s="9">
        <v>44</v>
      </c>
      <c r="AL180" s="9">
        <v>17</v>
      </c>
      <c r="AM180" s="9">
        <v>17</v>
      </c>
      <c r="AN180" s="9">
        <v>26</v>
      </c>
      <c r="AO180" s="9">
        <v>8</v>
      </c>
      <c r="AP180" s="9">
        <v>17</v>
      </c>
      <c r="AQ180" s="9">
        <v>8</v>
      </c>
      <c r="AR180" s="9">
        <v>88</v>
      </c>
      <c r="AS180" s="9">
        <v>8</v>
      </c>
      <c r="AT180" s="9">
        <v>44</v>
      </c>
      <c r="AU180" s="9">
        <v>44</v>
      </c>
      <c r="AV180" s="9">
        <v>0</v>
      </c>
      <c r="AW180" s="9">
        <v>52</v>
      </c>
      <c r="AX180" s="9">
        <v>17</v>
      </c>
      <c r="AY180" s="9">
        <v>35</v>
      </c>
      <c r="AZ180" s="9">
        <v>0</v>
      </c>
      <c r="BA180" s="10">
        <v>88.54</v>
      </c>
      <c r="BB180" s="11">
        <v>27570.46</v>
      </c>
      <c r="BC180" s="11">
        <v>17787.39</v>
      </c>
      <c r="BD180" s="11">
        <v>18676.759999999998</v>
      </c>
      <c r="BE180" s="11">
        <v>16008.65</v>
      </c>
      <c r="BF180" s="11">
        <v>8893.7000000000007</v>
      </c>
      <c r="BG180" s="11">
        <v>29000</v>
      </c>
      <c r="BH180" s="11">
        <v>13750</v>
      </c>
      <c r="BI180" s="11">
        <v>6498</v>
      </c>
      <c r="BJ180" s="11">
        <v>17694</v>
      </c>
      <c r="BK180" s="11">
        <v>48286</v>
      </c>
      <c r="BL180" s="11">
        <v>22765</v>
      </c>
      <c r="BM180" s="11">
        <v>21425</v>
      </c>
      <c r="BN180" s="11">
        <v>11977</v>
      </c>
      <c r="BO180" s="9">
        <v>126000</v>
      </c>
      <c r="BP180" s="9">
        <v>4893</v>
      </c>
    </row>
    <row r="181" spans="1:68" x14ac:dyDescent="0.3">
      <c r="A181" s="7">
        <v>45471</v>
      </c>
      <c r="B181" s="7" t="str">
        <f t="shared" si="2"/>
        <v>JUNE</v>
      </c>
      <c r="C181" s="8">
        <f>MONTH(Data!$A181)</f>
        <v>6</v>
      </c>
      <c r="D181" s="9">
        <v>1000</v>
      </c>
      <c r="E181" s="9">
        <v>863</v>
      </c>
      <c r="F181" s="9">
        <v>220</v>
      </c>
      <c r="G181" s="9">
        <v>540</v>
      </c>
      <c r="H181" s="9">
        <v>240</v>
      </c>
      <c r="I181" s="9">
        <v>431</v>
      </c>
      <c r="J181" s="9">
        <v>294</v>
      </c>
      <c r="K181" s="9">
        <v>138</v>
      </c>
      <c r="L181" s="9">
        <v>260</v>
      </c>
      <c r="M181" s="9">
        <v>148</v>
      </c>
      <c r="N181" s="9">
        <v>68</v>
      </c>
      <c r="O181" s="9">
        <v>93</v>
      </c>
      <c r="P181" s="9">
        <v>43</v>
      </c>
      <c r="Q181" s="9">
        <v>163</v>
      </c>
      <c r="R181" s="9">
        <v>30</v>
      </c>
      <c r="S181" s="9">
        <v>49</v>
      </c>
      <c r="T181" s="9">
        <v>45</v>
      </c>
      <c r="U181" s="9">
        <v>101</v>
      </c>
      <c r="V181" s="9">
        <v>86</v>
      </c>
      <c r="W181" s="9">
        <v>25</v>
      </c>
      <c r="X181" s="9">
        <v>43</v>
      </c>
      <c r="Y181" s="9">
        <v>8</v>
      </c>
      <c r="Z181" s="9">
        <v>65</v>
      </c>
      <c r="AA181" s="9">
        <v>43</v>
      </c>
      <c r="AB181" s="9">
        <v>25</v>
      </c>
      <c r="AC181" s="9">
        <v>0</v>
      </c>
      <c r="AD181" s="9">
        <v>34</v>
      </c>
      <c r="AE181" s="9">
        <v>25</v>
      </c>
      <c r="AF181" s="9">
        <v>0</v>
      </c>
      <c r="AG181" s="9">
        <v>43</v>
      </c>
      <c r="AH181" s="9">
        <v>25</v>
      </c>
      <c r="AI181" s="9">
        <v>8</v>
      </c>
      <c r="AJ181" s="9">
        <v>25</v>
      </c>
      <c r="AK181" s="9">
        <v>86</v>
      </c>
      <c r="AL181" s="9">
        <v>60</v>
      </c>
      <c r="AM181" s="9">
        <v>25</v>
      </c>
      <c r="AN181" s="9">
        <v>0</v>
      </c>
      <c r="AO181" s="9">
        <v>0</v>
      </c>
      <c r="AP181" s="9">
        <v>0</v>
      </c>
      <c r="AQ181" s="9">
        <v>17</v>
      </c>
      <c r="AR181" s="9">
        <v>77</v>
      </c>
      <c r="AS181" s="9">
        <v>8</v>
      </c>
      <c r="AT181" s="9">
        <v>34</v>
      </c>
      <c r="AU181" s="9">
        <v>8</v>
      </c>
      <c r="AV181" s="9">
        <v>8</v>
      </c>
      <c r="AW181" s="9">
        <v>51</v>
      </c>
      <c r="AX181" s="9">
        <v>17</v>
      </c>
      <c r="AY181" s="9">
        <v>17</v>
      </c>
      <c r="AZ181" s="9">
        <v>0</v>
      </c>
      <c r="BA181" s="10">
        <v>88.449999999999989</v>
      </c>
      <c r="BB181" s="11">
        <v>24792.55</v>
      </c>
      <c r="BC181" s="11">
        <v>13281.72</v>
      </c>
      <c r="BD181" s="11">
        <v>21250.76</v>
      </c>
      <c r="BE181" s="11">
        <v>15052.62</v>
      </c>
      <c r="BF181" s="11">
        <v>14167.17</v>
      </c>
      <c r="BG181" s="11">
        <v>29000</v>
      </c>
      <c r="BH181" s="11">
        <v>13750</v>
      </c>
      <c r="BI181" s="11">
        <v>6498</v>
      </c>
      <c r="BJ181" s="11">
        <v>17694</v>
      </c>
      <c r="BK181" s="11">
        <v>48286</v>
      </c>
      <c r="BL181" s="11">
        <v>22765</v>
      </c>
      <c r="BM181" s="11">
        <v>21425</v>
      </c>
      <c r="BN181" s="11">
        <v>11977</v>
      </c>
      <c r="BO181" s="9">
        <v>126000</v>
      </c>
      <c r="BP181" s="9">
        <v>4957</v>
      </c>
    </row>
    <row r="182" spans="1:68" x14ac:dyDescent="0.3">
      <c r="A182" s="7">
        <v>45472</v>
      </c>
      <c r="B182" s="7" t="str">
        <f t="shared" si="2"/>
        <v>JUNE</v>
      </c>
      <c r="C182" s="8">
        <f>MONTH(Data!$A182)</f>
        <v>6</v>
      </c>
      <c r="D182" s="9">
        <v>973</v>
      </c>
      <c r="E182" s="9">
        <v>837</v>
      </c>
      <c r="F182" s="9">
        <v>496</v>
      </c>
      <c r="G182" s="9">
        <v>429</v>
      </c>
      <c r="H182" s="9">
        <v>48</v>
      </c>
      <c r="I182" s="9">
        <v>259</v>
      </c>
      <c r="J182" s="9">
        <v>428</v>
      </c>
      <c r="K182" s="9">
        <v>150</v>
      </c>
      <c r="L182" s="9">
        <v>265</v>
      </c>
      <c r="M182" s="9">
        <v>180</v>
      </c>
      <c r="N182" s="9">
        <v>54</v>
      </c>
      <c r="O182" s="9">
        <v>72</v>
      </c>
      <c r="P182" s="9">
        <v>42</v>
      </c>
      <c r="Q182" s="9">
        <v>129</v>
      </c>
      <c r="R182" s="9">
        <v>33</v>
      </c>
      <c r="S182" s="9">
        <v>40</v>
      </c>
      <c r="T182" s="9">
        <v>25</v>
      </c>
      <c r="U182" s="9">
        <v>133</v>
      </c>
      <c r="V182" s="9">
        <v>117</v>
      </c>
      <c r="W182" s="9">
        <v>16</v>
      </c>
      <c r="X182" s="9">
        <v>33</v>
      </c>
      <c r="Y182" s="9">
        <v>25</v>
      </c>
      <c r="Z182" s="9">
        <v>133</v>
      </c>
      <c r="AA182" s="9">
        <v>58</v>
      </c>
      <c r="AB182" s="9">
        <v>0</v>
      </c>
      <c r="AC182" s="9">
        <v>8</v>
      </c>
      <c r="AD182" s="9">
        <v>16</v>
      </c>
      <c r="AE182" s="9">
        <v>0</v>
      </c>
      <c r="AF182" s="9">
        <v>0</v>
      </c>
      <c r="AG182" s="9">
        <v>41</v>
      </c>
      <c r="AH182" s="9">
        <v>0</v>
      </c>
      <c r="AI182" s="9">
        <v>8</v>
      </c>
      <c r="AJ182" s="9">
        <v>25</v>
      </c>
      <c r="AK182" s="9">
        <v>33</v>
      </c>
      <c r="AL182" s="9">
        <v>8</v>
      </c>
      <c r="AM182" s="9">
        <v>16</v>
      </c>
      <c r="AN182" s="9">
        <v>0</v>
      </c>
      <c r="AO182" s="9">
        <v>8</v>
      </c>
      <c r="AP182" s="9">
        <v>25</v>
      </c>
      <c r="AQ182" s="9">
        <v>8</v>
      </c>
      <c r="AR182" s="9">
        <v>58</v>
      </c>
      <c r="AS182" s="9">
        <v>16</v>
      </c>
      <c r="AT182" s="9">
        <v>58</v>
      </c>
      <c r="AU182" s="9">
        <v>25</v>
      </c>
      <c r="AV182" s="9">
        <v>0</v>
      </c>
      <c r="AW182" s="9">
        <v>50</v>
      </c>
      <c r="AX182" s="9">
        <v>8</v>
      </c>
      <c r="AY182" s="9">
        <v>0</v>
      </c>
      <c r="AZ182" s="9">
        <v>44</v>
      </c>
      <c r="BA182" s="10">
        <v>89</v>
      </c>
      <c r="BB182" s="11">
        <v>30956.65</v>
      </c>
      <c r="BC182" s="11">
        <v>18573.990000000002</v>
      </c>
      <c r="BD182" s="11">
        <v>15036.09</v>
      </c>
      <c r="BE182" s="11">
        <v>10613.71</v>
      </c>
      <c r="BF182" s="11">
        <v>13267.14</v>
      </c>
      <c r="BG182" s="11">
        <v>29000</v>
      </c>
      <c r="BH182" s="11">
        <v>13750</v>
      </c>
      <c r="BI182" s="11">
        <v>6498</v>
      </c>
      <c r="BJ182" s="11">
        <v>17694</v>
      </c>
      <c r="BK182" s="11">
        <v>48286</v>
      </c>
      <c r="BL182" s="11">
        <v>22765</v>
      </c>
      <c r="BM182" s="11">
        <v>21425</v>
      </c>
      <c r="BN182" s="11">
        <v>11977</v>
      </c>
      <c r="BO182" s="9">
        <v>126000</v>
      </c>
      <c r="BP182" s="9">
        <v>2460</v>
      </c>
    </row>
    <row r="183" spans="1:68" x14ac:dyDescent="0.3">
      <c r="A183" s="7">
        <v>45473</v>
      </c>
      <c r="B183" s="7" t="str">
        <f t="shared" si="2"/>
        <v>JUNE</v>
      </c>
      <c r="C183" s="8">
        <f>MONTH(Data!$A183)</f>
        <v>6</v>
      </c>
      <c r="D183" s="9">
        <v>951</v>
      </c>
      <c r="E183" s="9">
        <v>809</v>
      </c>
      <c r="F183" s="9">
        <v>408</v>
      </c>
      <c r="G183" s="9">
        <v>467</v>
      </c>
      <c r="H183" s="9">
        <v>76</v>
      </c>
      <c r="I183" s="9">
        <v>428</v>
      </c>
      <c r="J183" s="9">
        <v>244</v>
      </c>
      <c r="K183" s="9">
        <v>137</v>
      </c>
      <c r="L183" s="9">
        <v>277</v>
      </c>
      <c r="M183" s="9">
        <v>53</v>
      </c>
      <c r="N183" s="9">
        <v>70</v>
      </c>
      <c r="O183" s="9">
        <v>58</v>
      </c>
      <c r="P183" s="9">
        <v>58</v>
      </c>
      <c r="Q183" s="9">
        <v>191</v>
      </c>
      <c r="R183" s="9">
        <v>93</v>
      </c>
      <c r="S183" s="9">
        <v>39</v>
      </c>
      <c r="T183" s="9">
        <v>25</v>
      </c>
      <c r="U183" s="9">
        <v>87</v>
      </c>
      <c r="V183" s="9">
        <v>105</v>
      </c>
      <c r="W183" s="9">
        <v>16</v>
      </c>
      <c r="X183" s="9">
        <v>48</v>
      </c>
      <c r="Y183" s="9">
        <v>16</v>
      </c>
      <c r="Z183" s="9">
        <v>16</v>
      </c>
      <c r="AA183" s="9">
        <v>64</v>
      </c>
      <c r="AB183" s="9">
        <v>16</v>
      </c>
      <c r="AC183" s="9">
        <v>8</v>
      </c>
      <c r="AD183" s="9">
        <v>24</v>
      </c>
      <c r="AE183" s="9">
        <v>24</v>
      </c>
      <c r="AF183" s="9">
        <v>0</v>
      </c>
      <c r="AG183" s="9">
        <v>8</v>
      </c>
      <c r="AH183" s="9">
        <v>24</v>
      </c>
      <c r="AI183" s="9">
        <v>0</v>
      </c>
      <c r="AJ183" s="9">
        <v>24</v>
      </c>
      <c r="AK183" s="9">
        <v>48</v>
      </c>
      <c r="AL183" s="9">
        <v>32</v>
      </c>
      <c r="AM183" s="9">
        <v>16</v>
      </c>
      <c r="AN183" s="9">
        <v>8</v>
      </c>
      <c r="AO183" s="9">
        <v>0</v>
      </c>
      <c r="AP183" s="9">
        <v>32</v>
      </c>
      <c r="AQ183" s="9">
        <v>32</v>
      </c>
      <c r="AR183" s="9">
        <v>64</v>
      </c>
      <c r="AS183" s="9">
        <v>24</v>
      </c>
      <c r="AT183" s="9">
        <v>48</v>
      </c>
      <c r="AU183" s="9">
        <v>8</v>
      </c>
      <c r="AV183" s="9">
        <v>8</v>
      </c>
      <c r="AW183" s="9">
        <v>32</v>
      </c>
      <c r="AX183" s="9">
        <v>32</v>
      </c>
      <c r="AY183" s="9">
        <v>32</v>
      </c>
      <c r="AZ183" s="9">
        <v>0</v>
      </c>
      <c r="BA183" s="10">
        <v>89.22</v>
      </c>
      <c r="BB183" s="11">
        <v>27590</v>
      </c>
      <c r="BC183" s="11">
        <v>12460</v>
      </c>
      <c r="BD183" s="11">
        <v>22250</v>
      </c>
      <c r="BE183" s="11">
        <v>13350</v>
      </c>
      <c r="BF183" s="11">
        <v>13350</v>
      </c>
      <c r="BG183" s="11">
        <v>29000</v>
      </c>
      <c r="BH183" s="11">
        <v>13750</v>
      </c>
      <c r="BI183" s="11">
        <v>6498</v>
      </c>
      <c r="BJ183" s="11">
        <v>17694</v>
      </c>
      <c r="BK183" s="11">
        <v>48286</v>
      </c>
      <c r="BL183" s="11">
        <v>22765</v>
      </c>
      <c r="BM183" s="11">
        <v>21425</v>
      </c>
      <c r="BN183" s="11">
        <v>11977</v>
      </c>
      <c r="BO183" s="9">
        <v>126000</v>
      </c>
      <c r="BP183" s="9">
        <v>714</v>
      </c>
    </row>
    <row r="184" spans="1:68" x14ac:dyDescent="0.3">
      <c r="A184" s="7">
        <v>45474</v>
      </c>
      <c r="B184" s="7" t="str">
        <f t="shared" si="2"/>
        <v>JULY</v>
      </c>
      <c r="C184" s="8">
        <f>MONTH(Data!$A184)</f>
        <v>7</v>
      </c>
      <c r="D184" s="9">
        <v>946</v>
      </c>
      <c r="E184" s="9">
        <v>778</v>
      </c>
      <c r="F184" s="9">
        <v>236</v>
      </c>
      <c r="G184" s="9">
        <v>540</v>
      </c>
      <c r="H184" s="9">
        <v>170</v>
      </c>
      <c r="I184" s="9">
        <v>396</v>
      </c>
      <c r="J184" s="9">
        <v>196</v>
      </c>
      <c r="K184" s="9">
        <v>186</v>
      </c>
      <c r="L184" s="9">
        <v>299</v>
      </c>
      <c r="M184" s="9">
        <v>105</v>
      </c>
      <c r="N184" s="9">
        <v>87</v>
      </c>
      <c r="O184" s="9">
        <v>41</v>
      </c>
      <c r="P184" s="9">
        <v>29</v>
      </c>
      <c r="Q184" s="9">
        <v>150</v>
      </c>
      <c r="R184" s="9">
        <v>46</v>
      </c>
      <c r="S184" s="9">
        <v>28</v>
      </c>
      <c r="T184" s="9">
        <v>17</v>
      </c>
      <c r="U184" s="9">
        <v>144</v>
      </c>
      <c r="V184" s="9">
        <v>108</v>
      </c>
      <c r="W184" s="9">
        <v>7</v>
      </c>
      <c r="X184" s="9">
        <v>31</v>
      </c>
      <c r="Y184" s="9">
        <v>0</v>
      </c>
      <c r="Z184" s="9">
        <v>6</v>
      </c>
      <c r="AA184" s="9">
        <v>54</v>
      </c>
      <c r="AB184" s="9">
        <v>15</v>
      </c>
      <c r="AC184" s="9">
        <v>23</v>
      </c>
      <c r="AD184" s="9">
        <v>46</v>
      </c>
      <c r="AE184" s="9">
        <v>23</v>
      </c>
      <c r="AF184" s="9">
        <v>0</v>
      </c>
      <c r="AG184" s="9">
        <v>38</v>
      </c>
      <c r="AH184" s="9">
        <v>23</v>
      </c>
      <c r="AI184" s="9">
        <v>23</v>
      </c>
      <c r="AJ184" s="9">
        <v>15</v>
      </c>
      <c r="AK184" s="9">
        <v>70</v>
      </c>
      <c r="AL184" s="9">
        <v>38</v>
      </c>
      <c r="AM184" s="9">
        <v>7</v>
      </c>
      <c r="AN184" s="9">
        <v>15</v>
      </c>
      <c r="AO184" s="9">
        <v>7</v>
      </c>
      <c r="AP184" s="9">
        <v>23</v>
      </c>
      <c r="AQ184" s="9">
        <v>23</v>
      </c>
      <c r="AR184" s="9">
        <v>54</v>
      </c>
      <c r="AS184" s="9">
        <v>23</v>
      </c>
      <c r="AT184" s="9">
        <v>31</v>
      </c>
      <c r="AU184" s="9">
        <v>23</v>
      </c>
      <c r="AV184" s="9">
        <v>7</v>
      </c>
      <c r="AW184" s="9">
        <v>31</v>
      </c>
      <c r="AX184" s="9">
        <v>7</v>
      </c>
      <c r="AY184" s="9">
        <v>7</v>
      </c>
      <c r="AZ184" s="9">
        <v>0</v>
      </c>
      <c r="BA184" s="10">
        <v>89</v>
      </c>
      <c r="BB184" s="11">
        <v>24982.75</v>
      </c>
      <c r="BC184" s="11">
        <v>11599.13</v>
      </c>
      <c r="BD184" s="11">
        <v>18737.060000000001</v>
      </c>
      <c r="BE184" s="11">
        <v>9814.65</v>
      </c>
      <c r="BF184" s="11">
        <v>24090.51</v>
      </c>
      <c r="BG184" s="11">
        <v>29000</v>
      </c>
      <c r="BH184" s="11">
        <v>12500</v>
      </c>
      <c r="BI184" s="11">
        <v>6498</v>
      </c>
      <c r="BJ184" s="11">
        <v>17694</v>
      </c>
      <c r="BK184" s="11">
        <v>49237</v>
      </c>
      <c r="BL184" s="11">
        <v>30576</v>
      </c>
      <c r="BM184" s="11">
        <v>23946</v>
      </c>
      <c r="BN184" s="11">
        <v>13866</v>
      </c>
      <c r="BO184" s="9">
        <v>133000</v>
      </c>
      <c r="BP184" s="9">
        <v>8235</v>
      </c>
    </row>
    <row r="185" spans="1:68" x14ac:dyDescent="0.3">
      <c r="A185" s="7">
        <v>45475</v>
      </c>
      <c r="B185" s="7" t="str">
        <f t="shared" si="2"/>
        <v>JULY</v>
      </c>
      <c r="C185" s="8">
        <f>MONTH(Data!$A185)</f>
        <v>7</v>
      </c>
      <c r="D185" s="9">
        <v>937</v>
      </c>
      <c r="E185" s="9">
        <v>745</v>
      </c>
      <c r="F185" s="9">
        <v>206</v>
      </c>
      <c r="G185" s="9">
        <v>525</v>
      </c>
      <c r="H185" s="9">
        <v>206</v>
      </c>
      <c r="I185" s="9">
        <v>238</v>
      </c>
      <c r="J185" s="9">
        <v>351</v>
      </c>
      <c r="K185" s="9">
        <v>156</v>
      </c>
      <c r="L185" s="9">
        <v>238</v>
      </c>
      <c r="M185" s="9">
        <v>92</v>
      </c>
      <c r="N185" s="9">
        <v>46</v>
      </c>
      <c r="O185" s="9">
        <v>40</v>
      </c>
      <c r="P185" s="9">
        <v>58</v>
      </c>
      <c r="Q185" s="9">
        <v>178</v>
      </c>
      <c r="R185" s="9">
        <v>24</v>
      </c>
      <c r="S185" s="9">
        <v>24</v>
      </c>
      <c r="T185" s="9">
        <v>53</v>
      </c>
      <c r="U185" s="9">
        <v>184</v>
      </c>
      <c r="V185" s="9">
        <v>44</v>
      </c>
      <c r="W185" s="9">
        <v>22</v>
      </c>
      <c r="X185" s="9">
        <v>29</v>
      </c>
      <c r="Y185" s="9">
        <v>14</v>
      </c>
      <c r="Z185" s="9">
        <v>74</v>
      </c>
      <c r="AA185" s="9">
        <v>52</v>
      </c>
      <c r="AB185" s="9">
        <v>22</v>
      </c>
      <c r="AC185" s="9">
        <v>14</v>
      </c>
      <c r="AD185" s="9">
        <v>22</v>
      </c>
      <c r="AE185" s="9">
        <v>22</v>
      </c>
      <c r="AF185" s="9">
        <v>7</v>
      </c>
      <c r="AG185" s="9">
        <v>7</v>
      </c>
      <c r="AH185" s="9">
        <v>0</v>
      </c>
      <c r="AI185" s="9">
        <v>7</v>
      </c>
      <c r="AJ185" s="9">
        <v>0</v>
      </c>
      <c r="AK185" s="9">
        <v>67</v>
      </c>
      <c r="AL185" s="9">
        <v>14</v>
      </c>
      <c r="AM185" s="9">
        <v>7</v>
      </c>
      <c r="AN185" s="9">
        <v>14</v>
      </c>
      <c r="AO185" s="9">
        <v>7</v>
      </c>
      <c r="AP185" s="9">
        <v>7</v>
      </c>
      <c r="AQ185" s="9">
        <v>22</v>
      </c>
      <c r="AR185" s="9">
        <v>67</v>
      </c>
      <c r="AS185" s="9">
        <v>7</v>
      </c>
      <c r="AT185" s="9">
        <v>52</v>
      </c>
      <c r="AU185" s="9">
        <v>22</v>
      </c>
      <c r="AV185" s="9">
        <v>0</v>
      </c>
      <c r="AW185" s="9">
        <v>44</v>
      </c>
      <c r="AX185" s="9">
        <v>14</v>
      </c>
      <c r="AY185" s="9">
        <v>14</v>
      </c>
      <c r="AZ185" s="9">
        <v>51</v>
      </c>
      <c r="BA185" s="10">
        <v>87.949999999999989</v>
      </c>
      <c r="BB185" s="11">
        <v>27590</v>
      </c>
      <c r="BC185" s="11">
        <v>12460</v>
      </c>
      <c r="BD185" s="11">
        <v>22250</v>
      </c>
      <c r="BE185" s="11">
        <v>13350</v>
      </c>
      <c r="BF185" s="11">
        <v>13350</v>
      </c>
      <c r="BG185" s="11">
        <v>29000</v>
      </c>
      <c r="BH185" s="11">
        <v>12500</v>
      </c>
      <c r="BI185" s="11">
        <v>6498</v>
      </c>
      <c r="BJ185" s="11">
        <v>17694</v>
      </c>
      <c r="BK185" s="11">
        <v>49237</v>
      </c>
      <c r="BL185" s="11">
        <v>30576</v>
      </c>
      <c r="BM185" s="11">
        <v>23946</v>
      </c>
      <c r="BN185" s="11">
        <v>13866</v>
      </c>
      <c r="BO185" s="9">
        <v>133000</v>
      </c>
      <c r="BP185" s="9">
        <v>1572</v>
      </c>
    </row>
    <row r="186" spans="1:68" x14ac:dyDescent="0.3">
      <c r="A186" s="7">
        <v>45476</v>
      </c>
      <c r="B186" s="7" t="str">
        <f t="shared" si="2"/>
        <v>JULY</v>
      </c>
      <c r="C186" s="8">
        <f>MONTH(Data!$A186)</f>
        <v>7</v>
      </c>
      <c r="D186" s="9">
        <v>931</v>
      </c>
      <c r="E186" s="9">
        <v>705</v>
      </c>
      <c r="F186" s="9">
        <v>288</v>
      </c>
      <c r="G186" s="9">
        <v>588</v>
      </c>
      <c r="H186" s="9">
        <v>55</v>
      </c>
      <c r="I186" s="9">
        <v>190</v>
      </c>
      <c r="J186" s="9">
        <v>339</v>
      </c>
      <c r="K186" s="9">
        <v>176</v>
      </c>
      <c r="L186" s="9">
        <v>242</v>
      </c>
      <c r="M186" s="9">
        <v>161</v>
      </c>
      <c r="N186" s="9">
        <v>75</v>
      </c>
      <c r="O186" s="9">
        <v>86</v>
      </c>
      <c r="P186" s="9">
        <v>23</v>
      </c>
      <c r="Q186" s="9">
        <v>162</v>
      </c>
      <c r="R186" s="9">
        <v>91</v>
      </c>
      <c r="S186" s="9">
        <v>24</v>
      </c>
      <c r="T186" s="9">
        <v>17</v>
      </c>
      <c r="U186" s="9">
        <v>50</v>
      </c>
      <c r="V186" s="9">
        <v>63</v>
      </c>
      <c r="W186" s="9">
        <v>21</v>
      </c>
      <c r="X186" s="9">
        <v>28</v>
      </c>
      <c r="Y186" s="9">
        <v>14</v>
      </c>
      <c r="Z186" s="9">
        <v>70</v>
      </c>
      <c r="AA186" s="9">
        <v>35</v>
      </c>
      <c r="AB186" s="9">
        <v>7</v>
      </c>
      <c r="AC186" s="9">
        <v>21</v>
      </c>
      <c r="AD186" s="9">
        <v>42</v>
      </c>
      <c r="AE186" s="9">
        <v>21</v>
      </c>
      <c r="AF186" s="9">
        <v>7</v>
      </c>
      <c r="AG186" s="9">
        <v>35</v>
      </c>
      <c r="AH186" s="9">
        <v>14</v>
      </c>
      <c r="AI186" s="9">
        <v>0</v>
      </c>
      <c r="AJ186" s="9">
        <v>7</v>
      </c>
      <c r="AK186" s="9">
        <v>49</v>
      </c>
      <c r="AL186" s="9">
        <v>21</v>
      </c>
      <c r="AM186" s="9">
        <v>7</v>
      </c>
      <c r="AN186" s="9">
        <v>7</v>
      </c>
      <c r="AO186" s="9">
        <v>7</v>
      </c>
      <c r="AP186" s="9">
        <v>28</v>
      </c>
      <c r="AQ186" s="9">
        <v>14</v>
      </c>
      <c r="AR186" s="9">
        <v>63</v>
      </c>
      <c r="AS186" s="9">
        <v>14</v>
      </c>
      <c r="AT186" s="9">
        <v>21</v>
      </c>
      <c r="AU186" s="9">
        <v>21</v>
      </c>
      <c r="AV186" s="9">
        <v>0</v>
      </c>
      <c r="AW186" s="9">
        <v>14</v>
      </c>
      <c r="AX186" s="9">
        <v>7</v>
      </c>
      <c r="AY186" s="9">
        <v>28</v>
      </c>
      <c r="AZ186" s="9">
        <v>19</v>
      </c>
      <c r="BA186" s="10">
        <v>86.610000000000014</v>
      </c>
      <c r="BB186" s="11">
        <v>22866.55</v>
      </c>
      <c r="BC186" s="11">
        <v>11433.27</v>
      </c>
      <c r="BD186" s="11">
        <v>17589.650000000001</v>
      </c>
      <c r="BE186" s="11">
        <v>11433.27</v>
      </c>
      <c r="BF186" s="11">
        <v>24625.51</v>
      </c>
      <c r="BG186" s="11">
        <v>29000</v>
      </c>
      <c r="BH186" s="11">
        <v>12500</v>
      </c>
      <c r="BI186" s="11">
        <v>6498</v>
      </c>
      <c r="BJ186" s="11">
        <v>17694</v>
      </c>
      <c r="BK186" s="11">
        <v>49237</v>
      </c>
      <c r="BL186" s="11">
        <v>30576</v>
      </c>
      <c r="BM186" s="11">
        <v>23946</v>
      </c>
      <c r="BN186" s="11">
        <v>13866</v>
      </c>
      <c r="BO186" s="9">
        <v>133000</v>
      </c>
      <c r="BP186" s="9">
        <v>34</v>
      </c>
    </row>
    <row r="187" spans="1:68" x14ac:dyDescent="0.3">
      <c r="A187" s="7">
        <v>45477</v>
      </c>
      <c r="B187" s="7" t="str">
        <f t="shared" si="2"/>
        <v>JULY</v>
      </c>
      <c r="C187" s="8">
        <f>MONTH(Data!$A187)</f>
        <v>7</v>
      </c>
      <c r="D187" s="9">
        <v>928</v>
      </c>
      <c r="E187" s="9">
        <v>672</v>
      </c>
      <c r="F187" s="9">
        <v>259</v>
      </c>
      <c r="G187" s="9">
        <v>447</v>
      </c>
      <c r="H187" s="9">
        <v>222</v>
      </c>
      <c r="I187" s="9">
        <v>221</v>
      </c>
      <c r="J187" s="9">
        <v>331</v>
      </c>
      <c r="K187" s="9">
        <v>120</v>
      </c>
      <c r="L187" s="9">
        <v>270</v>
      </c>
      <c r="M187" s="9">
        <v>178</v>
      </c>
      <c r="N187" s="9">
        <v>74</v>
      </c>
      <c r="O187" s="9">
        <v>51</v>
      </c>
      <c r="P187" s="9">
        <v>34</v>
      </c>
      <c r="Q187" s="9">
        <v>169</v>
      </c>
      <c r="R187" s="9">
        <v>52</v>
      </c>
      <c r="S187" s="9">
        <v>24</v>
      </c>
      <c r="T187" s="9">
        <v>45</v>
      </c>
      <c r="U187" s="9">
        <v>31</v>
      </c>
      <c r="V187" s="9">
        <v>60</v>
      </c>
      <c r="W187" s="9">
        <v>20</v>
      </c>
      <c r="X187" s="9">
        <v>47</v>
      </c>
      <c r="Y187" s="9">
        <v>0</v>
      </c>
      <c r="Z187" s="9">
        <v>87</v>
      </c>
      <c r="AA187" s="9">
        <v>47</v>
      </c>
      <c r="AB187" s="9">
        <v>20</v>
      </c>
      <c r="AC187" s="9">
        <v>0</v>
      </c>
      <c r="AD187" s="9">
        <v>33</v>
      </c>
      <c r="AE187" s="9">
        <v>6</v>
      </c>
      <c r="AF187" s="9">
        <v>6</v>
      </c>
      <c r="AG187" s="9">
        <v>6</v>
      </c>
      <c r="AH187" s="9">
        <v>6</v>
      </c>
      <c r="AI187" s="9">
        <v>20</v>
      </c>
      <c r="AJ187" s="9">
        <v>13</v>
      </c>
      <c r="AK187" s="9">
        <v>33</v>
      </c>
      <c r="AL187" s="9">
        <v>26</v>
      </c>
      <c r="AM187" s="9">
        <v>20</v>
      </c>
      <c r="AN187" s="9">
        <v>0</v>
      </c>
      <c r="AO187" s="9">
        <v>0</v>
      </c>
      <c r="AP187" s="9">
        <v>26</v>
      </c>
      <c r="AQ187" s="9">
        <v>13</v>
      </c>
      <c r="AR187" s="9">
        <v>60</v>
      </c>
      <c r="AS187" s="9">
        <v>6</v>
      </c>
      <c r="AT187" s="9">
        <v>47</v>
      </c>
      <c r="AU187" s="9">
        <v>20</v>
      </c>
      <c r="AV187" s="9">
        <v>6</v>
      </c>
      <c r="AW187" s="9">
        <v>13</v>
      </c>
      <c r="AX187" s="9">
        <v>20</v>
      </c>
      <c r="AY187" s="9">
        <v>6</v>
      </c>
      <c r="AZ187" s="9">
        <v>5</v>
      </c>
      <c r="BA187" s="10">
        <v>85.820000000000007</v>
      </c>
      <c r="BB187" s="11">
        <v>26852.38</v>
      </c>
      <c r="BC187" s="11">
        <v>19922.73</v>
      </c>
      <c r="BD187" s="11">
        <v>11260.68</v>
      </c>
      <c r="BE187" s="11">
        <v>15591.7</v>
      </c>
      <c r="BF187" s="11">
        <v>12993.09</v>
      </c>
      <c r="BG187" s="11">
        <v>29000</v>
      </c>
      <c r="BH187" s="11">
        <v>12500</v>
      </c>
      <c r="BI187" s="11">
        <v>6498</v>
      </c>
      <c r="BJ187" s="11">
        <v>17694</v>
      </c>
      <c r="BK187" s="11">
        <v>49237</v>
      </c>
      <c r="BL187" s="11">
        <v>30576</v>
      </c>
      <c r="BM187" s="11">
        <v>23946</v>
      </c>
      <c r="BN187" s="11">
        <v>13866</v>
      </c>
      <c r="BO187" s="9">
        <v>133000</v>
      </c>
      <c r="BP187" s="9">
        <v>1604</v>
      </c>
    </row>
    <row r="188" spans="1:68" x14ac:dyDescent="0.3">
      <c r="A188" s="7">
        <v>45478</v>
      </c>
      <c r="B188" s="7" t="str">
        <f t="shared" si="2"/>
        <v>JULY</v>
      </c>
      <c r="C188" s="8">
        <f>MONTH(Data!$A188)</f>
        <v>7</v>
      </c>
      <c r="D188" s="9">
        <v>940</v>
      </c>
      <c r="E188" s="9">
        <v>635</v>
      </c>
      <c r="F188" s="9">
        <v>376</v>
      </c>
      <c r="G188" s="9">
        <v>442</v>
      </c>
      <c r="H188" s="9">
        <v>122</v>
      </c>
      <c r="I188" s="9">
        <v>158</v>
      </c>
      <c r="J188" s="9">
        <v>357</v>
      </c>
      <c r="K188" s="9">
        <v>120</v>
      </c>
      <c r="L188" s="9">
        <v>285</v>
      </c>
      <c r="M188" s="9">
        <v>180</v>
      </c>
      <c r="N188" s="9">
        <v>40</v>
      </c>
      <c r="O188" s="9">
        <v>40</v>
      </c>
      <c r="P188" s="9">
        <v>40</v>
      </c>
      <c r="Q188" s="9">
        <v>196</v>
      </c>
      <c r="R188" s="9">
        <v>42</v>
      </c>
      <c r="S188" s="9">
        <v>28</v>
      </c>
      <c r="T188" s="9">
        <v>25</v>
      </c>
      <c r="U188" s="9">
        <v>64</v>
      </c>
      <c r="V188" s="9">
        <v>25</v>
      </c>
      <c r="W188" s="9">
        <v>0</v>
      </c>
      <c r="X188" s="9">
        <v>44</v>
      </c>
      <c r="Y188" s="9">
        <v>12</v>
      </c>
      <c r="Z188" s="9">
        <v>63</v>
      </c>
      <c r="AA188" s="9">
        <v>31</v>
      </c>
      <c r="AB188" s="9">
        <v>6</v>
      </c>
      <c r="AC188" s="9">
        <v>0</v>
      </c>
      <c r="AD188" s="9">
        <v>25</v>
      </c>
      <c r="AE188" s="9">
        <v>6</v>
      </c>
      <c r="AF188" s="9">
        <v>6</v>
      </c>
      <c r="AG188" s="9">
        <v>25</v>
      </c>
      <c r="AH188" s="9">
        <v>0</v>
      </c>
      <c r="AI188" s="9">
        <v>6</v>
      </c>
      <c r="AJ188" s="9">
        <v>19</v>
      </c>
      <c r="AK188" s="9">
        <v>63</v>
      </c>
      <c r="AL188" s="9">
        <v>31</v>
      </c>
      <c r="AM188" s="9">
        <v>31</v>
      </c>
      <c r="AN188" s="9">
        <v>12</v>
      </c>
      <c r="AO188" s="9">
        <v>0</v>
      </c>
      <c r="AP188" s="9">
        <v>0</v>
      </c>
      <c r="AQ188" s="9">
        <v>12</v>
      </c>
      <c r="AR188" s="9">
        <v>63</v>
      </c>
      <c r="AS188" s="9">
        <v>12</v>
      </c>
      <c r="AT188" s="9">
        <v>19</v>
      </c>
      <c r="AU188" s="9">
        <v>12</v>
      </c>
      <c r="AV188" s="9">
        <v>6</v>
      </c>
      <c r="AW188" s="9">
        <v>44</v>
      </c>
      <c r="AX188" s="9">
        <v>0</v>
      </c>
      <c r="AY188" s="9">
        <v>0</v>
      </c>
      <c r="AZ188" s="9">
        <v>62</v>
      </c>
      <c r="BA188" s="10">
        <v>85.37</v>
      </c>
      <c r="BB188" s="11">
        <v>24027.88</v>
      </c>
      <c r="BC188" s="11">
        <v>14588.36</v>
      </c>
      <c r="BD188" s="11">
        <v>12872.08</v>
      </c>
      <c r="BE188" s="11">
        <v>19737.189999999999</v>
      </c>
      <c r="BF188" s="11">
        <v>14588.36</v>
      </c>
      <c r="BG188" s="11">
        <v>29000</v>
      </c>
      <c r="BH188" s="11">
        <v>12500</v>
      </c>
      <c r="BI188" s="11">
        <v>6498</v>
      </c>
      <c r="BJ188" s="11">
        <v>17694</v>
      </c>
      <c r="BK188" s="11">
        <v>49237</v>
      </c>
      <c r="BL188" s="11">
        <v>30576</v>
      </c>
      <c r="BM188" s="11">
        <v>23946</v>
      </c>
      <c r="BN188" s="11">
        <v>13866</v>
      </c>
      <c r="BO188" s="9">
        <v>133000</v>
      </c>
      <c r="BP188" s="9">
        <v>8202</v>
      </c>
    </row>
    <row r="189" spans="1:68" x14ac:dyDescent="0.3">
      <c r="A189" s="7">
        <v>45479</v>
      </c>
      <c r="B189" s="7" t="str">
        <f t="shared" si="2"/>
        <v>JULY</v>
      </c>
      <c r="C189" s="8">
        <f>MONTH(Data!$A189)</f>
        <v>7</v>
      </c>
      <c r="D189" s="9">
        <v>965</v>
      </c>
      <c r="E189" s="9">
        <v>608</v>
      </c>
      <c r="F189" s="9">
        <v>386</v>
      </c>
      <c r="G189" s="9">
        <v>358</v>
      </c>
      <c r="H189" s="9">
        <v>221</v>
      </c>
      <c r="I189" s="9">
        <v>127</v>
      </c>
      <c r="J189" s="9">
        <v>342</v>
      </c>
      <c r="K189" s="9">
        <v>139</v>
      </c>
      <c r="L189" s="9">
        <v>293</v>
      </c>
      <c r="M189" s="9">
        <v>65</v>
      </c>
      <c r="N189" s="9">
        <v>89</v>
      </c>
      <c r="O189" s="9">
        <v>65</v>
      </c>
      <c r="P189" s="9">
        <v>47</v>
      </c>
      <c r="Q189" s="9">
        <v>183</v>
      </c>
      <c r="R189" s="9">
        <v>44</v>
      </c>
      <c r="S189" s="9">
        <v>51</v>
      </c>
      <c r="T189" s="9">
        <v>36</v>
      </c>
      <c r="U189" s="9">
        <v>92</v>
      </c>
      <c r="V189" s="9">
        <v>30</v>
      </c>
      <c r="W189" s="9">
        <v>0</v>
      </c>
      <c r="X189" s="9">
        <v>24</v>
      </c>
      <c r="Y189" s="9">
        <v>18</v>
      </c>
      <c r="Z189" s="9">
        <v>79</v>
      </c>
      <c r="AA189" s="9">
        <v>48</v>
      </c>
      <c r="AB189" s="9">
        <v>0</v>
      </c>
      <c r="AC189" s="9">
        <v>0</v>
      </c>
      <c r="AD189" s="9">
        <v>18</v>
      </c>
      <c r="AE189" s="9">
        <v>12</v>
      </c>
      <c r="AF189" s="9">
        <v>0</v>
      </c>
      <c r="AG189" s="9">
        <v>24</v>
      </c>
      <c r="AH189" s="9">
        <v>0</v>
      </c>
      <c r="AI189" s="9">
        <v>6</v>
      </c>
      <c r="AJ189" s="9">
        <v>18</v>
      </c>
      <c r="AK189" s="9">
        <v>48</v>
      </c>
      <c r="AL189" s="9">
        <v>12</v>
      </c>
      <c r="AM189" s="9">
        <v>30</v>
      </c>
      <c r="AN189" s="9">
        <v>0</v>
      </c>
      <c r="AO189" s="9">
        <v>6</v>
      </c>
      <c r="AP189" s="9">
        <v>12</v>
      </c>
      <c r="AQ189" s="9">
        <v>12</v>
      </c>
      <c r="AR189" s="9">
        <v>66</v>
      </c>
      <c r="AS189" s="9">
        <v>18</v>
      </c>
      <c r="AT189" s="9">
        <v>30</v>
      </c>
      <c r="AU189" s="9">
        <v>6</v>
      </c>
      <c r="AV189" s="9">
        <v>0</v>
      </c>
      <c r="AW189" s="9">
        <v>42</v>
      </c>
      <c r="AX189" s="9">
        <v>0</v>
      </c>
      <c r="AY189" s="9">
        <v>6</v>
      </c>
      <c r="AZ189" s="9">
        <v>43</v>
      </c>
      <c r="BA189" s="10">
        <v>85.18</v>
      </c>
      <c r="BB189" s="11">
        <v>28169.53</v>
      </c>
      <c r="BC189" s="11">
        <v>11097.09</v>
      </c>
      <c r="BD189" s="11">
        <v>21340.55</v>
      </c>
      <c r="BE189" s="11">
        <v>8536.2199999999993</v>
      </c>
      <c r="BF189" s="11">
        <v>16218.82</v>
      </c>
      <c r="BG189" s="11">
        <v>29000</v>
      </c>
      <c r="BH189" s="11">
        <v>12500</v>
      </c>
      <c r="BI189" s="11">
        <v>6498</v>
      </c>
      <c r="BJ189" s="11">
        <v>17694</v>
      </c>
      <c r="BK189" s="11">
        <v>49237</v>
      </c>
      <c r="BL189" s="11">
        <v>30576</v>
      </c>
      <c r="BM189" s="11">
        <v>23946</v>
      </c>
      <c r="BN189" s="11">
        <v>13866</v>
      </c>
      <c r="BO189" s="9">
        <v>133000</v>
      </c>
      <c r="BP189" s="9">
        <v>1630</v>
      </c>
    </row>
    <row r="190" spans="1:68" x14ac:dyDescent="0.3">
      <c r="A190" s="7">
        <v>45480</v>
      </c>
      <c r="B190" s="7" t="str">
        <f t="shared" si="2"/>
        <v>JULY</v>
      </c>
      <c r="C190" s="8">
        <f>MONTH(Data!$A190)</f>
        <v>7</v>
      </c>
      <c r="D190" s="9">
        <v>984</v>
      </c>
      <c r="E190" s="9">
        <v>585</v>
      </c>
      <c r="F190" s="9">
        <v>403</v>
      </c>
      <c r="G190" s="9">
        <v>463</v>
      </c>
      <c r="H190" s="9">
        <v>118</v>
      </c>
      <c r="I190" s="9">
        <v>187</v>
      </c>
      <c r="J190" s="9">
        <v>369</v>
      </c>
      <c r="K190" s="9">
        <v>29</v>
      </c>
      <c r="L190" s="9">
        <v>323</v>
      </c>
      <c r="M190" s="9">
        <v>30</v>
      </c>
      <c r="N190" s="9">
        <v>85</v>
      </c>
      <c r="O190" s="9">
        <v>48</v>
      </c>
      <c r="P190" s="9">
        <v>54</v>
      </c>
      <c r="Q190" s="9">
        <v>198</v>
      </c>
      <c r="R190" s="9">
        <v>78</v>
      </c>
      <c r="S190" s="9">
        <v>29</v>
      </c>
      <c r="T190" s="9">
        <v>29</v>
      </c>
      <c r="U190" s="9">
        <v>110</v>
      </c>
      <c r="V190" s="9">
        <v>58</v>
      </c>
      <c r="W190" s="9">
        <v>17</v>
      </c>
      <c r="X190" s="9">
        <v>23</v>
      </c>
      <c r="Y190" s="9">
        <v>11</v>
      </c>
      <c r="Z190" s="9">
        <v>4</v>
      </c>
      <c r="AA190" s="9">
        <v>40</v>
      </c>
      <c r="AB190" s="9">
        <v>17</v>
      </c>
      <c r="AC190" s="9">
        <v>11</v>
      </c>
      <c r="AD190" s="9">
        <v>11</v>
      </c>
      <c r="AE190" s="9">
        <v>0</v>
      </c>
      <c r="AF190" s="9">
        <v>0</v>
      </c>
      <c r="AG190" s="9">
        <v>11</v>
      </c>
      <c r="AH190" s="9">
        <v>17</v>
      </c>
      <c r="AI190" s="9">
        <v>5</v>
      </c>
      <c r="AJ190" s="9">
        <v>11</v>
      </c>
      <c r="AK190" s="9">
        <v>52</v>
      </c>
      <c r="AL190" s="9">
        <v>29</v>
      </c>
      <c r="AM190" s="9">
        <v>23</v>
      </c>
      <c r="AN190" s="9">
        <v>5</v>
      </c>
      <c r="AO190" s="9">
        <v>0</v>
      </c>
      <c r="AP190" s="9">
        <v>23</v>
      </c>
      <c r="AQ190" s="9">
        <v>17</v>
      </c>
      <c r="AR190" s="9">
        <v>64</v>
      </c>
      <c r="AS190" s="9">
        <v>17</v>
      </c>
      <c r="AT190" s="9">
        <v>52</v>
      </c>
      <c r="AU190" s="9">
        <v>17</v>
      </c>
      <c r="AV190" s="9">
        <v>5</v>
      </c>
      <c r="AW190" s="9">
        <v>5</v>
      </c>
      <c r="AX190" s="9">
        <v>17</v>
      </c>
      <c r="AY190" s="9">
        <v>23</v>
      </c>
      <c r="AZ190" s="9">
        <v>0</v>
      </c>
      <c r="BA190" s="10">
        <v>85.460000000000008</v>
      </c>
      <c r="BB190" s="11">
        <v>22998.81</v>
      </c>
      <c r="BC190" s="11">
        <v>12777.11</v>
      </c>
      <c r="BD190" s="11">
        <v>11073.5</v>
      </c>
      <c r="BE190" s="11">
        <v>9369.8799999999992</v>
      </c>
      <c r="BF190" s="11">
        <v>28961.46</v>
      </c>
      <c r="BG190" s="11">
        <v>29000</v>
      </c>
      <c r="BH190" s="11">
        <v>12500</v>
      </c>
      <c r="BI190" s="11">
        <v>6498</v>
      </c>
      <c r="BJ190" s="11">
        <v>17694</v>
      </c>
      <c r="BK190" s="11">
        <v>49237</v>
      </c>
      <c r="BL190" s="11">
        <v>30576</v>
      </c>
      <c r="BM190" s="11">
        <v>23946</v>
      </c>
      <c r="BN190" s="11">
        <v>13866</v>
      </c>
      <c r="BO190" s="9">
        <v>133000</v>
      </c>
      <c r="BP190" s="9">
        <v>6694</v>
      </c>
    </row>
    <row r="191" spans="1:68" x14ac:dyDescent="0.3">
      <c r="A191" s="7">
        <v>45481</v>
      </c>
      <c r="B191" s="7" t="str">
        <f t="shared" si="2"/>
        <v>JULY</v>
      </c>
      <c r="C191" s="8">
        <f>MONTH(Data!$A191)</f>
        <v>7</v>
      </c>
      <c r="D191" s="9">
        <v>989</v>
      </c>
      <c r="E191" s="9">
        <v>570</v>
      </c>
      <c r="F191" s="9">
        <v>484</v>
      </c>
      <c r="G191" s="9">
        <v>288</v>
      </c>
      <c r="H191" s="9">
        <v>217</v>
      </c>
      <c r="I191" s="9">
        <v>165</v>
      </c>
      <c r="J191" s="9">
        <v>343</v>
      </c>
      <c r="K191" s="9">
        <v>62</v>
      </c>
      <c r="L191" s="9">
        <v>275</v>
      </c>
      <c r="M191" s="9">
        <v>165</v>
      </c>
      <c r="N191" s="9">
        <v>42</v>
      </c>
      <c r="O191" s="9">
        <v>42</v>
      </c>
      <c r="P191" s="9">
        <v>49</v>
      </c>
      <c r="Q191" s="9">
        <v>165</v>
      </c>
      <c r="R191" s="9">
        <v>131</v>
      </c>
      <c r="S191" s="9">
        <v>33</v>
      </c>
      <c r="T191" s="9">
        <v>41</v>
      </c>
      <c r="U191" s="9">
        <v>46</v>
      </c>
      <c r="V191" s="9">
        <v>79</v>
      </c>
      <c r="W191" s="9">
        <v>11</v>
      </c>
      <c r="X191" s="9">
        <v>28</v>
      </c>
      <c r="Y191" s="9">
        <v>11</v>
      </c>
      <c r="Z191" s="9">
        <v>74</v>
      </c>
      <c r="AA191" s="9">
        <v>34</v>
      </c>
      <c r="AB191" s="9">
        <v>17</v>
      </c>
      <c r="AC191" s="9">
        <v>5</v>
      </c>
      <c r="AD191" s="9">
        <v>22</v>
      </c>
      <c r="AE191" s="9">
        <v>11</v>
      </c>
      <c r="AF191" s="9">
        <v>5</v>
      </c>
      <c r="AG191" s="9">
        <v>17</v>
      </c>
      <c r="AH191" s="9">
        <v>11</v>
      </c>
      <c r="AI191" s="9">
        <v>0</v>
      </c>
      <c r="AJ191" s="9">
        <v>0</v>
      </c>
      <c r="AK191" s="9">
        <v>28</v>
      </c>
      <c r="AL191" s="9">
        <v>5</v>
      </c>
      <c r="AM191" s="9">
        <v>22</v>
      </c>
      <c r="AN191" s="9">
        <v>5</v>
      </c>
      <c r="AO191" s="9">
        <v>5</v>
      </c>
      <c r="AP191" s="9">
        <v>5</v>
      </c>
      <c r="AQ191" s="9">
        <v>17</v>
      </c>
      <c r="AR191" s="9">
        <v>39</v>
      </c>
      <c r="AS191" s="9">
        <v>5</v>
      </c>
      <c r="AT191" s="9">
        <v>17</v>
      </c>
      <c r="AU191" s="9">
        <v>11</v>
      </c>
      <c r="AV191" s="9">
        <v>0</v>
      </c>
      <c r="AW191" s="9">
        <v>39</v>
      </c>
      <c r="AX191" s="9">
        <v>22</v>
      </c>
      <c r="AY191" s="9">
        <v>22</v>
      </c>
      <c r="AZ191" s="9">
        <v>3</v>
      </c>
      <c r="BA191" s="10">
        <v>86.31</v>
      </c>
      <c r="BB191" s="11">
        <v>27345.09</v>
      </c>
      <c r="BC191" s="11">
        <v>21363.35</v>
      </c>
      <c r="BD191" s="11">
        <v>17945.22</v>
      </c>
      <c r="BE191" s="11">
        <v>8799.75</v>
      </c>
      <c r="BF191" s="11">
        <v>10000</v>
      </c>
      <c r="BG191" s="11">
        <v>29000</v>
      </c>
      <c r="BH191" s="11">
        <v>10000</v>
      </c>
      <c r="BI191" s="11">
        <v>5044</v>
      </c>
      <c r="BJ191" s="11">
        <v>10717</v>
      </c>
      <c r="BK191" s="11">
        <v>49237</v>
      </c>
      <c r="BL191" s="11">
        <v>30576</v>
      </c>
      <c r="BM191" s="11">
        <v>23946</v>
      </c>
      <c r="BN191" s="11">
        <v>13866</v>
      </c>
      <c r="BO191" s="9">
        <v>133000</v>
      </c>
      <c r="BP191" s="9">
        <v>6394</v>
      </c>
    </row>
    <row r="192" spans="1:68" x14ac:dyDescent="0.3">
      <c r="A192" s="7">
        <v>45482</v>
      </c>
      <c r="B192" s="7" t="str">
        <f t="shared" si="2"/>
        <v>JULY</v>
      </c>
      <c r="C192" s="8">
        <f>MONTH(Data!$A192)</f>
        <v>7</v>
      </c>
      <c r="D192" s="9">
        <v>984</v>
      </c>
      <c r="E192" s="9">
        <v>557</v>
      </c>
      <c r="F192" s="9">
        <v>265</v>
      </c>
      <c r="G192" s="9">
        <v>523</v>
      </c>
      <c r="H192" s="9">
        <v>196</v>
      </c>
      <c r="I192" s="9">
        <v>206</v>
      </c>
      <c r="J192" s="9">
        <v>296</v>
      </c>
      <c r="K192" s="9">
        <v>55</v>
      </c>
      <c r="L192" s="9">
        <v>225</v>
      </c>
      <c r="M192" s="9">
        <v>189</v>
      </c>
      <c r="N192" s="9">
        <v>79</v>
      </c>
      <c r="O192" s="9">
        <v>85</v>
      </c>
      <c r="P192" s="9">
        <v>42</v>
      </c>
      <c r="Q192" s="9">
        <v>175</v>
      </c>
      <c r="R192" s="9">
        <v>59</v>
      </c>
      <c r="S192" s="9">
        <v>44</v>
      </c>
      <c r="T192" s="9">
        <v>56</v>
      </c>
      <c r="U192" s="9">
        <v>30</v>
      </c>
      <c r="V192" s="9">
        <v>27</v>
      </c>
      <c r="W192" s="9">
        <v>0</v>
      </c>
      <c r="X192" s="9">
        <v>27</v>
      </c>
      <c r="Y192" s="9">
        <v>0</v>
      </c>
      <c r="Z192" s="9">
        <v>44</v>
      </c>
      <c r="AA192" s="9">
        <v>50</v>
      </c>
      <c r="AB192" s="9">
        <v>0</v>
      </c>
      <c r="AC192" s="9">
        <v>0</v>
      </c>
      <c r="AD192" s="9">
        <v>16</v>
      </c>
      <c r="AE192" s="9">
        <v>16</v>
      </c>
      <c r="AF192" s="9">
        <v>0</v>
      </c>
      <c r="AG192" s="9">
        <v>5</v>
      </c>
      <c r="AH192" s="9">
        <v>16</v>
      </c>
      <c r="AI192" s="9">
        <v>11</v>
      </c>
      <c r="AJ192" s="9">
        <v>11</v>
      </c>
      <c r="AK192" s="9">
        <v>22</v>
      </c>
      <c r="AL192" s="9">
        <v>38</v>
      </c>
      <c r="AM192" s="9">
        <v>22</v>
      </c>
      <c r="AN192" s="9">
        <v>0</v>
      </c>
      <c r="AO192" s="9">
        <v>0</v>
      </c>
      <c r="AP192" s="9">
        <v>5</v>
      </c>
      <c r="AQ192" s="9">
        <v>5</v>
      </c>
      <c r="AR192" s="9">
        <v>44</v>
      </c>
      <c r="AS192" s="9">
        <v>11</v>
      </c>
      <c r="AT192" s="9">
        <v>50</v>
      </c>
      <c r="AU192" s="9">
        <v>11</v>
      </c>
      <c r="AV192" s="9">
        <v>5</v>
      </c>
      <c r="AW192" s="9">
        <v>5</v>
      </c>
      <c r="AX192" s="9">
        <v>11</v>
      </c>
      <c r="AY192" s="9">
        <v>0</v>
      </c>
      <c r="AZ192" s="9">
        <v>105</v>
      </c>
      <c r="BA192" s="10">
        <v>87.490000000000009</v>
      </c>
      <c r="BB192" s="11">
        <v>29346.94</v>
      </c>
      <c r="BC192" s="11">
        <v>14673.47</v>
      </c>
      <c r="BD192" s="11">
        <v>12084.03</v>
      </c>
      <c r="BE192" s="11">
        <v>12947.18</v>
      </c>
      <c r="BF192" s="11">
        <v>17262.91</v>
      </c>
      <c r="BG192" s="11">
        <v>29000</v>
      </c>
      <c r="BH192" s="11">
        <v>10000</v>
      </c>
      <c r="BI192" s="11">
        <v>5044</v>
      </c>
      <c r="BJ192" s="11">
        <v>10717</v>
      </c>
      <c r="BK192" s="11">
        <v>49237</v>
      </c>
      <c r="BL192" s="11">
        <v>30576</v>
      </c>
      <c r="BM192" s="11">
        <v>23946</v>
      </c>
      <c r="BN192" s="11">
        <v>13866</v>
      </c>
      <c r="BO192" s="9">
        <v>133000</v>
      </c>
      <c r="BP192" s="9">
        <v>8714</v>
      </c>
    </row>
    <row r="193" spans="1:68" x14ac:dyDescent="0.3">
      <c r="A193" s="7">
        <v>45483</v>
      </c>
      <c r="B193" s="7" t="str">
        <f t="shared" si="2"/>
        <v>JULY</v>
      </c>
      <c r="C193" s="8">
        <f>MONTH(Data!$A193)</f>
        <v>7</v>
      </c>
      <c r="D193" s="9">
        <v>962</v>
      </c>
      <c r="E193" s="9">
        <v>550</v>
      </c>
      <c r="F193" s="9">
        <v>240</v>
      </c>
      <c r="G193" s="9">
        <v>540</v>
      </c>
      <c r="H193" s="9">
        <v>182</v>
      </c>
      <c r="I193" s="9">
        <v>225</v>
      </c>
      <c r="J193" s="9">
        <v>199</v>
      </c>
      <c r="K193" s="9">
        <v>126</v>
      </c>
      <c r="L193" s="9">
        <v>292</v>
      </c>
      <c r="M193" s="9">
        <v>172</v>
      </c>
      <c r="N193" s="9">
        <v>53</v>
      </c>
      <c r="O193" s="9">
        <v>83</v>
      </c>
      <c r="P193" s="9">
        <v>11</v>
      </c>
      <c r="Q193" s="9">
        <v>127</v>
      </c>
      <c r="R193" s="9">
        <v>69</v>
      </c>
      <c r="S193" s="9">
        <v>36</v>
      </c>
      <c r="T193" s="9">
        <v>36</v>
      </c>
      <c r="U193" s="9">
        <v>83</v>
      </c>
      <c r="V193" s="9">
        <v>71</v>
      </c>
      <c r="W193" s="9">
        <v>0</v>
      </c>
      <c r="X193" s="9">
        <v>33</v>
      </c>
      <c r="Y193" s="9">
        <v>11</v>
      </c>
      <c r="Z193" s="9">
        <v>23</v>
      </c>
      <c r="AA193" s="9">
        <v>33</v>
      </c>
      <c r="AB193" s="9">
        <v>5</v>
      </c>
      <c r="AC193" s="9">
        <v>16</v>
      </c>
      <c r="AD193" s="9">
        <v>22</v>
      </c>
      <c r="AE193" s="9">
        <v>16</v>
      </c>
      <c r="AF193" s="9">
        <v>0</v>
      </c>
      <c r="AG193" s="9">
        <v>16</v>
      </c>
      <c r="AH193" s="9">
        <v>11</v>
      </c>
      <c r="AI193" s="9">
        <v>0</v>
      </c>
      <c r="AJ193" s="9">
        <v>0</v>
      </c>
      <c r="AK193" s="9">
        <v>44</v>
      </c>
      <c r="AL193" s="9">
        <v>27</v>
      </c>
      <c r="AM193" s="9">
        <v>5</v>
      </c>
      <c r="AN193" s="9">
        <v>0</v>
      </c>
      <c r="AO193" s="9">
        <v>5</v>
      </c>
      <c r="AP193" s="9">
        <v>16</v>
      </c>
      <c r="AQ193" s="9">
        <v>16</v>
      </c>
      <c r="AR193" s="9">
        <v>49</v>
      </c>
      <c r="AS193" s="9">
        <v>16</v>
      </c>
      <c r="AT193" s="9">
        <v>38</v>
      </c>
      <c r="AU193" s="9">
        <v>22</v>
      </c>
      <c r="AV193" s="9">
        <v>0</v>
      </c>
      <c r="AW193" s="9">
        <v>33</v>
      </c>
      <c r="AX193" s="9">
        <v>11</v>
      </c>
      <c r="AY193" s="9">
        <v>11</v>
      </c>
      <c r="AZ193" s="9">
        <v>0</v>
      </c>
      <c r="BA193" s="10">
        <v>88.06</v>
      </c>
      <c r="BB193" s="11">
        <v>23620.51</v>
      </c>
      <c r="BC193" s="11">
        <v>20996.01</v>
      </c>
      <c r="BD193" s="11">
        <v>20121.18</v>
      </c>
      <c r="BE193" s="11">
        <v>13997.34</v>
      </c>
      <c r="BF193" s="11">
        <v>8748.34</v>
      </c>
      <c r="BG193" s="11">
        <v>29000</v>
      </c>
      <c r="BH193" s="11">
        <v>10000</v>
      </c>
      <c r="BI193" s="11">
        <v>5044</v>
      </c>
      <c r="BJ193" s="11">
        <v>10717</v>
      </c>
      <c r="BK193" s="11">
        <v>49237</v>
      </c>
      <c r="BL193" s="11">
        <v>30576</v>
      </c>
      <c r="BM193" s="11">
        <v>23946</v>
      </c>
      <c r="BN193" s="11">
        <v>13866</v>
      </c>
      <c r="BO193" s="9">
        <v>133000</v>
      </c>
      <c r="BP193" s="9">
        <v>1353</v>
      </c>
    </row>
    <row r="194" spans="1:68" x14ac:dyDescent="0.3">
      <c r="A194" s="7">
        <v>45484</v>
      </c>
      <c r="B194" s="7" t="str">
        <f t="shared" ref="B194:B257" si="3">CHOOSE(C194,
"JANUARY",
"FEBRUARY",
"MARCH",
"APRIL",
"MAY",
"JUNE",
"JULY",
"AUGUST",
"SEPTEMBER",
"OCTOBER",
"NOVEMBER",
"DECEMBER")</f>
        <v>JULY</v>
      </c>
      <c r="C194" s="8">
        <f>MONTH(Data!$A194)</f>
        <v>7</v>
      </c>
      <c r="D194" s="9">
        <v>937</v>
      </c>
      <c r="E194" s="9">
        <v>548</v>
      </c>
      <c r="F194" s="9">
        <v>412</v>
      </c>
      <c r="G194" s="9">
        <v>394</v>
      </c>
      <c r="H194" s="9">
        <v>131</v>
      </c>
      <c r="I194" s="9">
        <v>235</v>
      </c>
      <c r="J194" s="9">
        <v>231</v>
      </c>
      <c r="K194" s="9">
        <v>82</v>
      </c>
      <c r="L194" s="9">
        <v>197</v>
      </c>
      <c r="M194" s="9">
        <v>121</v>
      </c>
      <c r="N194" s="9">
        <v>46</v>
      </c>
      <c r="O194" s="9">
        <v>29</v>
      </c>
      <c r="P194" s="9">
        <v>23</v>
      </c>
      <c r="Q194" s="9">
        <v>145</v>
      </c>
      <c r="R194" s="9">
        <v>121</v>
      </c>
      <c r="S194" s="9">
        <v>35</v>
      </c>
      <c r="T194" s="9">
        <v>28</v>
      </c>
      <c r="U194" s="9">
        <v>192</v>
      </c>
      <c r="V194" s="9">
        <v>38</v>
      </c>
      <c r="W194" s="9">
        <v>16</v>
      </c>
      <c r="X194" s="9">
        <v>27</v>
      </c>
      <c r="Y194" s="9">
        <v>0</v>
      </c>
      <c r="Z194" s="9">
        <v>47</v>
      </c>
      <c r="AA194" s="9">
        <v>27</v>
      </c>
      <c r="AB194" s="9">
        <v>0</v>
      </c>
      <c r="AC194" s="9">
        <v>16</v>
      </c>
      <c r="AD194" s="9">
        <v>27</v>
      </c>
      <c r="AE194" s="9">
        <v>5</v>
      </c>
      <c r="AF194" s="9">
        <v>0</v>
      </c>
      <c r="AG194" s="9">
        <v>27</v>
      </c>
      <c r="AH194" s="9">
        <v>16</v>
      </c>
      <c r="AI194" s="9">
        <v>5</v>
      </c>
      <c r="AJ194" s="9">
        <v>5</v>
      </c>
      <c r="AK194" s="9">
        <v>27</v>
      </c>
      <c r="AL194" s="9">
        <v>38</v>
      </c>
      <c r="AM194" s="9">
        <v>16</v>
      </c>
      <c r="AN194" s="9">
        <v>5</v>
      </c>
      <c r="AO194" s="9">
        <v>5</v>
      </c>
      <c r="AP194" s="9">
        <v>21</v>
      </c>
      <c r="AQ194" s="9">
        <v>5</v>
      </c>
      <c r="AR194" s="9">
        <v>54</v>
      </c>
      <c r="AS194" s="9">
        <v>16</v>
      </c>
      <c r="AT194" s="9">
        <v>43</v>
      </c>
      <c r="AU194" s="9">
        <v>5</v>
      </c>
      <c r="AV194" s="9">
        <v>5</v>
      </c>
      <c r="AW194" s="9">
        <v>32</v>
      </c>
      <c r="AX194" s="9">
        <v>10</v>
      </c>
      <c r="AY194" s="9">
        <v>10</v>
      </c>
      <c r="AZ194" s="9">
        <v>0</v>
      </c>
      <c r="BA194" s="10">
        <v>88.320000000000007</v>
      </c>
      <c r="BB194" s="11">
        <v>26418.44</v>
      </c>
      <c r="BC194" s="11">
        <v>21134.75</v>
      </c>
      <c r="BD194" s="11">
        <v>17612.3</v>
      </c>
      <c r="BE194" s="11">
        <v>12328.61</v>
      </c>
      <c r="BF194" s="11">
        <v>10567.38</v>
      </c>
      <c r="BG194" s="11">
        <v>29000</v>
      </c>
      <c r="BH194" s="11">
        <v>10000</v>
      </c>
      <c r="BI194" s="11">
        <v>5044</v>
      </c>
      <c r="BJ194" s="11">
        <v>10717</v>
      </c>
      <c r="BK194" s="11">
        <v>49237</v>
      </c>
      <c r="BL194" s="11">
        <v>30576</v>
      </c>
      <c r="BM194" s="11">
        <v>23946</v>
      </c>
      <c r="BN194" s="11">
        <v>13866</v>
      </c>
      <c r="BO194" s="9">
        <v>133000</v>
      </c>
      <c r="BP194" s="9">
        <v>7781</v>
      </c>
    </row>
    <row r="195" spans="1:68" x14ac:dyDescent="0.3">
      <c r="A195" s="7">
        <v>45485</v>
      </c>
      <c r="B195" s="7" t="str">
        <f t="shared" si="3"/>
        <v>JULY</v>
      </c>
      <c r="C195" s="8">
        <f>MONTH(Data!$A195)</f>
        <v>7</v>
      </c>
      <c r="D195" s="9">
        <v>916</v>
      </c>
      <c r="E195" s="9">
        <v>548</v>
      </c>
      <c r="F195" s="9">
        <v>348</v>
      </c>
      <c r="G195" s="9">
        <v>376</v>
      </c>
      <c r="H195" s="9">
        <v>192</v>
      </c>
      <c r="I195" s="9">
        <v>197</v>
      </c>
      <c r="J195" s="9">
        <v>220</v>
      </c>
      <c r="K195" s="9">
        <v>131</v>
      </c>
      <c r="L195" s="9">
        <v>238</v>
      </c>
      <c r="M195" s="9">
        <v>130</v>
      </c>
      <c r="N195" s="9">
        <v>85</v>
      </c>
      <c r="O195" s="9">
        <v>85</v>
      </c>
      <c r="P195" s="9">
        <v>39</v>
      </c>
      <c r="Q195" s="9">
        <v>132</v>
      </c>
      <c r="R195" s="9">
        <v>20</v>
      </c>
      <c r="S195" s="9">
        <v>38</v>
      </c>
      <c r="T195" s="9">
        <v>20</v>
      </c>
      <c r="U195" s="9">
        <v>129</v>
      </c>
      <c r="V195" s="9">
        <v>76</v>
      </c>
      <c r="W195" s="9">
        <v>0</v>
      </c>
      <c r="X195" s="9">
        <v>16</v>
      </c>
      <c r="Y195" s="9">
        <v>5</v>
      </c>
      <c r="Z195" s="9">
        <v>56</v>
      </c>
      <c r="AA195" s="9">
        <v>49</v>
      </c>
      <c r="AB195" s="9">
        <v>16</v>
      </c>
      <c r="AC195" s="9">
        <v>10</v>
      </c>
      <c r="AD195" s="9">
        <v>21</v>
      </c>
      <c r="AE195" s="9">
        <v>5</v>
      </c>
      <c r="AF195" s="9">
        <v>5</v>
      </c>
      <c r="AG195" s="9">
        <v>16</v>
      </c>
      <c r="AH195" s="9">
        <v>5</v>
      </c>
      <c r="AI195" s="9">
        <v>5</v>
      </c>
      <c r="AJ195" s="9">
        <v>5</v>
      </c>
      <c r="AK195" s="9">
        <v>49</v>
      </c>
      <c r="AL195" s="9">
        <v>32</v>
      </c>
      <c r="AM195" s="9">
        <v>27</v>
      </c>
      <c r="AN195" s="9">
        <v>0</v>
      </c>
      <c r="AO195" s="9">
        <v>0</v>
      </c>
      <c r="AP195" s="9">
        <v>0</v>
      </c>
      <c r="AQ195" s="9">
        <v>16</v>
      </c>
      <c r="AR195" s="9">
        <v>49</v>
      </c>
      <c r="AS195" s="9">
        <v>16</v>
      </c>
      <c r="AT195" s="9">
        <v>32</v>
      </c>
      <c r="AU195" s="9">
        <v>5</v>
      </c>
      <c r="AV195" s="9">
        <v>0</v>
      </c>
      <c r="AW195" s="9">
        <v>27</v>
      </c>
      <c r="AX195" s="9">
        <v>5</v>
      </c>
      <c r="AY195" s="9">
        <v>0</v>
      </c>
      <c r="AZ195" s="9">
        <v>0</v>
      </c>
      <c r="BA195" s="10">
        <v>88.33</v>
      </c>
      <c r="BB195" s="11">
        <v>26498.06</v>
      </c>
      <c r="BC195" s="11">
        <v>11482.49</v>
      </c>
      <c r="BD195" s="11">
        <v>16782.11</v>
      </c>
      <c r="BE195" s="11">
        <v>14132.3</v>
      </c>
      <c r="BF195" s="11">
        <v>19431.91</v>
      </c>
      <c r="BG195" s="11">
        <v>29000</v>
      </c>
      <c r="BH195" s="11">
        <v>10000</v>
      </c>
      <c r="BI195" s="11">
        <v>5044</v>
      </c>
      <c r="BJ195" s="11">
        <v>10717</v>
      </c>
      <c r="BK195" s="11">
        <v>49237</v>
      </c>
      <c r="BL195" s="11">
        <v>30576</v>
      </c>
      <c r="BM195" s="11">
        <v>23946</v>
      </c>
      <c r="BN195" s="11">
        <v>13866</v>
      </c>
      <c r="BO195" s="9">
        <v>133000</v>
      </c>
      <c r="BP195" s="9">
        <v>7524</v>
      </c>
    </row>
    <row r="196" spans="1:68" x14ac:dyDescent="0.3">
      <c r="A196" s="7">
        <v>45486</v>
      </c>
      <c r="B196" s="7" t="str">
        <f t="shared" si="3"/>
        <v>JULY</v>
      </c>
      <c r="C196" s="8">
        <f>MONTH(Data!$A196)</f>
        <v>7</v>
      </c>
      <c r="D196" s="9">
        <v>908</v>
      </c>
      <c r="E196" s="9">
        <v>550</v>
      </c>
      <c r="F196" s="9">
        <v>254</v>
      </c>
      <c r="G196" s="9">
        <v>546</v>
      </c>
      <c r="H196" s="9">
        <v>108</v>
      </c>
      <c r="I196" s="9">
        <v>192</v>
      </c>
      <c r="J196" s="9">
        <v>221</v>
      </c>
      <c r="K196" s="9">
        <v>137</v>
      </c>
      <c r="L196" s="9">
        <v>299</v>
      </c>
      <c r="M196" s="9">
        <v>151</v>
      </c>
      <c r="N196" s="9">
        <v>84</v>
      </c>
      <c r="O196" s="9">
        <v>39</v>
      </c>
      <c r="P196" s="9">
        <v>16</v>
      </c>
      <c r="Q196" s="9">
        <v>162</v>
      </c>
      <c r="R196" s="9">
        <v>62</v>
      </c>
      <c r="S196" s="9">
        <v>51</v>
      </c>
      <c r="T196" s="9">
        <v>44</v>
      </c>
      <c r="U196" s="9">
        <v>0</v>
      </c>
      <c r="V196" s="9">
        <v>77</v>
      </c>
      <c r="W196" s="9">
        <v>11</v>
      </c>
      <c r="X196" s="9">
        <v>22</v>
      </c>
      <c r="Y196" s="9">
        <v>5</v>
      </c>
      <c r="Z196" s="9">
        <v>1</v>
      </c>
      <c r="AA196" s="9">
        <v>49</v>
      </c>
      <c r="AB196" s="9">
        <v>5</v>
      </c>
      <c r="AC196" s="9">
        <v>0</v>
      </c>
      <c r="AD196" s="9">
        <v>33</v>
      </c>
      <c r="AE196" s="9">
        <v>16</v>
      </c>
      <c r="AF196" s="9">
        <v>0</v>
      </c>
      <c r="AG196" s="9">
        <v>27</v>
      </c>
      <c r="AH196" s="9">
        <v>0</v>
      </c>
      <c r="AI196" s="9">
        <v>11</v>
      </c>
      <c r="AJ196" s="9">
        <v>16</v>
      </c>
      <c r="AK196" s="9">
        <v>33</v>
      </c>
      <c r="AL196" s="9">
        <v>16</v>
      </c>
      <c r="AM196" s="9">
        <v>22</v>
      </c>
      <c r="AN196" s="9">
        <v>5</v>
      </c>
      <c r="AO196" s="9">
        <v>0</v>
      </c>
      <c r="AP196" s="9">
        <v>16</v>
      </c>
      <c r="AQ196" s="9">
        <v>22</v>
      </c>
      <c r="AR196" s="9">
        <v>60</v>
      </c>
      <c r="AS196" s="9">
        <v>5</v>
      </c>
      <c r="AT196" s="9">
        <v>22</v>
      </c>
      <c r="AU196" s="9">
        <v>16</v>
      </c>
      <c r="AV196" s="9">
        <v>5</v>
      </c>
      <c r="AW196" s="9">
        <v>33</v>
      </c>
      <c r="AX196" s="9">
        <v>0</v>
      </c>
      <c r="AY196" s="9">
        <v>22</v>
      </c>
      <c r="AZ196" s="9">
        <v>0</v>
      </c>
      <c r="BA196" s="10">
        <v>88.139999999999986</v>
      </c>
      <c r="BB196" s="11">
        <v>22081.72</v>
      </c>
      <c r="BC196" s="11">
        <v>18548.64</v>
      </c>
      <c r="BD196" s="11">
        <v>13249.03</v>
      </c>
      <c r="BE196" s="11">
        <v>9715.9599999999991</v>
      </c>
      <c r="BF196" s="11">
        <v>24731.52</v>
      </c>
      <c r="BG196" s="11">
        <v>29000</v>
      </c>
      <c r="BH196" s="11">
        <v>10000</v>
      </c>
      <c r="BI196" s="11">
        <v>5044</v>
      </c>
      <c r="BJ196" s="11">
        <v>10717</v>
      </c>
      <c r="BK196" s="11">
        <v>49237</v>
      </c>
      <c r="BL196" s="11">
        <v>30576</v>
      </c>
      <c r="BM196" s="11">
        <v>23946</v>
      </c>
      <c r="BN196" s="11">
        <v>13866</v>
      </c>
      <c r="BO196" s="9">
        <v>133000</v>
      </c>
      <c r="BP196" s="9">
        <v>1110</v>
      </c>
    </row>
    <row r="197" spans="1:68" x14ac:dyDescent="0.3">
      <c r="A197" s="7">
        <v>45487</v>
      </c>
      <c r="B197" s="7" t="str">
        <f t="shared" si="3"/>
        <v>JULY</v>
      </c>
      <c r="C197" s="8">
        <f>MONTH(Data!$A197)</f>
        <v>7</v>
      </c>
      <c r="D197" s="9">
        <v>905</v>
      </c>
      <c r="E197" s="9">
        <v>560</v>
      </c>
      <c r="F197" s="9">
        <v>217</v>
      </c>
      <c r="G197" s="9">
        <v>480</v>
      </c>
      <c r="H197" s="9">
        <v>208</v>
      </c>
      <c r="I197" s="9">
        <v>296</v>
      </c>
      <c r="J197" s="9">
        <v>214</v>
      </c>
      <c r="K197" s="9">
        <v>50</v>
      </c>
      <c r="L197" s="9">
        <v>201</v>
      </c>
      <c r="M197" s="9">
        <v>39</v>
      </c>
      <c r="N197" s="9">
        <v>61</v>
      </c>
      <c r="O197" s="9">
        <v>78</v>
      </c>
      <c r="P197" s="9">
        <v>44</v>
      </c>
      <c r="Q197" s="9">
        <v>151</v>
      </c>
      <c r="R197" s="9">
        <v>89</v>
      </c>
      <c r="S197" s="9">
        <v>27</v>
      </c>
      <c r="T197" s="9">
        <v>34</v>
      </c>
      <c r="U197" s="9">
        <v>181</v>
      </c>
      <c r="V197" s="9">
        <v>39</v>
      </c>
      <c r="W197" s="9">
        <v>11</v>
      </c>
      <c r="X197" s="9">
        <v>16</v>
      </c>
      <c r="Y197" s="9">
        <v>11</v>
      </c>
      <c r="Z197" s="9">
        <v>61</v>
      </c>
      <c r="AA197" s="9">
        <v>44</v>
      </c>
      <c r="AB197" s="9">
        <v>0</v>
      </c>
      <c r="AC197" s="9">
        <v>0</v>
      </c>
      <c r="AD197" s="9">
        <v>28</v>
      </c>
      <c r="AE197" s="9">
        <v>5</v>
      </c>
      <c r="AF197" s="9">
        <v>5</v>
      </c>
      <c r="AG197" s="9">
        <v>28</v>
      </c>
      <c r="AH197" s="9">
        <v>11</v>
      </c>
      <c r="AI197" s="9">
        <v>16</v>
      </c>
      <c r="AJ197" s="9">
        <v>0</v>
      </c>
      <c r="AK197" s="9">
        <v>28</v>
      </c>
      <c r="AL197" s="9">
        <v>33</v>
      </c>
      <c r="AM197" s="9">
        <v>28</v>
      </c>
      <c r="AN197" s="9">
        <v>11</v>
      </c>
      <c r="AO197" s="9">
        <v>0</v>
      </c>
      <c r="AP197" s="9">
        <v>5</v>
      </c>
      <c r="AQ197" s="9">
        <v>16</v>
      </c>
      <c r="AR197" s="9">
        <v>39</v>
      </c>
      <c r="AS197" s="9">
        <v>11</v>
      </c>
      <c r="AT197" s="9">
        <v>44</v>
      </c>
      <c r="AU197" s="9">
        <v>11</v>
      </c>
      <c r="AV197" s="9">
        <v>0</v>
      </c>
      <c r="AW197" s="9">
        <v>11</v>
      </c>
      <c r="AX197" s="9">
        <v>0</v>
      </c>
      <c r="AY197" s="9">
        <v>16</v>
      </c>
      <c r="AZ197" s="9">
        <v>32</v>
      </c>
      <c r="BA197" s="10">
        <v>87.360000000000014</v>
      </c>
      <c r="BB197" s="11">
        <v>29089.62</v>
      </c>
      <c r="BC197" s="11">
        <v>20274.59</v>
      </c>
      <c r="BD197" s="11">
        <v>11459.55</v>
      </c>
      <c r="BE197" s="11">
        <v>7052.03</v>
      </c>
      <c r="BF197" s="11">
        <v>20274.59</v>
      </c>
      <c r="BG197" s="11">
        <v>29000</v>
      </c>
      <c r="BH197" s="11">
        <v>10000</v>
      </c>
      <c r="BI197" s="11">
        <v>5044</v>
      </c>
      <c r="BJ197" s="11">
        <v>10717</v>
      </c>
      <c r="BK197" s="11">
        <v>49237</v>
      </c>
      <c r="BL197" s="11">
        <v>30576</v>
      </c>
      <c r="BM197" s="11">
        <v>23946</v>
      </c>
      <c r="BN197" s="11">
        <v>13866</v>
      </c>
      <c r="BO197" s="9">
        <v>133000</v>
      </c>
      <c r="BP197" s="9">
        <v>4190</v>
      </c>
    </row>
    <row r="198" spans="1:68" x14ac:dyDescent="0.3">
      <c r="A198" s="7">
        <v>45488</v>
      </c>
      <c r="B198" s="7" t="str">
        <f t="shared" si="3"/>
        <v>JULY</v>
      </c>
      <c r="C198" s="8">
        <f>MONTH(Data!$A198)</f>
        <v>7</v>
      </c>
      <c r="D198" s="9">
        <v>910</v>
      </c>
      <c r="E198" s="9">
        <v>575</v>
      </c>
      <c r="F198" s="9">
        <v>354</v>
      </c>
      <c r="G198" s="9">
        <v>365</v>
      </c>
      <c r="H198" s="9">
        <v>191</v>
      </c>
      <c r="I198" s="9">
        <v>264</v>
      </c>
      <c r="J198" s="9">
        <v>283</v>
      </c>
      <c r="K198" s="9">
        <v>28</v>
      </c>
      <c r="L198" s="9">
        <v>191</v>
      </c>
      <c r="M198" s="9">
        <v>39</v>
      </c>
      <c r="N198" s="9">
        <v>56</v>
      </c>
      <c r="O198" s="9">
        <v>28</v>
      </c>
      <c r="P198" s="9">
        <v>16</v>
      </c>
      <c r="Q198" s="9">
        <v>169</v>
      </c>
      <c r="R198" s="9">
        <v>93</v>
      </c>
      <c r="S198" s="9">
        <v>41</v>
      </c>
      <c r="T198" s="9">
        <v>20</v>
      </c>
      <c r="U198" s="9">
        <v>257</v>
      </c>
      <c r="V198" s="9">
        <v>28</v>
      </c>
      <c r="W198" s="9">
        <v>17</v>
      </c>
      <c r="X198" s="9">
        <v>40</v>
      </c>
      <c r="Y198" s="9">
        <v>0</v>
      </c>
      <c r="Z198" s="9">
        <v>34</v>
      </c>
      <c r="AA198" s="9">
        <v>51</v>
      </c>
      <c r="AB198" s="9">
        <v>11</v>
      </c>
      <c r="AC198" s="9">
        <v>5</v>
      </c>
      <c r="AD198" s="9">
        <v>34</v>
      </c>
      <c r="AE198" s="9">
        <v>0</v>
      </c>
      <c r="AF198" s="9">
        <v>5</v>
      </c>
      <c r="AG198" s="9">
        <v>11</v>
      </c>
      <c r="AH198" s="9">
        <v>11</v>
      </c>
      <c r="AI198" s="9">
        <v>11</v>
      </c>
      <c r="AJ198" s="9">
        <v>5</v>
      </c>
      <c r="AK198" s="9">
        <v>46</v>
      </c>
      <c r="AL198" s="9">
        <v>23</v>
      </c>
      <c r="AM198" s="9">
        <v>5</v>
      </c>
      <c r="AN198" s="9">
        <v>17</v>
      </c>
      <c r="AO198" s="9">
        <v>0</v>
      </c>
      <c r="AP198" s="9">
        <v>23</v>
      </c>
      <c r="AQ198" s="9">
        <v>17</v>
      </c>
      <c r="AR198" s="9">
        <v>46</v>
      </c>
      <c r="AS198" s="9">
        <v>11</v>
      </c>
      <c r="AT198" s="9">
        <v>23</v>
      </c>
      <c r="AU198" s="9">
        <v>23</v>
      </c>
      <c r="AV198" s="9">
        <v>5</v>
      </c>
      <c r="AW198" s="9">
        <v>23</v>
      </c>
      <c r="AX198" s="9">
        <v>17</v>
      </c>
      <c r="AY198" s="9">
        <v>23</v>
      </c>
      <c r="AZ198" s="9">
        <v>10</v>
      </c>
      <c r="BA198" s="10">
        <v>85.98</v>
      </c>
      <c r="BB198" s="11">
        <v>28827.1</v>
      </c>
      <c r="BC198" s="11">
        <v>20091.62</v>
      </c>
      <c r="BD198" s="11">
        <v>9609.0300000000007</v>
      </c>
      <c r="BE198" s="11">
        <v>12229.68</v>
      </c>
      <c r="BF198" s="11">
        <v>16597.419999999998</v>
      </c>
      <c r="BG198" s="11">
        <v>25500</v>
      </c>
      <c r="BH198" s="11">
        <v>10000</v>
      </c>
      <c r="BI198" s="11">
        <v>8956</v>
      </c>
      <c r="BJ198" s="11">
        <v>10717</v>
      </c>
      <c r="BK198" s="11">
        <v>49237</v>
      </c>
      <c r="BL198" s="11">
        <v>30576</v>
      </c>
      <c r="BM198" s="11">
        <v>23946</v>
      </c>
      <c r="BN198" s="11">
        <v>13866</v>
      </c>
      <c r="BO198" s="9">
        <v>133000</v>
      </c>
      <c r="BP198" s="9">
        <v>3635</v>
      </c>
    </row>
    <row r="199" spans="1:68" x14ac:dyDescent="0.3">
      <c r="A199" s="7">
        <v>45489</v>
      </c>
      <c r="B199" s="7" t="str">
        <f t="shared" si="3"/>
        <v>JULY</v>
      </c>
      <c r="C199" s="8">
        <f>MONTH(Data!$A199)</f>
        <v>7</v>
      </c>
      <c r="D199" s="9">
        <v>917</v>
      </c>
      <c r="E199" s="9">
        <v>593</v>
      </c>
      <c r="F199" s="9">
        <v>265</v>
      </c>
      <c r="G199" s="9">
        <v>460</v>
      </c>
      <c r="H199" s="9">
        <v>192</v>
      </c>
      <c r="I199" s="9">
        <v>308</v>
      </c>
      <c r="J199" s="9">
        <v>244</v>
      </c>
      <c r="K199" s="9">
        <v>41</v>
      </c>
      <c r="L199" s="9">
        <v>233</v>
      </c>
      <c r="M199" s="9">
        <v>28</v>
      </c>
      <c r="N199" s="9">
        <v>56</v>
      </c>
      <c r="O199" s="9">
        <v>85</v>
      </c>
      <c r="P199" s="9">
        <v>45</v>
      </c>
      <c r="Q199" s="9">
        <v>177</v>
      </c>
      <c r="R199" s="9">
        <v>83</v>
      </c>
      <c r="S199" s="9">
        <v>38</v>
      </c>
      <c r="T199" s="9">
        <v>34</v>
      </c>
      <c r="U199" s="9">
        <v>138</v>
      </c>
      <c r="V199" s="9">
        <v>29</v>
      </c>
      <c r="W199" s="9">
        <v>5</v>
      </c>
      <c r="X199" s="9">
        <v>35</v>
      </c>
      <c r="Y199" s="9">
        <v>0</v>
      </c>
      <c r="Z199" s="9">
        <v>7</v>
      </c>
      <c r="AA199" s="9">
        <v>41</v>
      </c>
      <c r="AB199" s="9">
        <v>17</v>
      </c>
      <c r="AC199" s="9">
        <v>11</v>
      </c>
      <c r="AD199" s="9">
        <v>35</v>
      </c>
      <c r="AE199" s="9">
        <v>5</v>
      </c>
      <c r="AF199" s="9">
        <v>0</v>
      </c>
      <c r="AG199" s="9">
        <v>29</v>
      </c>
      <c r="AH199" s="9">
        <v>5</v>
      </c>
      <c r="AI199" s="9">
        <v>17</v>
      </c>
      <c r="AJ199" s="9">
        <v>11</v>
      </c>
      <c r="AK199" s="9">
        <v>53</v>
      </c>
      <c r="AL199" s="9">
        <v>11</v>
      </c>
      <c r="AM199" s="9">
        <v>23</v>
      </c>
      <c r="AN199" s="9">
        <v>5</v>
      </c>
      <c r="AO199" s="9">
        <v>0</v>
      </c>
      <c r="AP199" s="9">
        <v>17</v>
      </c>
      <c r="AQ199" s="9">
        <v>23</v>
      </c>
      <c r="AR199" s="9">
        <v>65</v>
      </c>
      <c r="AS199" s="9">
        <v>11</v>
      </c>
      <c r="AT199" s="9">
        <v>53</v>
      </c>
      <c r="AU199" s="9">
        <v>23</v>
      </c>
      <c r="AV199" s="9">
        <v>5</v>
      </c>
      <c r="AW199" s="9">
        <v>29</v>
      </c>
      <c r="AX199" s="9">
        <v>23</v>
      </c>
      <c r="AY199" s="9">
        <v>5</v>
      </c>
      <c r="AZ199" s="9">
        <v>0</v>
      </c>
      <c r="BA199" s="10">
        <v>84.63000000000001</v>
      </c>
      <c r="BB199" s="11">
        <v>22353.37</v>
      </c>
      <c r="BC199" s="11">
        <v>12036.43</v>
      </c>
      <c r="BD199" s="11">
        <v>16335.16</v>
      </c>
      <c r="BE199" s="11">
        <v>19774.14</v>
      </c>
      <c r="BF199" s="11">
        <v>15475.41</v>
      </c>
      <c r="BG199" s="11">
        <v>25500</v>
      </c>
      <c r="BH199" s="11">
        <v>10000</v>
      </c>
      <c r="BI199" s="11">
        <v>8956</v>
      </c>
      <c r="BJ199" s="11">
        <v>10717</v>
      </c>
      <c r="BK199" s="11">
        <v>49237</v>
      </c>
      <c r="BL199" s="11">
        <v>30576</v>
      </c>
      <c r="BM199" s="11">
        <v>23946</v>
      </c>
      <c r="BN199" s="11">
        <v>13866</v>
      </c>
      <c r="BO199" s="9">
        <v>133000</v>
      </c>
      <c r="BP199" s="9">
        <v>1279</v>
      </c>
    </row>
    <row r="200" spans="1:68" x14ac:dyDescent="0.3">
      <c r="A200" s="7">
        <v>45490</v>
      </c>
      <c r="B200" s="7" t="str">
        <f t="shared" si="3"/>
        <v>JULY</v>
      </c>
      <c r="C200" s="8">
        <f>MONTH(Data!$A200)</f>
        <v>7</v>
      </c>
      <c r="D200" s="9">
        <v>937</v>
      </c>
      <c r="E200" s="9">
        <v>624</v>
      </c>
      <c r="F200" s="9">
        <v>440</v>
      </c>
      <c r="G200" s="9">
        <v>338</v>
      </c>
      <c r="H200" s="9">
        <v>159</v>
      </c>
      <c r="I200" s="9">
        <v>230</v>
      </c>
      <c r="J200" s="9">
        <v>332</v>
      </c>
      <c r="K200" s="9">
        <v>62</v>
      </c>
      <c r="L200" s="9">
        <v>197</v>
      </c>
      <c r="M200" s="9">
        <v>168</v>
      </c>
      <c r="N200" s="9">
        <v>40</v>
      </c>
      <c r="O200" s="9">
        <v>40</v>
      </c>
      <c r="P200" s="9">
        <v>46</v>
      </c>
      <c r="Q200" s="9">
        <v>135</v>
      </c>
      <c r="R200" s="9">
        <v>106</v>
      </c>
      <c r="S200" s="9">
        <v>24</v>
      </c>
      <c r="T200" s="9">
        <v>28</v>
      </c>
      <c r="U200" s="9">
        <v>153</v>
      </c>
      <c r="V200" s="9">
        <v>62</v>
      </c>
      <c r="W200" s="9">
        <v>0</v>
      </c>
      <c r="X200" s="9">
        <v>37</v>
      </c>
      <c r="Y200" s="9">
        <v>12</v>
      </c>
      <c r="Z200" s="9">
        <v>62</v>
      </c>
      <c r="AA200" s="9">
        <v>43</v>
      </c>
      <c r="AB200" s="9">
        <v>0</v>
      </c>
      <c r="AC200" s="9">
        <v>18</v>
      </c>
      <c r="AD200" s="9">
        <v>37</v>
      </c>
      <c r="AE200" s="9">
        <v>18</v>
      </c>
      <c r="AF200" s="9">
        <v>0</v>
      </c>
      <c r="AG200" s="9">
        <v>6</v>
      </c>
      <c r="AH200" s="9">
        <v>18</v>
      </c>
      <c r="AI200" s="9">
        <v>6</v>
      </c>
      <c r="AJ200" s="9">
        <v>6</v>
      </c>
      <c r="AK200" s="9">
        <v>37</v>
      </c>
      <c r="AL200" s="9">
        <v>24</v>
      </c>
      <c r="AM200" s="9">
        <v>31</v>
      </c>
      <c r="AN200" s="9">
        <v>0</v>
      </c>
      <c r="AO200" s="9">
        <v>0</v>
      </c>
      <c r="AP200" s="9">
        <v>0</v>
      </c>
      <c r="AQ200" s="9">
        <v>12</v>
      </c>
      <c r="AR200" s="9">
        <v>49</v>
      </c>
      <c r="AS200" s="9">
        <v>6</v>
      </c>
      <c r="AT200" s="9">
        <v>37</v>
      </c>
      <c r="AU200" s="9">
        <v>12</v>
      </c>
      <c r="AV200" s="9">
        <v>6</v>
      </c>
      <c r="AW200" s="9">
        <v>12</v>
      </c>
      <c r="AX200" s="9">
        <v>12</v>
      </c>
      <c r="AY200" s="9">
        <v>12</v>
      </c>
      <c r="AZ200" s="9">
        <v>49</v>
      </c>
      <c r="BA200" s="10">
        <v>83.570000000000007</v>
      </c>
      <c r="BB200" s="11">
        <v>29617.31</v>
      </c>
      <c r="BC200" s="11">
        <v>11000.72</v>
      </c>
      <c r="BD200" s="11">
        <v>18616.599999999999</v>
      </c>
      <c r="BE200" s="11">
        <v>18616.599999999999</v>
      </c>
      <c r="BF200" s="11">
        <v>6769.67</v>
      </c>
      <c r="BG200" s="11">
        <v>25500</v>
      </c>
      <c r="BH200" s="11">
        <v>10000</v>
      </c>
      <c r="BI200" s="11">
        <v>8956</v>
      </c>
      <c r="BJ200" s="11">
        <v>10717</v>
      </c>
      <c r="BK200" s="11">
        <v>49237</v>
      </c>
      <c r="BL200" s="11">
        <v>30576</v>
      </c>
      <c r="BM200" s="11">
        <v>23946</v>
      </c>
      <c r="BN200" s="11">
        <v>13866</v>
      </c>
      <c r="BO200" s="9">
        <v>133000</v>
      </c>
      <c r="BP200" s="9">
        <v>4237</v>
      </c>
    </row>
    <row r="201" spans="1:68" x14ac:dyDescent="0.3">
      <c r="A201" s="7">
        <v>45491</v>
      </c>
      <c r="B201" s="7" t="str">
        <f t="shared" si="3"/>
        <v>JULY</v>
      </c>
      <c r="C201" s="8">
        <f>MONTH(Data!$A201)</f>
        <v>7</v>
      </c>
      <c r="D201" s="9">
        <v>960</v>
      </c>
      <c r="E201" s="9">
        <v>658</v>
      </c>
      <c r="F201" s="9">
        <v>288</v>
      </c>
      <c r="G201" s="9">
        <v>500</v>
      </c>
      <c r="H201" s="9">
        <v>172</v>
      </c>
      <c r="I201" s="9">
        <v>322</v>
      </c>
      <c r="J201" s="9">
        <v>179</v>
      </c>
      <c r="K201" s="9">
        <v>157</v>
      </c>
      <c r="L201" s="9">
        <v>291</v>
      </c>
      <c r="M201" s="9">
        <v>160</v>
      </c>
      <c r="N201" s="9">
        <v>65</v>
      </c>
      <c r="O201" s="9">
        <v>41</v>
      </c>
      <c r="P201" s="9">
        <v>17</v>
      </c>
      <c r="Q201" s="9">
        <v>189</v>
      </c>
      <c r="R201" s="9">
        <v>91</v>
      </c>
      <c r="S201" s="9">
        <v>25</v>
      </c>
      <c r="T201" s="9">
        <v>21</v>
      </c>
      <c r="U201" s="9">
        <v>60</v>
      </c>
      <c r="V201" s="9">
        <v>78</v>
      </c>
      <c r="W201" s="9">
        <v>13</v>
      </c>
      <c r="X201" s="9">
        <v>32</v>
      </c>
      <c r="Y201" s="9">
        <v>0</v>
      </c>
      <c r="Z201" s="9">
        <v>34</v>
      </c>
      <c r="AA201" s="9">
        <v>39</v>
      </c>
      <c r="AB201" s="9">
        <v>6</v>
      </c>
      <c r="AC201" s="9">
        <v>13</v>
      </c>
      <c r="AD201" s="9">
        <v>19</v>
      </c>
      <c r="AE201" s="9">
        <v>6</v>
      </c>
      <c r="AF201" s="9">
        <v>6</v>
      </c>
      <c r="AG201" s="9">
        <v>32</v>
      </c>
      <c r="AH201" s="9">
        <v>13</v>
      </c>
      <c r="AI201" s="9">
        <v>0</v>
      </c>
      <c r="AJ201" s="9">
        <v>19</v>
      </c>
      <c r="AK201" s="9">
        <v>32</v>
      </c>
      <c r="AL201" s="9">
        <v>26</v>
      </c>
      <c r="AM201" s="9">
        <v>13</v>
      </c>
      <c r="AN201" s="9">
        <v>19</v>
      </c>
      <c r="AO201" s="9">
        <v>6</v>
      </c>
      <c r="AP201" s="9">
        <v>19</v>
      </c>
      <c r="AQ201" s="9">
        <v>19</v>
      </c>
      <c r="AR201" s="9">
        <v>59</v>
      </c>
      <c r="AS201" s="9">
        <v>19</v>
      </c>
      <c r="AT201" s="9">
        <v>59</v>
      </c>
      <c r="AU201" s="9">
        <v>26</v>
      </c>
      <c r="AV201" s="9">
        <v>0</v>
      </c>
      <c r="AW201" s="9">
        <v>19</v>
      </c>
      <c r="AX201" s="9">
        <v>13</v>
      </c>
      <c r="AY201" s="9">
        <v>19</v>
      </c>
      <c r="AZ201" s="9">
        <v>0</v>
      </c>
      <c r="BA201" s="10">
        <v>83.149999999999991</v>
      </c>
      <c r="BB201" s="11">
        <v>29249.279999999999</v>
      </c>
      <c r="BC201" s="11">
        <v>16713.87</v>
      </c>
      <c r="BD201" s="11">
        <v>8356.94</v>
      </c>
      <c r="BE201" s="11">
        <v>20892.34</v>
      </c>
      <c r="BF201" s="11">
        <v>8356.94</v>
      </c>
      <c r="BG201" s="11">
        <v>25500</v>
      </c>
      <c r="BH201" s="11">
        <v>12500</v>
      </c>
      <c r="BI201" s="11">
        <v>8956</v>
      </c>
      <c r="BJ201" s="11">
        <v>19494</v>
      </c>
      <c r="BK201" s="11">
        <v>49237</v>
      </c>
      <c r="BL201" s="11">
        <v>30576</v>
      </c>
      <c r="BM201" s="11">
        <v>23946</v>
      </c>
      <c r="BN201" s="11">
        <v>13866</v>
      </c>
      <c r="BO201" s="9">
        <v>133000</v>
      </c>
      <c r="BP201" s="9">
        <v>7628</v>
      </c>
    </row>
    <row r="202" spans="1:68" x14ac:dyDescent="0.3">
      <c r="A202" s="7">
        <v>45492</v>
      </c>
      <c r="B202" s="7" t="str">
        <f t="shared" si="3"/>
        <v>JULY</v>
      </c>
      <c r="C202" s="8">
        <f>MONTH(Data!$A202)</f>
        <v>7</v>
      </c>
      <c r="D202" s="9">
        <v>985</v>
      </c>
      <c r="E202" s="9">
        <v>692</v>
      </c>
      <c r="F202" s="9">
        <v>512</v>
      </c>
      <c r="G202" s="9">
        <v>276</v>
      </c>
      <c r="H202" s="9">
        <v>197</v>
      </c>
      <c r="I202" s="9">
        <v>221</v>
      </c>
      <c r="J202" s="9">
        <v>437</v>
      </c>
      <c r="K202" s="9">
        <v>34</v>
      </c>
      <c r="L202" s="9">
        <v>238</v>
      </c>
      <c r="M202" s="9">
        <v>128</v>
      </c>
      <c r="N202" s="9">
        <v>42</v>
      </c>
      <c r="O202" s="9">
        <v>48</v>
      </c>
      <c r="P202" s="9">
        <v>61</v>
      </c>
      <c r="Q202" s="9">
        <v>142</v>
      </c>
      <c r="R202" s="9">
        <v>86</v>
      </c>
      <c r="S202" s="9">
        <v>33</v>
      </c>
      <c r="T202" s="9">
        <v>48</v>
      </c>
      <c r="U202" s="9">
        <v>159</v>
      </c>
      <c r="V202" s="9">
        <v>76</v>
      </c>
      <c r="W202" s="9">
        <v>20</v>
      </c>
      <c r="X202" s="9">
        <v>48</v>
      </c>
      <c r="Y202" s="9">
        <v>0</v>
      </c>
      <c r="Z202" s="9">
        <v>69</v>
      </c>
      <c r="AA202" s="9">
        <v>48</v>
      </c>
      <c r="AB202" s="9">
        <v>13</v>
      </c>
      <c r="AC202" s="9">
        <v>20</v>
      </c>
      <c r="AD202" s="9">
        <v>34</v>
      </c>
      <c r="AE202" s="9">
        <v>0</v>
      </c>
      <c r="AF202" s="9">
        <v>0</v>
      </c>
      <c r="AG202" s="9">
        <v>13</v>
      </c>
      <c r="AH202" s="9">
        <v>0</v>
      </c>
      <c r="AI202" s="9">
        <v>20</v>
      </c>
      <c r="AJ202" s="9">
        <v>20</v>
      </c>
      <c r="AK202" s="9">
        <v>55</v>
      </c>
      <c r="AL202" s="9">
        <v>41</v>
      </c>
      <c r="AM202" s="9">
        <v>27</v>
      </c>
      <c r="AN202" s="9">
        <v>13</v>
      </c>
      <c r="AO202" s="9">
        <v>0</v>
      </c>
      <c r="AP202" s="9">
        <v>27</v>
      </c>
      <c r="AQ202" s="9">
        <v>13</v>
      </c>
      <c r="AR202" s="9">
        <v>0</v>
      </c>
      <c r="AS202" s="9">
        <v>20</v>
      </c>
      <c r="AT202" s="9">
        <v>23</v>
      </c>
      <c r="AU202" s="9">
        <v>20</v>
      </c>
      <c r="AV202" s="9">
        <v>0</v>
      </c>
      <c r="AW202" s="9">
        <v>48</v>
      </c>
      <c r="AX202" s="9">
        <v>13</v>
      </c>
      <c r="AY202" s="9">
        <v>6</v>
      </c>
      <c r="AZ202" s="9">
        <v>5</v>
      </c>
      <c r="BA202" s="10">
        <v>83</v>
      </c>
      <c r="BB202" s="11">
        <v>23283.01</v>
      </c>
      <c r="BC202" s="11">
        <v>18293.8</v>
      </c>
      <c r="BD202" s="11">
        <v>13304.58</v>
      </c>
      <c r="BE202" s="11">
        <v>14136.12</v>
      </c>
      <c r="BF202" s="11">
        <v>14136.12</v>
      </c>
      <c r="BG202" s="11">
        <v>25500</v>
      </c>
      <c r="BH202" s="11">
        <v>12500</v>
      </c>
      <c r="BI202" s="11">
        <v>8956</v>
      </c>
      <c r="BJ202" s="11">
        <v>19494</v>
      </c>
      <c r="BK202" s="11">
        <v>49237</v>
      </c>
      <c r="BL202" s="11">
        <v>30576</v>
      </c>
      <c r="BM202" s="11">
        <v>23946</v>
      </c>
      <c r="BN202" s="11">
        <v>13866</v>
      </c>
      <c r="BO202" s="9">
        <v>133000</v>
      </c>
      <c r="BP202" s="9">
        <v>4245</v>
      </c>
    </row>
    <row r="203" spans="1:68" x14ac:dyDescent="0.3">
      <c r="A203" s="7">
        <v>45493</v>
      </c>
      <c r="B203" s="7" t="str">
        <f t="shared" si="3"/>
        <v>JULY</v>
      </c>
      <c r="C203" s="8">
        <f>MONTH(Data!$A203)</f>
        <v>7</v>
      </c>
      <c r="D203" s="9">
        <v>1010</v>
      </c>
      <c r="E203" s="9">
        <v>723</v>
      </c>
      <c r="F203" s="9">
        <v>535</v>
      </c>
      <c r="G203" s="9">
        <v>385</v>
      </c>
      <c r="H203" s="9">
        <v>90</v>
      </c>
      <c r="I203" s="9">
        <v>303</v>
      </c>
      <c r="J203" s="9">
        <v>355</v>
      </c>
      <c r="K203" s="9">
        <v>65</v>
      </c>
      <c r="L203" s="9">
        <v>288</v>
      </c>
      <c r="M203" s="9">
        <v>206</v>
      </c>
      <c r="N203" s="9">
        <v>75</v>
      </c>
      <c r="O203" s="9">
        <v>43</v>
      </c>
      <c r="P203" s="9">
        <v>25</v>
      </c>
      <c r="Q203" s="9">
        <v>130</v>
      </c>
      <c r="R203" s="9">
        <v>61</v>
      </c>
      <c r="S203" s="9">
        <v>46</v>
      </c>
      <c r="T203" s="9">
        <v>19</v>
      </c>
      <c r="U203" s="9">
        <v>117</v>
      </c>
      <c r="V203" s="9">
        <v>36</v>
      </c>
      <c r="W203" s="9">
        <v>21</v>
      </c>
      <c r="X203" s="9">
        <v>43</v>
      </c>
      <c r="Y203" s="9">
        <v>21</v>
      </c>
      <c r="Z203" s="9">
        <v>43</v>
      </c>
      <c r="AA203" s="9">
        <v>50</v>
      </c>
      <c r="AB203" s="9">
        <v>0</v>
      </c>
      <c r="AC203" s="9">
        <v>7</v>
      </c>
      <c r="AD203" s="9">
        <v>21</v>
      </c>
      <c r="AE203" s="9">
        <v>21</v>
      </c>
      <c r="AF203" s="9">
        <v>7</v>
      </c>
      <c r="AG203" s="9">
        <v>36</v>
      </c>
      <c r="AH203" s="9">
        <v>21</v>
      </c>
      <c r="AI203" s="9">
        <v>21</v>
      </c>
      <c r="AJ203" s="9">
        <v>0</v>
      </c>
      <c r="AK203" s="9">
        <v>28</v>
      </c>
      <c r="AL203" s="9">
        <v>21</v>
      </c>
      <c r="AM203" s="9">
        <v>28</v>
      </c>
      <c r="AN203" s="9">
        <v>14</v>
      </c>
      <c r="AO203" s="9">
        <v>0</v>
      </c>
      <c r="AP203" s="9">
        <v>21</v>
      </c>
      <c r="AQ203" s="9">
        <v>21</v>
      </c>
      <c r="AR203" s="9">
        <v>50</v>
      </c>
      <c r="AS203" s="9">
        <v>21</v>
      </c>
      <c r="AT203" s="9">
        <v>50</v>
      </c>
      <c r="AU203" s="9">
        <v>28</v>
      </c>
      <c r="AV203" s="9">
        <v>7</v>
      </c>
      <c r="AW203" s="9">
        <v>21</v>
      </c>
      <c r="AX203" s="9">
        <v>7</v>
      </c>
      <c r="AY203" s="9">
        <v>7</v>
      </c>
      <c r="AZ203" s="9">
        <v>51</v>
      </c>
      <c r="BA203" s="10">
        <v>83.12</v>
      </c>
      <c r="BB203" s="11">
        <v>27394.77</v>
      </c>
      <c r="BC203" s="11">
        <v>18263.18</v>
      </c>
      <c r="BD203" s="11">
        <v>19923.47</v>
      </c>
      <c r="BE203" s="11">
        <v>7433.04</v>
      </c>
      <c r="BF203" s="11">
        <v>10000</v>
      </c>
      <c r="BG203" s="11">
        <v>25500</v>
      </c>
      <c r="BH203" s="11">
        <v>12500</v>
      </c>
      <c r="BI203" s="11">
        <v>8956</v>
      </c>
      <c r="BJ203" s="11">
        <v>19494</v>
      </c>
      <c r="BK203" s="11">
        <v>49237</v>
      </c>
      <c r="BL203" s="11">
        <v>30576</v>
      </c>
      <c r="BM203" s="11">
        <v>23946</v>
      </c>
      <c r="BN203" s="11">
        <v>13866</v>
      </c>
      <c r="BO203" s="9">
        <v>133000</v>
      </c>
      <c r="BP203" s="9">
        <v>1231</v>
      </c>
    </row>
    <row r="204" spans="1:68" x14ac:dyDescent="0.3">
      <c r="A204" s="7">
        <v>45494</v>
      </c>
      <c r="B204" s="7" t="str">
        <f t="shared" si="3"/>
        <v>JULY</v>
      </c>
      <c r="C204" s="8">
        <f>MONTH(Data!$A204)</f>
        <v>7</v>
      </c>
      <c r="D204" s="9">
        <v>1031</v>
      </c>
      <c r="E204" s="9">
        <v>758</v>
      </c>
      <c r="F204" s="9">
        <v>278</v>
      </c>
      <c r="G204" s="9">
        <v>506</v>
      </c>
      <c r="H204" s="9">
        <v>247</v>
      </c>
      <c r="I204" s="9">
        <v>325</v>
      </c>
      <c r="J204" s="9">
        <v>350</v>
      </c>
      <c r="K204" s="9">
        <v>83</v>
      </c>
      <c r="L204" s="9">
        <v>255</v>
      </c>
      <c r="M204" s="9">
        <v>127</v>
      </c>
      <c r="N204" s="9">
        <v>95</v>
      </c>
      <c r="O204" s="9">
        <v>83</v>
      </c>
      <c r="P204" s="9">
        <v>44</v>
      </c>
      <c r="Q204" s="9">
        <v>137</v>
      </c>
      <c r="R204" s="9">
        <v>35</v>
      </c>
      <c r="S204" s="9">
        <v>50</v>
      </c>
      <c r="T204" s="9">
        <v>35</v>
      </c>
      <c r="U204" s="9">
        <v>170</v>
      </c>
      <c r="V204" s="9">
        <v>68</v>
      </c>
      <c r="W204" s="9">
        <v>15</v>
      </c>
      <c r="X204" s="9">
        <v>30</v>
      </c>
      <c r="Y204" s="9">
        <v>0</v>
      </c>
      <c r="Z204" s="9">
        <v>53</v>
      </c>
      <c r="AA204" s="9">
        <v>45</v>
      </c>
      <c r="AB204" s="9">
        <v>15</v>
      </c>
      <c r="AC204" s="9">
        <v>22</v>
      </c>
      <c r="AD204" s="9">
        <v>45</v>
      </c>
      <c r="AE204" s="9">
        <v>7</v>
      </c>
      <c r="AF204" s="9">
        <v>7</v>
      </c>
      <c r="AG204" s="9">
        <v>30</v>
      </c>
      <c r="AH204" s="9">
        <v>7</v>
      </c>
      <c r="AI204" s="9">
        <v>15</v>
      </c>
      <c r="AJ204" s="9">
        <v>15</v>
      </c>
      <c r="AK204" s="9">
        <v>30</v>
      </c>
      <c r="AL204" s="9">
        <v>15</v>
      </c>
      <c r="AM204" s="9">
        <v>37</v>
      </c>
      <c r="AN204" s="9">
        <v>7</v>
      </c>
      <c r="AO204" s="9">
        <v>0</v>
      </c>
      <c r="AP204" s="9">
        <v>7</v>
      </c>
      <c r="AQ204" s="9">
        <v>30</v>
      </c>
      <c r="AR204" s="9">
        <v>60</v>
      </c>
      <c r="AS204" s="9">
        <v>15</v>
      </c>
      <c r="AT204" s="9">
        <v>30</v>
      </c>
      <c r="AU204" s="9">
        <v>37</v>
      </c>
      <c r="AV204" s="9">
        <v>7</v>
      </c>
      <c r="AW204" s="9">
        <v>53</v>
      </c>
      <c r="AX204" s="9">
        <v>22</v>
      </c>
      <c r="AY204" s="9">
        <v>7</v>
      </c>
      <c r="AZ204" s="9">
        <v>27</v>
      </c>
      <c r="BA204" s="10">
        <v>83.71</v>
      </c>
      <c r="BB204" s="11">
        <v>28256.5</v>
      </c>
      <c r="BC204" s="11">
        <v>13297.18</v>
      </c>
      <c r="BD204" s="11">
        <v>12466.1</v>
      </c>
      <c r="BE204" s="11">
        <v>11635.03</v>
      </c>
      <c r="BF204" s="11">
        <v>17452.55</v>
      </c>
      <c r="BG204" s="11">
        <v>25500</v>
      </c>
      <c r="BH204" s="11">
        <v>12500</v>
      </c>
      <c r="BI204" s="11">
        <v>8956</v>
      </c>
      <c r="BJ204" s="11">
        <v>19494</v>
      </c>
      <c r="BK204" s="11">
        <v>49237</v>
      </c>
      <c r="BL204" s="11">
        <v>30576</v>
      </c>
      <c r="BM204" s="11">
        <v>23946</v>
      </c>
      <c r="BN204" s="11">
        <v>13866</v>
      </c>
      <c r="BO204" s="9">
        <v>133000</v>
      </c>
      <c r="BP204" s="9">
        <v>4160</v>
      </c>
    </row>
    <row r="205" spans="1:68" x14ac:dyDescent="0.3">
      <c r="A205" s="7">
        <v>45495</v>
      </c>
      <c r="B205" s="7" t="str">
        <f t="shared" si="3"/>
        <v>JULY</v>
      </c>
      <c r="C205" s="8">
        <f>MONTH(Data!$A205)</f>
        <v>7</v>
      </c>
      <c r="D205" s="9">
        <v>1050</v>
      </c>
      <c r="E205" s="9">
        <v>782</v>
      </c>
      <c r="F205" s="9">
        <v>514</v>
      </c>
      <c r="G205" s="9">
        <v>400</v>
      </c>
      <c r="H205" s="9">
        <v>136</v>
      </c>
      <c r="I205" s="9">
        <v>172</v>
      </c>
      <c r="J205" s="9">
        <v>493</v>
      </c>
      <c r="K205" s="9">
        <v>117</v>
      </c>
      <c r="L205" s="9">
        <v>351</v>
      </c>
      <c r="M205" s="9">
        <v>195</v>
      </c>
      <c r="N205" s="9">
        <v>65</v>
      </c>
      <c r="O205" s="9">
        <v>39</v>
      </c>
      <c r="P205" s="9">
        <v>45</v>
      </c>
      <c r="Q205" s="9">
        <v>135</v>
      </c>
      <c r="R205" s="9">
        <v>51</v>
      </c>
      <c r="S205" s="9">
        <v>59</v>
      </c>
      <c r="T205" s="9">
        <v>19</v>
      </c>
      <c r="U205" s="9">
        <v>91</v>
      </c>
      <c r="V205" s="9">
        <v>54</v>
      </c>
      <c r="W205" s="9">
        <v>15</v>
      </c>
      <c r="X205" s="9">
        <v>31</v>
      </c>
      <c r="Y205" s="9">
        <v>0</v>
      </c>
      <c r="Z205" s="9">
        <v>70</v>
      </c>
      <c r="AA205" s="9">
        <v>54</v>
      </c>
      <c r="AB205" s="9">
        <v>7</v>
      </c>
      <c r="AC205" s="9">
        <v>7</v>
      </c>
      <c r="AD205" s="9">
        <v>15</v>
      </c>
      <c r="AE205" s="9">
        <v>23</v>
      </c>
      <c r="AF205" s="9">
        <v>0</v>
      </c>
      <c r="AG205" s="9">
        <v>31</v>
      </c>
      <c r="AH205" s="9">
        <v>15</v>
      </c>
      <c r="AI205" s="9">
        <v>23</v>
      </c>
      <c r="AJ205" s="9">
        <v>7</v>
      </c>
      <c r="AK205" s="9">
        <v>46</v>
      </c>
      <c r="AL205" s="9">
        <v>46</v>
      </c>
      <c r="AM205" s="9">
        <v>23</v>
      </c>
      <c r="AN205" s="9">
        <v>15</v>
      </c>
      <c r="AO205" s="9">
        <v>0</v>
      </c>
      <c r="AP205" s="9">
        <v>0</v>
      </c>
      <c r="AQ205" s="9">
        <v>15</v>
      </c>
      <c r="AR205" s="9">
        <v>70</v>
      </c>
      <c r="AS205" s="9">
        <v>15</v>
      </c>
      <c r="AT205" s="9">
        <v>39</v>
      </c>
      <c r="AU205" s="9">
        <v>39</v>
      </c>
      <c r="AV205" s="9">
        <v>0</v>
      </c>
      <c r="AW205" s="9">
        <v>39</v>
      </c>
      <c r="AX205" s="9">
        <v>23</v>
      </c>
      <c r="AY205" s="9">
        <v>23</v>
      </c>
      <c r="AZ205" s="9">
        <v>37</v>
      </c>
      <c r="BA205" s="10">
        <v>85.29</v>
      </c>
      <c r="BB205" s="11">
        <v>22601.87</v>
      </c>
      <c r="BC205" s="11">
        <v>16742.13</v>
      </c>
      <c r="BD205" s="11">
        <v>15905.02</v>
      </c>
      <c r="BE205" s="11">
        <v>20090.55</v>
      </c>
      <c r="BF205" s="11">
        <v>8371.06</v>
      </c>
      <c r="BG205" s="11">
        <v>25500</v>
      </c>
      <c r="BH205" s="11">
        <v>12500</v>
      </c>
      <c r="BI205" s="11">
        <v>8956</v>
      </c>
      <c r="BJ205" s="11">
        <v>19494</v>
      </c>
      <c r="BK205" s="11">
        <v>49237</v>
      </c>
      <c r="BL205" s="11">
        <v>30576</v>
      </c>
      <c r="BM205" s="11">
        <v>23946</v>
      </c>
      <c r="BN205" s="11">
        <v>13866</v>
      </c>
      <c r="BO205" s="9">
        <v>133000</v>
      </c>
      <c r="BP205" s="9">
        <v>2172</v>
      </c>
    </row>
    <row r="206" spans="1:68" x14ac:dyDescent="0.3">
      <c r="A206" s="7">
        <v>45496</v>
      </c>
      <c r="B206" s="7" t="str">
        <f t="shared" si="3"/>
        <v>JULY</v>
      </c>
      <c r="C206" s="8">
        <f>MONTH(Data!$A206)</f>
        <v>7</v>
      </c>
      <c r="D206" s="9">
        <v>1058</v>
      </c>
      <c r="E206" s="9">
        <v>803</v>
      </c>
      <c r="F206" s="9">
        <v>243</v>
      </c>
      <c r="G206" s="9">
        <v>657</v>
      </c>
      <c r="H206" s="9">
        <v>158</v>
      </c>
      <c r="I206" s="9">
        <v>216</v>
      </c>
      <c r="J206" s="9">
        <v>395</v>
      </c>
      <c r="K206" s="9">
        <v>192</v>
      </c>
      <c r="L206" s="9">
        <v>282</v>
      </c>
      <c r="M206" s="9">
        <v>229</v>
      </c>
      <c r="N206" s="9">
        <v>59</v>
      </c>
      <c r="O206" s="9">
        <v>45</v>
      </c>
      <c r="P206" s="9">
        <v>59</v>
      </c>
      <c r="Q206" s="9">
        <v>140</v>
      </c>
      <c r="R206" s="9">
        <v>56</v>
      </c>
      <c r="S206" s="9">
        <v>40</v>
      </c>
      <c r="T206" s="9">
        <v>20</v>
      </c>
      <c r="U206" s="9">
        <v>128</v>
      </c>
      <c r="V206" s="9">
        <v>104</v>
      </c>
      <c r="W206" s="9">
        <v>24</v>
      </c>
      <c r="X206" s="9">
        <v>32</v>
      </c>
      <c r="Y206" s="9">
        <v>0</v>
      </c>
      <c r="Z206" s="9">
        <v>75</v>
      </c>
      <c r="AA206" s="9">
        <v>40</v>
      </c>
      <c r="AB206" s="9">
        <v>8</v>
      </c>
      <c r="AC206" s="9">
        <v>24</v>
      </c>
      <c r="AD206" s="9">
        <v>24</v>
      </c>
      <c r="AE206" s="9">
        <v>24</v>
      </c>
      <c r="AF206" s="9">
        <v>0</v>
      </c>
      <c r="AG206" s="9">
        <v>40</v>
      </c>
      <c r="AH206" s="9">
        <v>24</v>
      </c>
      <c r="AI206" s="9">
        <v>0</v>
      </c>
      <c r="AJ206" s="9">
        <v>16</v>
      </c>
      <c r="AK206" s="9">
        <v>64</v>
      </c>
      <c r="AL206" s="9">
        <v>8</v>
      </c>
      <c r="AM206" s="9">
        <v>24</v>
      </c>
      <c r="AN206" s="9">
        <v>8</v>
      </c>
      <c r="AO206" s="9">
        <v>0</v>
      </c>
      <c r="AP206" s="9">
        <v>0</v>
      </c>
      <c r="AQ206" s="9">
        <v>16</v>
      </c>
      <c r="AR206" s="9">
        <v>88</v>
      </c>
      <c r="AS206" s="9">
        <v>8</v>
      </c>
      <c r="AT206" s="9">
        <v>56</v>
      </c>
      <c r="AU206" s="9">
        <v>16</v>
      </c>
      <c r="AV206" s="9">
        <v>0</v>
      </c>
      <c r="AW206" s="9">
        <v>48</v>
      </c>
      <c r="AX206" s="9">
        <v>0</v>
      </c>
      <c r="AY206" s="9">
        <v>32</v>
      </c>
      <c r="AZ206" s="9">
        <v>0</v>
      </c>
      <c r="BA206" s="10">
        <v>85.96</v>
      </c>
      <c r="BB206" s="11">
        <v>29847.7</v>
      </c>
      <c r="BC206" s="11">
        <v>15350.25</v>
      </c>
      <c r="BD206" s="11">
        <v>20467</v>
      </c>
      <c r="BE206" s="11">
        <v>17908.62</v>
      </c>
      <c r="BF206" s="11">
        <v>1705.58</v>
      </c>
      <c r="BG206" s="11">
        <v>25500</v>
      </c>
      <c r="BH206" s="11">
        <v>12500</v>
      </c>
      <c r="BI206" s="11">
        <v>8956</v>
      </c>
      <c r="BJ206" s="11">
        <v>19494</v>
      </c>
      <c r="BK206" s="11">
        <v>49237</v>
      </c>
      <c r="BL206" s="11">
        <v>30576</v>
      </c>
      <c r="BM206" s="11">
        <v>23946</v>
      </c>
      <c r="BN206" s="11">
        <v>13866</v>
      </c>
      <c r="BO206" s="9">
        <v>133000</v>
      </c>
      <c r="BP206" s="9">
        <v>7165</v>
      </c>
    </row>
    <row r="207" spans="1:68" x14ac:dyDescent="0.3">
      <c r="A207" s="7">
        <v>45497</v>
      </c>
      <c r="B207" s="7" t="str">
        <f t="shared" si="3"/>
        <v>JULY</v>
      </c>
      <c r="C207" s="8">
        <f>MONTH(Data!$A207)</f>
        <v>7</v>
      </c>
      <c r="D207" s="9">
        <v>1064</v>
      </c>
      <c r="E207" s="9">
        <v>814</v>
      </c>
      <c r="F207" s="9">
        <v>329</v>
      </c>
      <c r="G207" s="9">
        <v>523</v>
      </c>
      <c r="H207" s="9">
        <v>212</v>
      </c>
      <c r="I207" s="9">
        <v>211</v>
      </c>
      <c r="J207" s="9">
        <v>522</v>
      </c>
      <c r="K207" s="9">
        <v>81</v>
      </c>
      <c r="L207" s="9">
        <v>336</v>
      </c>
      <c r="M207" s="9">
        <v>65</v>
      </c>
      <c r="N207" s="9">
        <v>98</v>
      </c>
      <c r="O207" s="9">
        <v>72</v>
      </c>
      <c r="P207" s="9">
        <v>13</v>
      </c>
      <c r="Q207" s="9">
        <v>181</v>
      </c>
      <c r="R207" s="9">
        <v>36</v>
      </c>
      <c r="S207" s="9">
        <v>56</v>
      </c>
      <c r="T207" s="9">
        <v>28</v>
      </c>
      <c r="U207" s="9">
        <v>179</v>
      </c>
      <c r="V207" s="9">
        <v>56</v>
      </c>
      <c r="W207" s="9">
        <v>24</v>
      </c>
      <c r="X207" s="9">
        <v>48</v>
      </c>
      <c r="Y207" s="9">
        <v>0</v>
      </c>
      <c r="Z207" s="9">
        <v>56</v>
      </c>
      <c r="AA207" s="9">
        <v>56</v>
      </c>
      <c r="AB207" s="9">
        <v>0</v>
      </c>
      <c r="AC207" s="9">
        <v>24</v>
      </c>
      <c r="AD207" s="9">
        <v>24</v>
      </c>
      <c r="AE207" s="9">
        <v>24</v>
      </c>
      <c r="AF207" s="9">
        <v>0</v>
      </c>
      <c r="AG207" s="9">
        <v>32</v>
      </c>
      <c r="AH207" s="9">
        <v>0</v>
      </c>
      <c r="AI207" s="9">
        <v>24</v>
      </c>
      <c r="AJ207" s="9">
        <v>0</v>
      </c>
      <c r="AK207" s="9">
        <v>32</v>
      </c>
      <c r="AL207" s="9">
        <v>24</v>
      </c>
      <c r="AM207" s="9">
        <v>32</v>
      </c>
      <c r="AN207" s="9">
        <v>16</v>
      </c>
      <c r="AO207" s="9">
        <v>8</v>
      </c>
      <c r="AP207" s="9">
        <v>16</v>
      </c>
      <c r="AQ207" s="9">
        <v>24</v>
      </c>
      <c r="AR207" s="9">
        <v>73</v>
      </c>
      <c r="AS207" s="9">
        <v>16</v>
      </c>
      <c r="AT207" s="9">
        <v>65</v>
      </c>
      <c r="AU207" s="9">
        <v>24</v>
      </c>
      <c r="AV207" s="9">
        <v>8</v>
      </c>
      <c r="AW207" s="9">
        <v>56</v>
      </c>
      <c r="AX207" s="9">
        <v>0</v>
      </c>
      <c r="AY207" s="9">
        <v>0</v>
      </c>
      <c r="AZ207" s="9">
        <v>52</v>
      </c>
      <c r="BA207" s="10">
        <v>86.15</v>
      </c>
      <c r="BB207" s="11">
        <v>28367.1</v>
      </c>
      <c r="BC207" s="11">
        <v>16332.57</v>
      </c>
      <c r="BD207" s="11">
        <v>18911.400000000001</v>
      </c>
      <c r="BE207" s="11">
        <v>16332.57</v>
      </c>
      <c r="BF207" s="11">
        <v>6017.26</v>
      </c>
      <c r="BG207" s="11">
        <v>25500</v>
      </c>
      <c r="BH207" s="11">
        <v>12500</v>
      </c>
      <c r="BI207" s="11">
        <v>8956</v>
      </c>
      <c r="BJ207" s="11">
        <v>19494</v>
      </c>
      <c r="BK207" s="11">
        <v>49237</v>
      </c>
      <c r="BL207" s="11">
        <v>30576</v>
      </c>
      <c r="BM207" s="11">
        <v>23946</v>
      </c>
      <c r="BN207" s="11">
        <v>13866</v>
      </c>
      <c r="BO207" s="9">
        <v>133000</v>
      </c>
      <c r="BP207" s="9">
        <v>7677</v>
      </c>
    </row>
    <row r="208" spans="1:68" x14ac:dyDescent="0.3">
      <c r="A208" s="7">
        <v>45498</v>
      </c>
      <c r="B208" s="7" t="str">
        <f t="shared" si="3"/>
        <v>JULY</v>
      </c>
      <c r="C208" s="8">
        <f>MONTH(Data!$A208)</f>
        <v>7</v>
      </c>
      <c r="D208" s="9">
        <v>1063</v>
      </c>
      <c r="E208" s="9">
        <v>822</v>
      </c>
      <c r="F208" s="9">
        <v>233</v>
      </c>
      <c r="G208" s="9">
        <v>724</v>
      </c>
      <c r="H208" s="9">
        <v>106</v>
      </c>
      <c r="I208" s="9">
        <v>221</v>
      </c>
      <c r="J208" s="9">
        <v>478</v>
      </c>
      <c r="K208" s="9">
        <v>123</v>
      </c>
      <c r="L208" s="9">
        <v>336</v>
      </c>
      <c r="M208" s="9">
        <v>204</v>
      </c>
      <c r="N208" s="9">
        <v>72</v>
      </c>
      <c r="O208" s="9">
        <v>46</v>
      </c>
      <c r="P208" s="9">
        <v>32</v>
      </c>
      <c r="Q208" s="9">
        <v>145</v>
      </c>
      <c r="R208" s="9">
        <v>44</v>
      </c>
      <c r="S208" s="9">
        <v>60</v>
      </c>
      <c r="T208" s="9">
        <v>60</v>
      </c>
      <c r="U208" s="9">
        <v>64</v>
      </c>
      <c r="V208" s="9">
        <v>106</v>
      </c>
      <c r="W208" s="9">
        <v>16</v>
      </c>
      <c r="X208" s="9">
        <v>49</v>
      </c>
      <c r="Y208" s="9">
        <v>16</v>
      </c>
      <c r="Z208" s="9">
        <v>37</v>
      </c>
      <c r="AA208" s="9">
        <v>57</v>
      </c>
      <c r="AB208" s="9">
        <v>0</v>
      </c>
      <c r="AC208" s="9">
        <v>8</v>
      </c>
      <c r="AD208" s="9">
        <v>49</v>
      </c>
      <c r="AE208" s="9">
        <v>8</v>
      </c>
      <c r="AF208" s="9">
        <v>0</v>
      </c>
      <c r="AG208" s="9">
        <v>16</v>
      </c>
      <c r="AH208" s="9">
        <v>24</v>
      </c>
      <c r="AI208" s="9">
        <v>16</v>
      </c>
      <c r="AJ208" s="9">
        <v>16</v>
      </c>
      <c r="AK208" s="9">
        <v>32</v>
      </c>
      <c r="AL208" s="9">
        <v>49</v>
      </c>
      <c r="AM208" s="9">
        <v>8</v>
      </c>
      <c r="AN208" s="9">
        <v>8</v>
      </c>
      <c r="AO208" s="9">
        <v>8</v>
      </c>
      <c r="AP208" s="9">
        <v>32</v>
      </c>
      <c r="AQ208" s="9">
        <v>32</v>
      </c>
      <c r="AR208" s="9">
        <v>82</v>
      </c>
      <c r="AS208" s="9">
        <v>16</v>
      </c>
      <c r="AT208" s="9">
        <v>41</v>
      </c>
      <c r="AU208" s="9">
        <v>32</v>
      </c>
      <c r="AV208" s="9">
        <v>8</v>
      </c>
      <c r="AW208" s="9">
        <v>24</v>
      </c>
      <c r="AX208" s="9">
        <v>0</v>
      </c>
      <c r="AY208" s="9">
        <v>32</v>
      </c>
      <c r="AZ208" s="9">
        <v>0</v>
      </c>
      <c r="BA208" s="10">
        <v>86.149999999999991</v>
      </c>
      <c r="BB208" s="11">
        <v>28426.7</v>
      </c>
      <c r="BC208" s="11">
        <v>13782.64</v>
      </c>
      <c r="BD208" s="11">
        <v>21535.38</v>
      </c>
      <c r="BE208" s="11">
        <v>15505.47</v>
      </c>
      <c r="BF208" s="11">
        <v>6891.32</v>
      </c>
      <c r="BG208" s="11">
        <v>25500</v>
      </c>
      <c r="BH208" s="11">
        <v>12500</v>
      </c>
      <c r="BI208" s="11">
        <v>8956</v>
      </c>
      <c r="BJ208" s="11">
        <v>19494</v>
      </c>
      <c r="BK208" s="11">
        <v>49237</v>
      </c>
      <c r="BL208" s="11">
        <v>30576</v>
      </c>
      <c r="BM208" s="11">
        <v>23946</v>
      </c>
      <c r="BN208" s="11">
        <v>13866</v>
      </c>
      <c r="BO208" s="9">
        <v>133000</v>
      </c>
      <c r="BP208" s="9">
        <v>8570</v>
      </c>
    </row>
    <row r="209" spans="1:68" x14ac:dyDescent="0.3">
      <c r="A209" s="7">
        <v>45499</v>
      </c>
      <c r="B209" s="7" t="str">
        <f t="shared" si="3"/>
        <v>JULY</v>
      </c>
      <c r="C209" s="8">
        <f>MONTH(Data!$A209)</f>
        <v>7</v>
      </c>
      <c r="D209" s="9">
        <v>1055</v>
      </c>
      <c r="E209" s="9">
        <v>827</v>
      </c>
      <c r="F209" s="9">
        <v>495</v>
      </c>
      <c r="G209" s="9">
        <v>392</v>
      </c>
      <c r="H209" s="9">
        <v>168</v>
      </c>
      <c r="I209" s="9">
        <v>339</v>
      </c>
      <c r="J209" s="9">
        <v>298</v>
      </c>
      <c r="K209" s="9">
        <v>190</v>
      </c>
      <c r="L209" s="9">
        <v>346</v>
      </c>
      <c r="M209" s="9">
        <v>39</v>
      </c>
      <c r="N209" s="9">
        <v>71</v>
      </c>
      <c r="O209" s="9">
        <v>58</v>
      </c>
      <c r="P209" s="9">
        <v>19</v>
      </c>
      <c r="Q209" s="9">
        <v>152</v>
      </c>
      <c r="R209" s="9">
        <v>112</v>
      </c>
      <c r="S209" s="9">
        <v>36</v>
      </c>
      <c r="T209" s="9">
        <v>56</v>
      </c>
      <c r="U209" s="9">
        <v>166</v>
      </c>
      <c r="V209" s="9">
        <v>66</v>
      </c>
      <c r="W209" s="9">
        <v>8</v>
      </c>
      <c r="X209" s="9">
        <v>24</v>
      </c>
      <c r="Y209" s="9">
        <v>0</v>
      </c>
      <c r="Z209" s="9">
        <v>57</v>
      </c>
      <c r="AA209" s="9">
        <v>41</v>
      </c>
      <c r="AB209" s="9">
        <v>8</v>
      </c>
      <c r="AC209" s="9">
        <v>24</v>
      </c>
      <c r="AD209" s="9">
        <v>33</v>
      </c>
      <c r="AE209" s="9">
        <v>24</v>
      </c>
      <c r="AF209" s="9">
        <v>0</v>
      </c>
      <c r="AG209" s="9">
        <v>41</v>
      </c>
      <c r="AH209" s="9">
        <v>0</v>
      </c>
      <c r="AI209" s="9">
        <v>16</v>
      </c>
      <c r="AJ209" s="9">
        <v>0</v>
      </c>
      <c r="AK209" s="9">
        <v>82</v>
      </c>
      <c r="AL209" s="9">
        <v>16</v>
      </c>
      <c r="AM209" s="9">
        <v>33</v>
      </c>
      <c r="AN209" s="9">
        <v>16</v>
      </c>
      <c r="AO209" s="9">
        <v>0</v>
      </c>
      <c r="AP209" s="9">
        <v>33</v>
      </c>
      <c r="AQ209" s="9">
        <v>16</v>
      </c>
      <c r="AR209" s="9">
        <v>74</v>
      </c>
      <c r="AS209" s="9">
        <v>24</v>
      </c>
      <c r="AT209" s="9">
        <v>24</v>
      </c>
      <c r="AU209" s="9">
        <v>24</v>
      </c>
      <c r="AV209" s="9">
        <v>8</v>
      </c>
      <c r="AW209" s="9">
        <v>8</v>
      </c>
      <c r="AX209" s="9">
        <v>8</v>
      </c>
      <c r="AY209" s="9">
        <v>16</v>
      </c>
      <c r="AZ209" s="9">
        <v>103</v>
      </c>
      <c r="BA209" s="10">
        <v>85.600000000000009</v>
      </c>
      <c r="BB209" s="11">
        <v>24119.63</v>
      </c>
      <c r="BC209" s="11">
        <v>21535.38</v>
      </c>
      <c r="BD209" s="11">
        <v>12059.81</v>
      </c>
      <c r="BE209" s="11">
        <v>12921.23</v>
      </c>
      <c r="BF209" s="11">
        <v>15505.47</v>
      </c>
      <c r="BG209" s="11">
        <v>25500</v>
      </c>
      <c r="BH209" s="11">
        <v>12500</v>
      </c>
      <c r="BI209" s="11">
        <v>8956</v>
      </c>
      <c r="BJ209" s="11">
        <v>19494</v>
      </c>
      <c r="BK209" s="11">
        <v>49237</v>
      </c>
      <c r="BL209" s="11">
        <v>30576</v>
      </c>
      <c r="BM209" s="11">
        <v>23946</v>
      </c>
      <c r="BN209" s="11">
        <v>13866</v>
      </c>
      <c r="BO209" s="9">
        <v>133000</v>
      </c>
      <c r="BP209" s="9">
        <v>585</v>
      </c>
    </row>
    <row r="210" spans="1:68" x14ac:dyDescent="0.3">
      <c r="A210" s="7">
        <v>45500</v>
      </c>
      <c r="B210" s="7" t="str">
        <f t="shared" si="3"/>
        <v>JULY</v>
      </c>
      <c r="C210" s="8">
        <f>MONTH(Data!$A210)</f>
        <v>7</v>
      </c>
      <c r="D210" s="9">
        <v>1033</v>
      </c>
      <c r="E210" s="9">
        <v>825</v>
      </c>
      <c r="F210" s="9">
        <v>247</v>
      </c>
      <c r="G210" s="9">
        <v>683</v>
      </c>
      <c r="H210" s="9">
        <v>103</v>
      </c>
      <c r="I210" s="9">
        <v>247</v>
      </c>
      <c r="J210" s="9">
        <v>422</v>
      </c>
      <c r="K210" s="9">
        <v>156</v>
      </c>
      <c r="L210" s="9">
        <v>230</v>
      </c>
      <c r="M210" s="9">
        <v>44</v>
      </c>
      <c r="N210" s="9">
        <v>76</v>
      </c>
      <c r="O210" s="9">
        <v>70</v>
      </c>
      <c r="P210" s="9">
        <v>38</v>
      </c>
      <c r="Q210" s="9">
        <v>211</v>
      </c>
      <c r="R210" s="9">
        <v>125</v>
      </c>
      <c r="S210" s="9">
        <v>35</v>
      </c>
      <c r="T210" s="9">
        <v>39</v>
      </c>
      <c r="U210" s="9">
        <v>165</v>
      </c>
      <c r="V210" s="9">
        <v>107</v>
      </c>
      <c r="W210" s="9">
        <v>8</v>
      </c>
      <c r="X210" s="9">
        <v>24</v>
      </c>
      <c r="Y210" s="9">
        <v>16</v>
      </c>
      <c r="Z210" s="9">
        <v>26</v>
      </c>
      <c r="AA210" s="9">
        <v>74</v>
      </c>
      <c r="AB210" s="9">
        <v>24</v>
      </c>
      <c r="AC210" s="9">
        <v>0</v>
      </c>
      <c r="AD210" s="9">
        <v>41</v>
      </c>
      <c r="AE210" s="9">
        <v>8</v>
      </c>
      <c r="AF210" s="9">
        <v>0</v>
      </c>
      <c r="AG210" s="9">
        <v>16</v>
      </c>
      <c r="AH210" s="9">
        <v>8</v>
      </c>
      <c r="AI210" s="9">
        <v>24</v>
      </c>
      <c r="AJ210" s="9">
        <v>8</v>
      </c>
      <c r="AK210" s="9">
        <v>82</v>
      </c>
      <c r="AL210" s="9">
        <v>33</v>
      </c>
      <c r="AM210" s="9">
        <v>33</v>
      </c>
      <c r="AN210" s="9">
        <v>0</v>
      </c>
      <c r="AO210" s="9">
        <v>8</v>
      </c>
      <c r="AP210" s="9">
        <v>16</v>
      </c>
      <c r="AQ210" s="9">
        <v>8</v>
      </c>
      <c r="AR210" s="9">
        <v>74</v>
      </c>
      <c r="AS210" s="9">
        <v>24</v>
      </c>
      <c r="AT210" s="9">
        <v>74</v>
      </c>
      <c r="AU210" s="9">
        <v>24</v>
      </c>
      <c r="AV210" s="9">
        <v>0</v>
      </c>
      <c r="AW210" s="9">
        <v>16</v>
      </c>
      <c r="AX210" s="9">
        <v>33</v>
      </c>
      <c r="AY210" s="9">
        <v>16</v>
      </c>
      <c r="AZ210" s="9">
        <v>0</v>
      </c>
      <c r="BA210" s="10">
        <v>84.84</v>
      </c>
      <c r="BB210" s="11">
        <v>23112.15</v>
      </c>
      <c r="BC210" s="11">
        <v>13696.09</v>
      </c>
      <c r="BD210" s="11">
        <v>9416.06</v>
      </c>
      <c r="BE210" s="11">
        <v>18832.13</v>
      </c>
      <c r="BF210" s="11">
        <v>20544.14</v>
      </c>
      <c r="BG210" s="11">
        <v>25500</v>
      </c>
      <c r="BH210" s="11">
        <v>12500</v>
      </c>
      <c r="BI210" s="11">
        <v>8956</v>
      </c>
      <c r="BJ210" s="11">
        <v>19494</v>
      </c>
      <c r="BK210" s="11">
        <v>49237</v>
      </c>
      <c r="BL210" s="11">
        <v>30576</v>
      </c>
      <c r="BM210" s="11">
        <v>23946</v>
      </c>
      <c r="BN210" s="11">
        <v>13866</v>
      </c>
      <c r="BO210" s="9">
        <v>133000</v>
      </c>
      <c r="BP210" s="9">
        <v>4413</v>
      </c>
    </row>
    <row r="211" spans="1:68" x14ac:dyDescent="0.3">
      <c r="A211" s="7">
        <v>45501</v>
      </c>
      <c r="B211" s="7" t="str">
        <f t="shared" si="3"/>
        <v>JULY</v>
      </c>
      <c r="C211" s="8">
        <f>MONTH(Data!$A211)</f>
        <v>7</v>
      </c>
      <c r="D211" s="9">
        <v>1007</v>
      </c>
      <c r="E211" s="9">
        <v>811</v>
      </c>
      <c r="F211" s="9">
        <v>211</v>
      </c>
      <c r="G211" s="9">
        <v>726</v>
      </c>
      <c r="H211" s="9">
        <v>70</v>
      </c>
      <c r="I211" s="9">
        <v>162</v>
      </c>
      <c r="J211" s="9">
        <v>495</v>
      </c>
      <c r="K211" s="9">
        <v>154</v>
      </c>
      <c r="L211" s="9">
        <v>280</v>
      </c>
      <c r="M211" s="9">
        <v>43</v>
      </c>
      <c r="N211" s="9">
        <v>74</v>
      </c>
      <c r="O211" s="9">
        <v>37</v>
      </c>
      <c r="P211" s="9">
        <v>43</v>
      </c>
      <c r="Q211" s="9">
        <v>198</v>
      </c>
      <c r="R211" s="9">
        <v>99</v>
      </c>
      <c r="S211" s="9">
        <v>38</v>
      </c>
      <c r="T211" s="9">
        <v>38</v>
      </c>
      <c r="U211" s="9">
        <v>157</v>
      </c>
      <c r="V211" s="9">
        <v>81</v>
      </c>
      <c r="W211" s="9">
        <v>16</v>
      </c>
      <c r="X211" s="9">
        <v>40</v>
      </c>
      <c r="Y211" s="9">
        <v>24</v>
      </c>
      <c r="Z211" s="9">
        <v>81</v>
      </c>
      <c r="AA211" s="9">
        <v>72</v>
      </c>
      <c r="AB211" s="9">
        <v>8</v>
      </c>
      <c r="AC211" s="9">
        <v>8</v>
      </c>
      <c r="AD211" s="9">
        <v>48</v>
      </c>
      <c r="AE211" s="9">
        <v>16</v>
      </c>
      <c r="AF211" s="9">
        <v>0</v>
      </c>
      <c r="AG211" s="9">
        <v>16</v>
      </c>
      <c r="AH211" s="9">
        <v>0</v>
      </c>
      <c r="AI211" s="9">
        <v>16</v>
      </c>
      <c r="AJ211" s="9">
        <v>8</v>
      </c>
      <c r="AK211" s="9">
        <v>48</v>
      </c>
      <c r="AL211" s="9">
        <v>56</v>
      </c>
      <c r="AM211" s="9">
        <v>8</v>
      </c>
      <c r="AN211" s="9">
        <v>16</v>
      </c>
      <c r="AO211" s="9">
        <v>0</v>
      </c>
      <c r="AP211" s="9">
        <v>16</v>
      </c>
      <c r="AQ211" s="9">
        <v>24</v>
      </c>
      <c r="AR211" s="9">
        <v>0</v>
      </c>
      <c r="AS211" s="9">
        <v>24</v>
      </c>
      <c r="AT211" s="9">
        <v>72</v>
      </c>
      <c r="AU211" s="9">
        <v>9</v>
      </c>
      <c r="AV211" s="9">
        <v>8</v>
      </c>
      <c r="AW211" s="9">
        <v>56</v>
      </c>
      <c r="AX211" s="9">
        <v>24</v>
      </c>
      <c r="AY211" s="9">
        <v>16</v>
      </c>
      <c r="AZ211" s="9">
        <v>0</v>
      </c>
      <c r="BA211" s="10">
        <v>83.82</v>
      </c>
      <c r="BB211" s="11">
        <v>22055.87</v>
      </c>
      <c r="BC211" s="11">
        <v>20359.259999999998</v>
      </c>
      <c r="BD211" s="11">
        <v>16966.05</v>
      </c>
      <c r="BE211" s="11">
        <v>11876.24</v>
      </c>
      <c r="BF211" s="11">
        <v>13572.84</v>
      </c>
      <c r="BG211" s="11">
        <v>25500</v>
      </c>
      <c r="BH211" s="11">
        <v>12500</v>
      </c>
      <c r="BI211" s="11">
        <v>8956</v>
      </c>
      <c r="BJ211" s="11">
        <v>19494</v>
      </c>
      <c r="BK211" s="11">
        <v>49237</v>
      </c>
      <c r="BL211" s="11">
        <v>30576</v>
      </c>
      <c r="BM211" s="11">
        <v>23946</v>
      </c>
      <c r="BN211" s="11">
        <v>13866</v>
      </c>
      <c r="BO211" s="9">
        <v>133000</v>
      </c>
      <c r="BP211" s="9">
        <v>1425</v>
      </c>
    </row>
    <row r="212" spans="1:68" x14ac:dyDescent="0.3">
      <c r="A212" s="7">
        <v>45502</v>
      </c>
      <c r="B212" s="7" t="str">
        <f t="shared" si="3"/>
        <v>JULY</v>
      </c>
      <c r="C212" s="8">
        <f>MONTH(Data!$A212)</f>
        <v>7</v>
      </c>
      <c r="D212" s="9">
        <v>990</v>
      </c>
      <c r="E212" s="9">
        <v>790</v>
      </c>
      <c r="F212" s="9">
        <v>405</v>
      </c>
      <c r="G212" s="9">
        <v>427</v>
      </c>
      <c r="H212" s="9">
        <v>158</v>
      </c>
      <c r="I212" s="9">
        <v>308</v>
      </c>
      <c r="J212" s="9">
        <v>443</v>
      </c>
      <c r="K212" s="9">
        <v>39</v>
      </c>
      <c r="L212" s="9">
        <v>300</v>
      </c>
      <c r="M212" s="9">
        <v>184</v>
      </c>
      <c r="N212" s="9">
        <v>61</v>
      </c>
      <c r="O212" s="9">
        <v>61</v>
      </c>
      <c r="P212" s="9">
        <v>49</v>
      </c>
      <c r="Q212" s="9">
        <v>199</v>
      </c>
      <c r="R212" s="9">
        <v>37</v>
      </c>
      <c r="S212" s="9">
        <v>26</v>
      </c>
      <c r="T212" s="9">
        <v>37</v>
      </c>
      <c r="U212" s="9">
        <v>36</v>
      </c>
      <c r="V212" s="9">
        <v>31</v>
      </c>
      <c r="W212" s="9">
        <v>15</v>
      </c>
      <c r="X212" s="9">
        <v>39</v>
      </c>
      <c r="Y212" s="9">
        <v>0</v>
      </c>
      <c r="Z212" s="9">
        <v>126</v>
      </c>
      <c r="AA212" s="9">
        <v>47</v>
      </c>
      <c r="AB212" s="9">
        <v>23</v>
      </c>
      <c r="AC212" s="9">
        <v>0</v>
      </c>
      <c r="AD212" s="9">
        <v>23</v>
      </c>
      <c r="AE212" s="9">
        <v>15</v>
      </c>
      <c r="AF212" s="9">
        <v>7</v>
      </c>
      <c r="AG212" s="9">
        <v>7</v>
      </c>
      <c r="AH212" s="9">
        <v>7</v>
      </c>
      <c r="AI212" s="9">
        <v>0</v>
      </c>
      <c r="AJ212" s="9">
        <v>7</v>
      </c>
      <c r="AK212" s="9">
        <v>39</v>
      </c>
      <c r="AL212" s="9">
        <v>23</v>
      </c>
      <c r="AM212" s="9">
        <v>31</v>
      </c>
      <c r="AN212" s="9">
        <v>23</v>
      </c>
      <c r="AO212" s="9">
        <v>7</v>
      </c>
      <c r="AP212" s="9">
        <v>0</v>
      </c>
      <c r="AQ212" s="9">
        <v>7</v>
      </c>
      <c r="AR212" s="9">
        <v>79</v>
      </c>
      <c r="AS212" s="9">
        <v>15</v>
      </c>
      <c r="AT212" s="9">
        <v>31</v>
      </c>
      <c r="AU212" s="9">
        <v>7</v>
      </c>
      <c r="AV212" s="9">
        <v>0</v>
      </c>
      <c r="AW212" s="9">
        <v>39</v>
      </c>
      <c r="AX212" s="9">
        <v>23</v>
      </c>
      <c r="AY212" s="9">
        <v>0</v>
      </c>
      <c r="AZ212" s="9">
        <v>119</v>
      </c>
      <c r="BA212" s="10">
        <v>82.59</v>
      </c>
      <c r="BB212" s="11">
        <v>24309.51</v>
      </c>
      <c r="BC212" s="11">
        <v>20118.22</v>
      </c>
      <c r="BD212" s="11">
        <v>8382.59</v>
      </c>
      <c r="BE212" s="11">
        <v>13412.14</v>
      </c>
      <c r="BF212" s="11">
        <v>17603.439999999999</v>
      </c>
      <c r="BG212" s="11">
        <v>25500</v>
      </c>
      <c r="BH212" s="11">
        <v>12500</v>
      </c>
      <c r="BI212" s="11">
        <v>8956</v>
      </c>
      <c r="BJ212" s="11">
        <v>19494</v>
      </c>
      <c r="BK212" s="11">
        <v>49237</v>
      </c>
      <c r="BL212" s="11">
        <v>30576</v>
      </c>
      <c r="BM212" s="11">
        <v>23946</v>
      </c>
      <c r="BN212" s="11">
        <v>13866</v>
      </c>
      <c r="BO212" s="9">
        <v>133000</v>
      </c>
      <c r="BP212" s="9">
        <v>1646</v>
      </c>
    </row>
    <row r="213" spans="1:68" x14ac:dyDescent="0.3">
      <c r="A213" s="7">
        <v>45503</v>
      </c>
      <c r="B213" s="7" t="str">
        <f t="shared" si="3"/>
        <v>JULY</v>
      </c>
      <c r="C213" s="8">
        <f>MONTH(Data!$A213)</f>
        <v>7</v>
      </c>
      <c r="D213" s="9">
        <v>984</v>
      </c>
      <c r="E213" s="9">
        <v>757</v>
      </c>
      <c r="F213" s="9">
        <v>511</v>
      </c>
      <c r="G213" s="9">
        <v>395</v>
      </c>
      <c r="H213" s="9">
        <v>78</v>
      </c>
      <c r="I213" s="9">
        <v>295</v>
      </c>
      <c r="J213" s="9">
        <v>394</v>
      </c>
      <c r="K213" s="9">
        <v>68</v>
      </c>
      <c r="L213" s="9">
        <v>311</v>
      </c>
      <c r="M213" s="9">
        <v>54</v>
      </c>
      <c r="N213" s="9">
        <v>48</v>
      </c>
      <c r="O213" s="9">
        <v>85</v>
      </c>
      <c r="P213" s="9">
        <v>54</v>
      </c>
      <c r="Q213" s="9">
        <v>183</v>
      </c>
      <c r="R213" s="9">
        <v>104</v>
      </c>
      <c r="S213" s="9">
        <v>44</v>
      </c>
      <c r="T213" s="9">
        <v>44</v>
      </c>
      <c r="U213" s="9">
        <v>57</v>
      </c>
      <c r="V213" s="9">
        <v>68</v>
      </c>
      <c r="W213" s="9">
        <v>7</v>
      </c>
      <c r="X213" s="9">
        <v>22</v>
      </c>
      <c r="Y213" s="9">
        <v>15</v>
      </c>
      <c r="Z213" s="9">
        <v>57</v>
      </c>
      <c r="AA213" s="9">
        <v>60</v>
      </c>
      <c r="AB213" s="9">
        <v>15</v>
      </c>
      <c r="AC213" s="9">
        <v>15</v>
      </c>
      <c r="AD213" s="9">
        <v>37</v>
      </c>
      <c r="AE213" s="9">
        <v>15</v>
      </c>
      <c r="AF213" s="9">
        <v>7</v>
      </c>
      <c r="AG213" s="9">
        <v>15</v>
      </c>
      <c r="AH213" s="9">
        <v>22</v>
      </c>
      <c r="AI213" s="9">
        <v>0</v>
      </c>
      <c r="AJ213" s="9">
        <v>22</v>
      </c>
      <c r="AK213" s="9">
        <v>60</v>
      </c>
      <c r="AL213" s="9">
        <v>45</v>
      </c>
      <c r="AM213" s="9">
        <v>22</v>
      </c>
      <c r="AN213" s="9">
        <v>0</v>
      </c>
      <c r="AO213" s="9">
        <v>7</v>
      </c>
      <c r="AP213" s="9">
        <v>0</v>
      </c>
      <c r="AQ213" s="9">
        <v>15</v>
      </c>
      <c r="AR213" s="9">
        <v>68</v>
      </c>
      <c r="AS213" s="9">
        <v>22</v>
      </c>
      <c r="AT213" s="9">
        <v>60</v>
      </c>
      <c r="AU213" s="9">
        <v>7</v>
      </c>
      <c r="AV213" s="9">
        <v>7</v>
      </c>
      <c r="AW213" s="9">
        <v>22</v>
      </c>
      <c r="AX213" s="9">
        <v>30</v>
      </c>
      <c r="AY213" s="9">
        <v>15</v>
      </c>
      <c r="AZ213" s="9">
        <v>0</v>
      </c>
      <c r="BA213" s="10">
        <v>81</v>
      </c>
      <c r="BB213" s="11">
        <v>26425.95</v>
      </c>
      <c r="BC213" s="11">
        <v>19819.46</v>
      </c>
      <c r="BD213" s="11">
        <v>15690.41</v>
      </c>
      <c r="BE213" s="11">
        <v>19819.46</v>
      </c>
      <c r="BF213" s="11">
        <v>825.81</v>
      </c>
      <c r="BG213" s="11">
        <v>25500</v>
      </c>
      <c r="BH213" s="11">
        <v>12500</v>
      </c>
      <c r="BI213" s="11">
        <v>8956</v>
      </c>
      <c r="BJ213" s="11">
        <v>19494</v>
      </c>
      <c r="BK213" s="11">
        <v>49237</v>
      </c>
      <c r="BL213" s="11">
        <v>30576</v>
      </c>
      <c r="BM213" s="11">
        <v>23946</v>
      </c>
      <c r="BN213" s="11">
        <v>13866</v>
      </c>
      <c r="BO213" s="9">
        <v>133000</v>
      </c>
      <c r="BP213" s="9">
        <v>7764</v>
      </c>
    </row>
    <row r="214" spans="1:68" x14ac:dyDescent="0.3">
      <c r="A214" s="7">
        <v>45504</v>
      </c>
      <c r="B214" s="7" t="str">
        <f t="shared" si="3"/>
        <v>JULY</v>
      </c>
      <c r="C214" s="8">
        <f>MONTH(Data!$A214)</f>
        <v>7</v>
      </c>
      <c r="D214" s="9">
        <v>982</v>
      </c>
      <c r="E214" s="9">
        <v>718</v>
      </c>
      <c r="F214" s="9">
        <v>441</v>
      </c>
      <c r="G214" s="9">
        <v>306</v>
      </c>
      <c r="H214" s="9">
        <v>235</v>
      </c>
      <c r="I214" s="9">
        <v>165</v>
      </c>
      <c r="J214" s="9">
        <v>467</v>
      </c>
      <c r="K214" s="9">
        <v>86</v>
      </c>
      <c r="L214" s="9">
        <v>286</v>
      </c>
      <c r="M214" s="9">
        <v>103</v>
      </c>
      <c r="N214" s="9">
        <v>66</v>
      </c>
      <c r="O214" s="9">
        <v>30</v>
      </c>
      <c r="P214" s="9">
        <v>42</v>
      </c>
      <c r="Q214" s="9">
        <v>167</v>
      </c>
      <c r="R214" s="9">
        <v>41</v>
      </c>
      <c r="S214" s="9">
        <v>52</v>
      </c>
      <c r="T214" s="9">
        <v>52</v>
      </c>
      <c r="U214" s="9">
        <v>143</v>
      </c>
      <c r="V214" s="9">
        <v>100</v>
      </c>
      <c r="W214" s="9">
        <v>21</v>
      </c>
      <c r="X214" s="9">
        <v>43</v>
      </c>
      <c r="Y214" s="9">
        <v>14</v>
      </c>
      <c r="Z214" s="9">
        <v>57</v>
      </c>
      <c r="AA214" s="9">
        <v>50</v>
      </c>
      <c r="AB214" s="9">
        <v>0</v>
      </c>
      <c r="AC214" s="9">
        <v>14</v>
      </c>
      <c r="AD214" s="9">
        <v>28</v>
      </c>
      <c r="AE214" s="9">
        <v>21</v>
      </c>
      <c r="AF214" s="9">
        <v>7</v>
      </c>
      <c r="AG214" s="9">
        <v>14</v>
      </c>
      <c r="AH214" s="9">
        <v>14</v>
      </c>
      <c r="AI214" s="9">
        <v>0</v>
      </c>
      <c r="AJ214" s="9">
        <v>7</v>
      </c>
      <c r="AK214" s="9">
        <v>43</v>
      </c>
      <c r="AL214" s="9">
        <v>21</v>
      </c>
      <c r="AM214" s="9">
        <v>35</v>
      </c>
      <c r="AN214" s="9">
        <v>7</v>
      </c>
      <c r="AO214" s="9">
        <v>7</v>
      </c>
      <c r="AP214" s="9">
        <v>21</v>
      </c>
      <c r="AQ214" s="9">
        <v>7</v>
      </c>
      <c r="AR214" s="9">
        <v>57</v>
      </c>
      <c r="AS214" s="9">
        <v>14</v>
      </c>
      <c r="AT214" s="9">
        <v>21</v>
      </c>
      <c r="AU214" s="9">
        <v>35</v>
      </c>
      <c r="AV214" s="9">
        <v>0</v>
      </c>
      <c r="AW214" s="9">
        <v>21</v>
      </c>
      <c r="AX214" s="9">
        <v>0</v>
      </c>
      <c r="AY214" s="9">
        <v>14</v>
      </c>
      <c r="AZ214" s="9">
        <v>25</v>
      </c>
      <c r="BA214" s="10">
        <v>81</v>
      </c>
      <c r="BB214" s="11">
        <v>22680</v>
      </c>
      <c r="BC214" s="11">
        <v>12150</v>
      </c>
      <c r="BD214" s="11">
        <v>11340</v>
      </c>
      <c r="BE214" s="11">
        <v>7290</v>
      </c>
      <c r="BF214" s="11">
        <v>27540</v>
      </c>
      <c r="BG214" s="11">
        <v>25500</v>
      </c>
      <c r="BH214" s="11">
        <v>12500</v>
      </c>
      <c r="BI214" s="11">
        <v>8956</v>
      </c>
      <c r="BJ214" s="11">
        <v>19494</v>
      </c>
      <c r="BK214" s="11">
        <v>49237</v>
      </c>
      <c r="BL214" s="11">
        <v>30576</v>
      </c>
      <c r="BM214" s="11">
        <v>23946</v>
      </c>
      <c r="BN214" s="11">
        <v>13866</v>
      </c>
      <c r="BO214" s="9">
        <v>133000</v>
      </c>
      <c r="BP214" s="9">
        <v>8795</v>
      </c>
    </row>
    <row r="215" spans="1:68" x14ac:dyDescent="0.3">
      <c r="A215" s="7">
        <v>45505</v>
      </c>
      <c r="B215" s="7" t="str">
        <f t="shared" si="3"/>
        <v>AUGUST</v>
      </c>
      <c r="C215" s="8">
        <f>MONTH(Data!$A215)</f>
        <v>8</v>
      </c>
      <c r="D215" s="9">
        <v>988</v>
      </c>
      <c r="E215" s="9">
        <v>686</v>
      </c>
      <c r="F215" s="9">
        <v>316</v>
      </c>
      <c r="G215" s="9">
        <v>584</v>
      </c>
      <c r="H215" s="9">
        <v>88</v>
      </c>
      <c r="I215" s="9">
        <v>260</v>
      </c>
      <c r="J215" s="9">
        <v>337</v>
      </c>
      <c r="K215" s="9">
        <v>89</v>
      </c>
      <c r="L215" s="9">
        <v>295</v>
      </c>
      <c r="M215" s="9">
        <v>208</v>
      </c>
      <c r="N215" s="9">
        <v>49</v>
      </c>
      <c r="O215" s="9">
        <v>67</v>
      </c>
      <c r="P215" s="9">
        <v>30</v>
      </c>
      <c r="Q215" s="9">
        <v>202</v>
      </c>
      <c r="R215" s="9">
        <v>48</v>
      </c>
      <c r="S215" s="9">
        <v>37</v>
      </c>
      <c r="T215" s="9">
        <v>52</v>
      </c>
      <c r="U215" s="9">
        <v>0</v>
      </c>
      <c r="V215" s="9">
        <v>96</v>
      </c>
      <c r="W215" s="9">
        <v>20</v>
      </c>
      <c r="X215" s="9">
        <v>41</v>
      </c>
      <c r="Y215" s="9">
        <v>6</v>
      </c>
      <c r="Z215" s="9">
        <v>14</v>
      </c>
      <c r="AA215" s="9">
        <v>61</v>
      </c>
      <c r="AB215" s="9">
        <v>6</v>
      </c>
      <c r="AC215" s="9">
        <v>20</v>
      </c>
      <c r="AD215" s="9">
        <v>34</v>
      </c>
      <c r="AE215" s="9">
        <v>20</v>
      </c>
      <c r="AF215" s="9">
        <v>0</v>
      </c>
      <c r="AG215" s="9">
        <v>6</v>
      </c>
      <c r="AH215" s="9">
        <v>0</v>
      </c>
      <c r="AI215" s="9">
        <v>13</v>
      </c>
      <c r="AJ215" s="9">
        <v>0</v>
      </c>
      <c r="AK215" s="9">
        <v>34</v>
      </c>
      <c r="AL215" s="9">
        <v>27</v>
      </c>
      <c r="AM215" s="9">
        <v>13</v>
      </c>
      <c r="AN215" s="9">
        <v>20</v>
      </c>
      <c r="AO215" s="9">
        <v>0</v>
      </c>
      <c r="AP215" s="9">
        <v>0</v>
      </c>
      <c r="AQ215" s="9">
        <v>27</v>
      </c>
      <c r="AR215" s="9">
        <v>68</v>
      </c>
      <c r="AS215" s="9">
        <v>6</v>
      </c>
      <c r="AT215" s="9">
        <v>61</v>
      </c>
      <c r="AU215" s="9">
        <v>20</v>
      </c>
      <c r="AV215" s="9">
        <v>6</v>
      </c>
      <c r="AW215" s="9">
        <v>34</v>
      </c>
      <c r="AX215" s="9">
        <v>27</v>
      </c>
      <c r="AY215" s="9">
        <v>6</v>
      </c>
      <c r="AZ215" s="9">
        <v>0</v>
      </c>
      <c r="BA215" s="10">
        <v>81.87</v>
      </c>
      <c r="BB215" s="11">
        <v>22680</v>
      </c>
      <c r="BC215" s="11">
        <v>12150</v>
      </c>
      <c r="BD215" s="11">
        <v>11340</v>
      </c>
      <c r="BE215" s="11">
        <v>7290</v>
      </c>
      <c r="BF215" s="11">
        <v>27540</v>
      </c>
      <c r="BG215" s="11">
        <v>25500</v>
      </c>
      <c r="BH215" s="11">
        <v>11250</v>
      </c>
      <c r="BI215" s="11">
        <v>8956</v>
      </c>
      <c r="BJ215" s="11">
        <v>19494</v>
      </c>
      <c r="BK215" s="11">
        <v>51528</v>
      </c>
      <c r="BL215" s="11">
        <v>40447</v>
      </c>
      <c r="BM215" s="11">
        <v>28127</v>
      </c>
      <c r="BN215" s="11">
        <v>18319</v>
      </c>
      <c r="BO215" s="9">
        <v>148000</v>
      </c>
      <c r="BP215" s="9">
        <v>5662</v>
      </c>
    </row>
    <row r="216" spans="1:68" x14ac:dyDescent="0.3">
      <c r="A216" s="7">
        <v>45506</v>
      </c>
      <c r="B216" s="7" t="str">
        <f t="shared" si="3"/>
        <v>AUGUST</v>
      </c>
      <c r="C216" s="8">
        <f>MONTH(Data!$A216)</f>
        <v>8</v>
      </c>
      <c r="D216" s="9">
        <v>996</v>
      </c>
      <c r="E216" s="9">
        <v>671</v>
      </c>
      <c r="F216" s="9">
        <v>328</v>
      </c>
      <c r="G216" s="9">
        <v>419</v>
      </c>
      <c r="H216" s="9">
        <v>249</v>
      </c>
      <c r="I216" s="9">
        <v>248</v>
      </c>
      <c r="J216" s="9">
        <v>377</v>
      </c>
      <c r="K216" s="9">
        <v>46</v>
      </c>
      <c r="L216" s="9">
        <v>321</v>
      </c>
      <c r="M216" s="9">
        <v>55</v>
      </c>
      <c r="N216" s="9">
        <v>80</v>
      </c>
      <c r="O216" s="9">
        <v>61</v>
      </c>
      <c r="P216" s="9">
        <v>30</v>
      </c>
      <c r="Q216" s="9">
        <v>140</v>
      </c>
      <c r="R216" s="9">
        <v>41</v>
      </c>
      <c r="S216" s="9">
        <v>56</v>
      </c>
      <c r="T216" s="9">
        <v>56</v>
      </c>
      <c r="U216" s="9">
        <v>156</v>
      </c>
      <c r="V216" s="9">
        <v>33</v>
      </c>
      <c r="W216" s="9">
        <v>20</v>
      </c>
      <c r="X216" s="9">
        <v>26</v>
      </c>
      <c r="Y216" s="9">
        <v>20</v>
      </c>
      <c r="Z216" s="9">
        <v>80</v>
      </c>
      <c r="AA216" s="9">
        <v>46</v>
      </c>
      <c r="AB216" s="9">
        <v>20</v>
      </c>
      <c r="AC216" s="9">
        <v>6</v>
      </c>
      <c r="AD216" s="9">
        <v>20</v>
      </c>
      <c r="AE216" s="9">
        <v>13</v>
      </c>
      <c r="AF216" s="9">
        <v>6</v>
      </c>
      <c r="AG216" s="9">
        <v>6</v>
      </c>
      <c r="AH216" s="9">
        <v>20</v>
      </c>
      <c r="AI216" s="9">
        <v>6</v>
      </c>
      <c r="AJ216" s="9">
        <v>6</v>
      </c>
      <c r="AK216" s="9">
        <v>60</v>
      </c>
      <c r="AL216" s="9">
        <v>33</v>
      </c>
      <c r="AM216" s="9">
        <v>13</v>
      </c>
      <c r="AN216" s="9">
        <v>0</v>
      </c>
      <c r="AO216" s="9">
        <v>0</v>
      </c>
      <c r="AP216" s="9">
        <v>0</v>
      </c>
      <c r="AQ216" s="9">
        <v>6</v>
      </c>
      <c r="AR216" s="9">
        <v>53</v>
      </c>
      <c r="AS216" s="9">
        <v>6</v>
      </c>
      <c r="AT216" s="9">
        <v>33</v>
      </c>
      <c r="AU216" s="9">
        <v>13</v>
      </c>
      <c r="AV216" s="9">
        <v>6</v>
      </c>
      <c r="AW216" s="9">
        <v>6</v>
      </c>
      <c r="AX216" s="9">
        <v>0</v>
      </c>
      <c r="AY216" s="9">
        <v>20</v>
      </c>
      <c r="AZ216" s="9">
        <v>94</v>
      </c>
      <c r="BA216" s="10">
        <v>83.77000000000001</v>
      </c>
      <c r="BB216" s="11">
        <v>25384.48</v>
      </c>
      <c r="BC216" s="11">
        <v>13101.67</v>
      </c>
      <c r="BD216" s="11">
        <v>11463.96</v>
      </c>
      <c r="BE216" s="11">
        <v>13101.67</v>
      </c>
      <c r="BF216" s="11">
        <v>18833.650000000001</v>
      </c>
      <c r="BG216" s="11">
        <v>25500</v>
      </c>
      <c r="BH216" s="11">
        <v>11250</v>
      </c>
      <c r="BI216" s="11">
        <v>8956</v>
      </c>
      <c r="BJ216" s="11">
        <v>19494</v>
      </c>
      <c r="BK216" s="11">
        <v>51528</v>
      </c>
      <c r="BL216" s="11">
        <v>40447</v>
      </c>
      <c r="BM216" s="11">
        <v>28127</v>
      </c>
      <c r="BN216" s="11">
        <v>18319</v>
      </c>
      <c r="BO216" s="9">
        <v>148000</v>
      </c>
      <c r="BP216" s="9">
        <v>8792</v>
      </c>
    </row>
    <row r="217" spans="1:68" x14ac:dyDescent="0.3">
      <c r="A217" s="7">
        <v>45507</v>
      </c>
      <c r="B217" s="7" t="str">
        <f t="shared" si="3"/>
        <v>AUGUST</v>
      </c>
      <c r="C217" s="8">
        <f>MONTH(Data!$A217)</f>
        <v>8</v>
      </c>
      <c r="D217" s="9">
        <v>1013</v>
      </c>
      <c r="E217" s="9">
        <v>663</v>
      </c>
      <c r="F217" s="9">
        <v>253</v>
      </c>
      <c r="G217" s="9">
        <v>649</v>
      </c>
      <c r="H217" s="9">
        <v>111</v>
      </c>
      <c r="I217" s="9">
        <v>278</v>
      </c>
      <c r="J217" s="9">
        <v>293</v>
      </c>
      <c r="K217" s="9">
        <v>92</v>
      </c>
      <c r="L217" s="9">
        <v>320</v>
      </c>
      <c r="M217" s="9">
        <v>43</v>
      </c>
      <c r="N217" s="9">
        <v>43</v>
      </c>
      <c r="O217" s="9">
        <v>75</v>
      </c>
      <c r="P217" s="9">
        <v>50</v>
      </c>
      <c r="Q217" s="9">
        <v>165</v>
      </c>
      <c r="R217" s="9">
        <v>76</v>
      </c>
      <c r="S217" s="9">
        <v>57</v>
      </c>
      <c r="T217" s="9">
        <v>53</v>
      </c>
      <c r="U217" s="9">
        <v>131</v>
      </c>
      <c r="V217" s="9">
        <v>92</v>
      </c>
      <c r="W217" s="9">
        <v>13</v>
      </c>
      <c r="X217" s="9">
        <v>46</v>
      </c>
      <c r="Y217" s="9">
        <v>0</v>
      </c>
      <c r="Z217" s="9">
        <v>37</v>
      </c>
      <c r="AA217" s="9">
        <v>33</v>
      </c>
      <c r="AB217" s="9">
        <v>0</v>
      </c>
      <c r="AC217" s="9">
        <v>19</v>
      </c>
      <c r="AD217" s="9">
        <v>13</v>
      </c>
      <c r="AE217" s="9">
        <v>13</v>
      </c>
      <c r="AF217" s="9">
        <v>0</v>
      </c>
      <c r="AG217" s="9">
        <v>19</v>
      </c>
      <c r="AH217" s="9">
        <v>0</v>
      </c>
      <c r="AI217" s="9">
        <v>0</v>
      </c>
      <c r="AJ217" s="9">
        <v>13</v>
      </c>
      <c r="AK217" s="9">
        <v>39</v>
      </c>
      <c r="AL217" s="9">
        <v>13</v>
      </c>
      <c r="AM217" s="9">
        <v>13</v>
      </c>
      <c r="AN217" s="9">
        <v>19</v>
      </c>
      <c r="AO217" s="9">
        <v>0</v>
      </c>
      <c r="AP217" s="9">
        <v>0</v>
      </c>
      <c r="AQ217" s="9">
        <v>26</v>
      </c>
      <c r="AR217" s="9">
        <v>66</v>
      </c>
      <c r="AS217" s="9">
        <v>13</v>
      </c>
      <c r="AT217" s="9">
        <v>59</v>
      </c>
      <c r="AU217" s="9">
        <v>33</v>
      </c>
      <c r="AV217" s="9">
        <v>6</v>
      </c>
      <c r="AW217" s="9">
        <v>46</v>
      </c>
      <c r="AX217" s="9">
        <v>6</v>
      </c>
      <c r="AY217" s="9">
        <v>26</v>
      </c>
      <c r="AZ217" s="9">
        <v>0</v>
      </c>
      <c r="BA217" s="10">
        <v>86</v>
      </c>
      <c r="BB217" s="11">
        <v>29320.29</v>
      </c>
      <c r="BC217" s="11">
        <v>10890.39</v>
      </c>
      <c r="BD217" s="11">
        <v>13403.56</v>
      </c>
      <c r="BE217" s="11">
        <v>12565.84</v>
      </c>
      <c r="BF217" s="11">
        <v>17592.169999999998</v>
      </c>
      <c r="BG217" s="11">
        <v>25500</v>
      </c>
      <c r="BH217" s="11">
        <v>11250</v>
      </c>
      <c r="BI217" s="11">
        <v>8956</v>
      </c>
      <c r="BJ217" s="11">
        <v>17395</v>
      </c>
      <c r="BK217" s="11">
        <v>51528</v>
      </c>
      <c r="BL217" s="11">
        <v>40447</v>
      </c>
      <c r="BM217" s="11">
        <v>28127</v>
      </c>
      <c r="BN217" s="11">
        <v>18319</v>
      </c>
      <c r="BO217" s="9">
        <v>148000</v>
      </c>
      <c r="BP217" s="9">
        <v>4524</v>
      </c>
    </row>
    <row r="218" spans="1:68" x14ac:dyDescent="0.3">
      <c r="A218" s="7">
        <v>45508</v>
      </c>
      <c r="B218" s="7" t="str">
        <f t="shared" si="3"/>
        <v>AUGUST</v>
      </c>
      <c r="C218" s="8">
        <f>MONTH(Data!$A218)</f>
        <v>8</v>
      </c>
      <c r="D218" s="9">
        <v>1033</v>
      </c>
      <c r="E218" s="9">
        <v>666</v>
      </c>
      <c r="F218" s="9">
        <v>227</v>
      </c>
      <c r="G218" s="9">
        <v>600</v>
      </c>
      <c r="H218" s="9">
        <v>206</v>
      </c>
      <c r="I218" s="9">
        <v>173</v>
      </c>
      <c r="J218" s="9">
        <v>460</v>
      </c>
      <c r="K218" s="9">
        <v>33</v>
      </c>
      <c r="L218" s="9">
        <v>256</v>
      </c>
      <c r="M218" s="9">
        <v>64</v>
      </c>
      <c r="N218" s="9">
        <v>51</v>
      </c>
      <c r="O218" s="9">
        <v>83</v>
      </c>
      <c r="P218" s="9">
        <v>12</v>
      </c>
      <c r="Q218" s="9">
        <v>133</v>
      </c>
      <c r="R218" s="9">
        <v>23</v>
      </c>
      <c r="S218" s="9">
        <v>51</v>
      </c>
      <c r="T218" s="9">
        <v>23</v>
      </c>
      <c r="U218" s="9">
        <v>337</v>
      </c>
      <c r="V218" s="9">
        <v>59</v>
      </c>
      <c r="W218" s="9">
        <v>0</v>
      </c>
      <c r="X218" s="9">
        <v>19</v>
      </c>
      <c r="Y218" s="9">
        <v>13</v>
      </c>
      <c r="Z218" s="9">
        <v>59</v>
      </c>
      <c r="AA218" s="9">
        <v>33</v>
      </c>
      <c r="AB218" s="9">
        <v>13</v>
      </c>
      <c r="AC218" s="9">
        <v>19</v>
      </c>
      <c r="AD218" s="9">
        <v>39</v>
      </c>
      <c r="AE218" s="9">
        <v>6</v>
      </c>
      <c r="AF218" s="9">
        <v>0</v>
      </c>
      <c r="AG218" s="9">
        <v>6</v>
      </c>
      <c r="AH218" s="9">
        <v>6</v>
      </c>
      <c r="AI218" s="9">
        <v>0</v>
      </c>
      <c r="AJ218" s="9">
        <v>0</v>
      </c>
      <c r="AK218" s="9">
        <v>53</v>
      </c>
      <c r="AL218" s="9">
        <v>26</v>
      </c>
      <c r="AM218" s="9">
        <v>26</v>
      </c>
      <c r="AN218" s="9">
        <v>6</v>
      </c>
      <c r="AO218" s="9">
        <v>6</v>
      </c>
      <c r="AP218" s="9">
        <v>26</v>
      </c>
      <c r="AQ218" s="9">
        <v>19</v>
      </c>
      <c r="AR218" s="9">
        <v>46</v>
      </c>
      <c r="AS218" s="9">
        <v>13</v>
      </c>
      <c r="AT218" s="9">
        <v>53</v>
      </c>
      <c r="AU218" s="9">
        <v>19</v>
      </c>
      <c r="AV218" s="9">
        <v>0</v>
      </c>
      <c r="AW218" s="9">
        <v>33</v>
      </c>
      <c r="AX218" s="9">
        <v>26</v>
      </c>
      <c r="AY218" s="9">
        <v>0</v>
      </c>
      <c r="AZ218" s="9">
        <v>42</v>
      </c>
      <c r="BA218" s="10">
        <v>88.81</v>
      </c>
      <c r="BB218" s="11">
        <v>25801.52</v>
      </c>
      <c r="BC218" s="11">
        <v>20641.22</v>
      </c>
      <c r="BD218" s="11">
        <v>12040.71</v>
      </c>
      <c r="BE218" s="11">
        <v>18061.060000000001</v>
      </c>
      <c r="BF218" s="11">
        <v>9460.56</v>
      </c>
      <c r="BG218" s="11">
        <v>25500</v>
      </c>
      <c r="BH218" s="11">
        <v>11250</v>
      </c>
      <c r="BI218" s="11">
        <v>8956</v>
      </c>
      <c r="BJ218" s="11">
        <v>17395</v>
      </c>
      <c r="BK218" s="11">
        <v>51528</v>
      </c>
      <c r="BL218" s="11">
        <v>40447</v>
      </c>
      <c r="BM218" s="11">
        <v>28127</v>
      </c>
      <c r="BN218" s="11">
        <v>18319</v>
      </c>
      <c r="BO218" s="9">
        <v>148000</v>
      </c>
      <c r="BP218" s="9">
        <v>16</v>
      </c>
    </row>
    <row r="219" spans="1:68" x14ac:dyDescent="0.3">
      <c r="A219" s="7">
        <v>45509</v>
      </c>
      <c r="B219" s="7" t="str">
        <f t="shared" si="3"/>
        <v>AUGUST</v>
      </c>
      <c r="C219" s="8">
        <f>MONTH(Data!$A219)</f>
        <v>8</v>
      </c>
      <c r="D219" s="9">
        <v>1058</v>
      </c>
      <c r="E219" s="9">
        <v>680</v>
      </c>
      <c r="F219" s="9">
        <v>465</v>
      </c>
      <c r="G219" s="9">
        <v>509</v>
      </c>
      <c r="H219" s="9">
        <v>84</v>
      </c>
      <c r="I219" s="9">
        <v>251</v>
      </c>
      <c r="J219" s="9">
        <v>389</v>
      </c>
      <c r="K219" s="9">
        <v>40</v>
      </c>
      <c r="L219" s="9">
        <v>268</v>
      </c>
      <c r="M219" s="9">
        <v>137</v>
      </c>
      <c r="N219" s="9">
        <v>85</v>
      </c>
      <c r="O219" s="9">
        <v>52</v>
      </c>
      <c r="P219" s="9">
        <v>13</v>
      </c>
      <c r="Q219" s="9">
        <v>156</v>
      </c>
      <c r="R219" s="9">
        <v>68</v>
      </c>
      <c r="S219" s="9">
        <v>40</v>
      </c>
      <c r="T219" s="9">
        <v>44</v>
      </c>
      <c r="U219" s="9">
        <v>195</v>
      </c>
      <c r="V219" s="9">
        <v>74</v>
      </c>
      <c r="W219" s="9">
        <v>20</v>
      </c>
      <c r="X219" s="9">
        <v>20</v>
      </c>
      <c r="Y219" s="9">
        <v>20</v>
      </c>
      <c r="Z219" s="9">
        <v>4</v>
      </c>
      <c r="AA219" s="9">
        <v>34</v>
      </c>
      <c r="AB219" s="9">
        <v>20</v>
      </c>
      <c r="AC219" s="9">
        <v>6</v>
      </c>
      <c r="AD219" s="9">
        <v>13</v>
      </c>
      <c r="AE219" s="9">
        <v>0</v>
      </c>
      <c r="AF219" s="9">
        <v>6</v>
      </c>
      <c r="AG219" s="9">
        <v>20</v>
      </c>
      <c r="AH219" s="9">
        <v>6</v>
      </c>
      <c r="AI219" s="9">
        <v>20</v>
      </c>
      <c r="AJ219" s="9">
        <v>20</v>
      </c>
      <c r="AK219" s="9">
        <v>68</v>
      </c>
      <c r="AL219" s="9">
        <v>34</v>
      </c>
      <c r="AM219" s="9">
        <v>34</v>
      </c>
      <c r="AN219" s="9">
        <v>20</v>
      </c>
      <c r="AO219" s="9">
        <v>0</v>
      </c>
      <c r="AP219" s="9">
        <v>0</v>
      </c>
      <c r="AQ219" s="9">
        <v>13</v>
      </c>
      <c r="AR219" s="9">
        <v>74</v>
      </c>
      <c r="AS219" s="9">
        <v>13</v>
      </c>
      <c r="AT219" s="9">
        <v>54</v>
      </c>
      <c r="AU219" s="9">
        <v>20</v>
      </c>
      <c r="AV219" s="9">
        <v>0</v>
      </c>
      <c r="AW219" s="9">
        <v>34</v>
      </c>
      <c r="AX219" s="9">
        <v>13</v>
      </c>
      <c r="AY219" s="9">
        <v>20</v>
      </c>
      <c r="AZ219" s="9">
        <v>0</v>
      </c>
      <c r="BA219" s="10">
        <v>91.65</v>
      </c>
      <c r="BB219" s="11">
        <v>23980.05</v>
      </c>
      <c r="BC219" s="11">
        <v>22203.75</v>
      </c>
      <c r="BD219" s="11">
        <v>20427.45</v>
      </c>
      <c r="BE219" s="11">
        <v>8881.5</v>
      </c>
      <c r="BF219" s="11">
        <v>13322.25</v>
      </c>
      <c r="BG219" s="11">
        <v>25500</v>
      </c>
      <c r="BH219" s="11">
        <v>11250</v>
      </c>
      <c r="BI219" s="11">
        <v>8956</v>
      </c>
      <c r="BJ219" s="11">
        <v>17395</v>
      </c>
      <c r="BK219" s="11">
        <v>51528</v>
      </c>
      <c r="BL219" s="11">
        <v>40447</v>
      </c>
      <c r="BM219" s="11">
        <v>28127</v>
      </c>
      <c r="BN219" s="11">
        <v>18319</v>
      </c>
      <c r="BO219" s="9">
        <v>148000</v>
      </c>
      <c r="BP219" s="9">
        <v>8620</v>
      </c>
    </row>
    <row r="220" spans="1:68" x14ac:dyDescent="0.3">
      <c r="A220" s="7">
        <v>45510</v>
      </c>
      <c r="B220" s="7" t="str">
        <f t="shared" si="3"/>
        <v>AUGUST</v>
      </c>
      <c r="C220" s="8">
        <f>MONTH(Data!$A220)</f>
        <v>8</v>
      </c>
      <c r="D220" s="9">
        <v>1083</v>
      </c>
      <c r="E220" s="9">
        <v>706</v>
      </c>
      <c r="F220" s="9">
        <v>314</v>
      </c>
      <c r="G220" s="9">
        <v>596</v>
      </c>
      <c r="H220" s="9">
        <v>173</v>
      </c>
      <c r="I220" s="9">
        <v>225</v>
      </c>
      <c r="J220" s="9">
        <v>404</v>
      </c>
      <c r="K220" s="9">
        <v>77</v>
      </c>
      <c r="L220" s="9">
        <v>362</v>
      </c>
      <c r="M220" s="9">
        <v>100</v>
      </c>
      <c r="N220" s="9">
        <v>94</v>
      </c>
      <c r="O220" s="9">
        <v>47</v>
      </c>
      <c r="P220" s="9">
        <v>20</v>
      </c>
      <c r="Q220" s="9">
        <v>193</v>
      </c>
      <c r="R220" s="9">
        <v>111</v>
      </c>
      <c r="S220" s="9">
        <v>45</v>
      </c>
      <c r="T220" s="9">
        <v>20</v>
      </c>
      <c r="U220" s="9">
        <v>91</v>
      </c>
      <c r="V220" s="9">
        <v>49</v>
      </c>
      <c r="W220" s="9">
        <v>14</v>
      </c>
      <c r="X220" s="9">
        <v>49</v>
      </c>
      <c r="Y220" s="9">
        <v>21</v>
      </c>
      <c r="Z220" s="9">
        <v>56</v>
      </c>
      <c r="AA220" s="9">
        <v>56</v>
      </c>
      <c r="AB220" s="9">
        <v>7</v>
      </c>
      <c r="AC220" s="9">
        <v>14</v>
      </c>
      <c r="AD220" s="9">
        <v>42</v>
      </c>
      <c r="AE220" s="9">
        <v>7</v>
      </c>
      <c r="AF220" s="9">
        <v>0</v>
      </c>
      <c r="AG220" s="9">
        <v>28</v>
      </c>
      <c r="AH220" s="9">
        <v>7</v>
      </c>
      <c r="AI220" s="9">
        <v>14</v>
      </c>
      <c r="AJ220" s="9">
        <v>0</v>
      </c>
      <c r="AK220" s="9">
        <v>56</v>
      </c>
      <c r="AL220" s="9">
        <v>42</v>
      </c>
      <c r="AM220" s="9">
        <v>28</v>
      </c>
      <c r="AN220" s="9">
        <v>21</v>
      </c>
      <c r="AO220" s="9">
        <v>0</v>
      </c>
      <c r="AP220" s="9">
        <v>0</v>
      </c>
      <c r="AQ220" s="9">
        <v>21</v>
      </c>
      <c r="AR220" s="9">
        <v>0</v>
      </c>
      <c r="AS220" s="9">
        <v>7</v>
      </c>
      <c r="AT220" s="9">
        <v>56</v>
      </c>
      <c r="AU220" s="9">
        <v>28</v>
      </c>
      <c r="AV220" s="9">
        <v>6</v>
      </c>
      <c r="AW220" s="9">
        <v>28</v>
      </c>
      <c r="AX220" s="9">
        <v>28</v>
      </c>
      <c r="AY220" s="9">
        <v>21</v>
      </c>
      <c r="AZ220" s="9">
        <v>0</v>
      </c>
      <c r="BA220" s="10">
        <v>94.39</v>
      </c>
      <c r="BB220" s="11">
        <v>28410.94</v>
      </c>
      <c r="BC220" s="11">
        <v>22912.05</v>
      </c>
      <c r="BD220" s="11">
        <v>21995.57</v>
      </c>
      <c r="BE220" s="11">
        <v>16496.669999999998</v>
      </c>
      <c r="BF220" s="11">
        <v>1832.96</v>
      </c>
      <c r="BG220" s="11">
        <v>25500</v>
      </c>
      <c r="BH220" s="11">
        <v>11250</v>
      </c>
      <c r="BI220" s="11">
        <v>8956</v>
      </c>
      <c r="BJ220" s="11">
        <v>17395</v>
      </c>
      <c r="BK220" s="11">
        <v>51528</v>
      </c>
      <c r="BL220" s="11">
        <v>40447</v>
      </c>
      <c r="BM220" s="11">
        <v>28127</v>
      </c>
      <c r="BN220" s="11">
        <v>18319</v>
      </c>
      <c r="BO220" s="9">
        <v>148000</v>
      </c>
      <c r="BP220" s="9">
        <v>1278</v>
      </c>
    </row>
    <row r="221" spans="1:68" x14ac:dyDescent="0.3">
      <c r="A221" s="7">
        <v>45511</v>
      </c>
      <c r="B221" s="7" t="str">
        <f t="shared" si="3"/>
        <v>AUGUST</v>
      </c>
      <c r="C221" s="8">
        <f>MONTH(Data!$A221)</f>
        <v>8</v>
      </c>
      <c r="D221" s="9">
        <v>1107</v>
      </c>
      <c r="E221" s="9">
        <v>737</v>
      </c>
      <c r="F221" s="9">
        <v>365</v>
      </c>
      <c r="G221" s="9">
        <v>521</v>
      </c>
      <c r="H221" s="9">
        <v>221</v>
      </c>
      <c r="I221" s="9">
        <v>162</v>
      </c>
      <c r="J221" s="9">
        <v>406</v>
      </c>
      <c r="K221" s="9">
        <v>169</v>
      </c>
      <c r="L221" s="9">
        <v>324</v>
      </c>
      <c r="M221" s="9">
        <v>157</v>
      </c>
      <c r="N221" s="9">
        <v>82</v>
      </c>
      <c r="O221" s="9">
        <v>48</v>
      </c>
      <c r="P221" s="9">
        <v>34</v>
      </c>
      <c r="Q221" s="9">
        <v>227</v>
      </c>
      <c r="R221" s="9">
        <v>147</v>
      </c>
      <c r="S221" s="9">
        <v>63</v>
      </c>
      <c r="T221" s="9">
        <v>25</v>
      </c>
      <c r="U221" s="9">
        <v>0</v>
      </c>
      <c r="V221" s="9">
        <v>44</v>
      </c>
      <c r="W221" s="9">
        <v>14</v>
      </c>
      <c r="X221" s="9">
        <v>36</v>
      </c>
      <c r="Y221" s="9">
        <v>22</v>
      </c>
      <c r="Z221" s="9">
        <v>88</v>
      </c>
      <c r="AA221" s="9">
        <v>36</v>
      </c>
      <c r="AB221" s="9">
        <v>14</v>
      </c>
      <c r="AC221" s="9">
        <v>7</v>
      </c>
      <c r="AD221" s="9">
        <v>14</v>
      </c>
      <c r="AE221" s="9">
        <v>14</v>
      </c>
      <c r="AF221" s="9">
        <v>0</v>
      </c>
      <c r="AG221" s="9">
        <v>29</v>
      </c>
      <c r="AH221" s="9">
        <v>22</v>
      </c>
      <c r="AI221" s="9">
        <v>0</v>
      </c>
      <c r="AJ221" s="9">
        <v>22</v>
      </c>
      <c r="AK221" s="9">
        <v>29</v>
      </c>
      <c r="AL221" s="9">
        <v>7</v>
      </c>
      <c r="AM221" s="9">
        <v>22</v>
      </c>
      <c r="AN221" s="9">
        <v>22</v>
      </c>
      <c r="AO221" s="9">
        <v>7</v>
      </c>
      <c r="AP221" s="9">
        <v>22</v>
      </c>
      <c r="AQ221" s="9">
        <v>7</v>
      </c>
      <c r="AR221" s="9">
        <v>51</v>
      </c>
      <c r="AS221" s="9">
        <v>22</v>
      </c>
      <c r="AT221" s="9">
        <v>66</v>
      </c>
      <c r="AU221" s="9">
        <v>22</v>
      </c>
      <c r="AV221" s="9">
        <v>0</v>
      </c>
      <c r="AW221" s="9">
        <v>51</v>
      </c>
      <c r="AX221" s="9">
        <v>0</v>
      </c>
      <c r="AY221" s="9">
        <v>22</v>
      </c>
      <c r="AZ221" s="9">
        <v>25</v>
      </c>
      <c r="BA221" s="10">
        <v>97.050000000000011</v>
      </c>
      <c r="BB221" s="11">
        <v>32092.61</v>
      </c>
      <c r="BC221" s="11">
        <v>16046.3</v>
      </c>
      <c r="BD221" s="11">
        <v>20765.8</v>
      </c>
      <c r="BE221" s="11">
        <v>17934.099999999999</v>
      </c>
      <c r="BF221" s="11">
        <v>7551.2</v>
      </c>
      <c r="BG221" s="11">
        <v>25500</v>
      </c>
      <c r="BH221" s="11">
        <v>11250</v>
      </c>
      <c r="BI221" s="11">
        <v>8956</v>
      </c>
      <c r="BJ221" s="11">
        <v>17395</v>
      </c>
      <c r="BK221" s="11">
        <v>51528</v>
      </c>
      <c r="BL221" s="11">
        <v>40447</v>
      </c>
      <c r="BM221" s="11">
        <v>28127</v>
      </c>
      <c r="BN221" s="11">
        <v>18319</v>
      </c>
      <c r="BO221" s="9">
        <v>148000</v>
      </c>
      <c r="BP221" s="9">
        <v>2458</v>
      </c>
    </row>
    <row r="222" spans="1:68" x14ac:dyDescent="0.3">
      <c r="A222" s="7">
        <v>45512</v>
      </c>
      <c r="B222" s="7" t="str">
        <f t="shared" si="3"/>
        <v>AUGUST</v>
      </c>
      <c r="C222" s="8">
        <f>MONTH(Data!$A222)</f>
        <v>8</v>
      </c>
      <c r="D222" s="9">
        <v>1130</v>
      </c>
      <c r="E222" s="9">
        <v>768</v>
      </c>
      <c r="F222" s="9">
        <v>350</v>
      </c>
      <c r="G222" s="9">
        <v>566</v>
      </c>
      <c r="H222" s="9">
        <v>214</v>
      </c>
      <c r="I222" s="9">
        <v>376</v>
      </c>
      <c r="J222" s="9">
        <v>216</v>
      </c>
      <c r="K222" s="9">
        <v>176</v>
      </c>
      <c r="L222" s="9">
        <v>252</v>
      </c>
      <c r="M222" s="9">
        <v>182</v>
      </c>
      <c r="N222" s="9">
        <v>63</v>
      </c>
      <c r="O222" s="9">
        <v>56</v>
      </c>
      <c r="P222" s="9">
        <v>63</v>
      </c>
      <c r="Q222" s="9">
        <v>201</v>
      </c>
      <c r="R222" s="9">
        <v>72</v>
      </c>
      <c r="S222" s="9">
        <v>64</v>
      </c>
      <c r="T222" s="9">
        <v>60</v>
      </c>
      <c r="U222" s="9">
        <v>117</v>
      </c>
      <c r="V222" s="9">
        <v>107</v>
      </c>
      <c r="W222" s="9">
        <v>7</v>
      </c>
      <c r="X222" s="9">
        <v>53</v>
      </c>
      <c r="Y222" s="9">
        <v>7</v>
      </c>
      <c r="Z222" s="9">
        <v>107</v>
      </c>
      <c r="AA222" s="9">
        <v>53</v>
      </c>
      <c r="AB222" s="9">
        <v>0</v>
      </c>
      <c r="AC222" s="9">
        <v>15</v>
      </c>
      <c r="AD222" s="9">
        <v>30</v>
      </c>
      <c r="AE222" s="9">
        <v>7</v>
      </c>
      <c r="AF222" s="9">
        <v>0</v>
      </c>
      <c r="AG222" s="9">
        <v>7</v>
      </c>
      <c r="AH222" s="9">
        <v>0</v>
      </c>
      <c r="AI222" s="9">
        <v>7</v>
      </c>
      <c r="AJ222" s="9">
        <v>0</v>
      </c>
      <c r="AK222" s="9">
        <v>76</v>
      </c>
      <c r="AL222" s="9">
        <v>23</v>
      </c>
      <c r="AM222" s="9">
        <v>30</v>
      </c>
      <c r="AN222" s="9">
        <v>0</v>
      </c>
      <c r="AO222" s="9">
        <v>7</v>
      </c>
      <c r="AP222" s="9">
        <v>7</v>
      </c>
      <c r="AQ222" s="9">
        <v>7</v>
      </c>
      <c r="AR222" s="9">
        <v>61</v>
      </c>
      <c r="AS222" s="9">
        <v>7</v>
      </c>
      <c r="AT222" s="9">
        <v>61</v>
      </c>
      <c r="AU222" s="9">
        <v>23</v>
      </c>
      <c r="AV222" s="9">
        <v>0</v>
      </c>
      <c r="AW222" s="9">
        <v>46</v>
      </c>
      <c r="AX222" s="9">
        <v>0</v>
      </c>
      <c r="AY222" s="9">
        <v>0</v>
      </c>
      <c r="AZ222" s="9">
        <v>20</v>
      </c>
      <c r="BA222" s="10">
        <v>98.77</v>
      </c>
      <c r="BB222" s="11">
        <v>28140.89</v>
      </c>
      <c r="BC222" s="11">
        <v>17466.759999999998</v>
      </c>
      <c r="BD222" s="11">
        <v>21348.26</v>
      </c>
      <c r="BE222" s="11">
        <v>15526.01</v>
      </c>
      <c r="BF222" s="11">
        <v>14555.63</v>
      </c>
      <c r="BG222" s="11">
        <v>25500</v>
      </c>
      <c r="BH222" s="11">
        <v>11250</v>
      </c>
      <c r="BI222" s="11">
        <v>8956</v>
      </c>
      <c r="BJ222" s="11">
        <v>17395</v>
      </c>
      <c r="BK222" s="11">
        <v>51528</v>
      </c>
      <c r="BL222" s="11">
        <v>40447</v>
      </c>
      <c r="BM222" s="11">
        <v>28127</v>
      </c>
      <c r="BN222" s="11">
        <v>18319</v>
      </c>
      <c r="BO222" s="9">
        <v>148000</v>
      </c>
      <c r="BP222" s="9">
        <v>5172</v>
      </c>
    </row>
    <row r="223" spans="1:68" x14ac:dyDescent="0.3">
      <c r="A223" s="7">
        <v>45513</v>
      </c>
      <c r="B223" s="7" t="str">
        <f t="shared" si="3"/>
        <v>AUGUST</v>
      </c>
      <c r="C223" s="8">
        <f>MONTH(Data!$A223)</f>
        <v>8</v>
      </c>
      <c r="D223" s="9">
        <v>1145</v>
      </c>
      <c r="E223" s="9">
        <v>782</v>
      </c>
      <c r="F223" s="9">
        <v>400</v>
      </c>
      <c r="G223" s="9">
        <v>665</v>
      </c>
      <c r="H223" s="9">
        <v>80</v>
      </c>
      <c r="I223" s="9">
        <v>195</v>
      </c>
      <c r="J223" s="9">
        <v>541</v>
      </c>
      <c r="K223" s="9">
        <v>46</v>
      </c>
      <c r="L223" s="9">
        <v>255</v>
      </c>
      <c r="M223" s="9">
        <v>78</v>
      </c>
      <c r="N223" s="9">
        <v>56</v>
      </c>
      <c r="O223" s="9">
        <v>85</v>
      </c>
      <c r="P223" s="9">
        <v>35</v>
      </c>
      <c r="Q223" s="9">
        <v>182</v>
      </c>
      <c r="R223" s="9">
        <v>82</v>
      </c>
      <c r="S223" s="9">
        <v>39</v>
      </c>
      <c r="T223" s="9">
        <v>47</v>
      </c>
      <c r="U223" s="9">
        <v>286</v>
      </c>
      <c r="V223" s="9">
        <v>78</v>
      </c>
      <c r="W223" s="9">
        <v>0</v>
      </c>
      <c r="X223" s="9">
        <v>54</v>
      </c>
      <c r="Y223" s="9">
        <v>7</v>
      </c>
      <c r="Z223" s="9">
        <v>30</v>
      </c>
      <c r="AA223" s="9">
        <v>62</v>
      </c>
      <c r="AB223" s="9">
        <v>23</v>
      </c>
      <c r="AC223" s="9">
        <v>7</v>
      </c>
      <c r="AD223" s="9">
        <v>39</v>
      </c>
      <c r="AE223" s="9">
        <v>7</v>
      </c>
      <c r="AF223" s="9">
        <v>7</v>
      </c>
      <c r="AG223" s="9">
        <v>23</v>
      </c>
      <c r="AH223" s="9">
        <v>15</v>
      </c>
      <c r="AI223" s="9">
        <v>7</v>
      </c>
      <c r="AJ223" s="9">
        <v>7</v>
      </c>
      <c r="AK223" s="9">
        <v>31</v>
      </c>
      <c r="AL223" s="9">
        <v>54</v>
      </c>
      <c r="AM223" s="9">
        <v>31</v>
      </c>
      <c r="AN223" s="9">
        <v>23</v>
      </c>
      <c r="AO223" s="9">
        <v>7</v>
      </c>
      <c r="AP223" s="9">
        <v>7</v>
      </c>
      <c r="AQ223" s="9">
        <v>15</v>
      </c>
      <c r="AR223" s="9">
        <v>62</v>
      </c>
      <c r="AS223" s="9">
        <v>7</v>
      </c>
      <c r="AT223" s="9">
        <v>39</v>
      </c>
      <c r="AU223" s="9">
        <v>39</v>
      </c>
      <c r="AV223" s="9">
        <v>0</v>
      </c>
      <c r="AW223" s="9">
        <v>39</v>
      </c>
      <c r="AX223" s="9">
        <v>31</v>
      </c>
      <c r="AY223" s="9">
        <v>31</v>
      </c>
      <c r="AZ223" s="9">
        <v>0</v>
      </c>
      <c r="BA223" s="10">
        <v>99.820000000000007</v>
      </c>
      <c r="BB223" s="11">
        <v>34571.769999999997</v>
      </c>
      <c r="BC223" s="11">
        <v>14816.47</v>
      </c>
      <c r="BD223" s="11">
        <v>11853.18</v>
      </c>
      <c r="BE223" s="11">
        <v>12840.94</v>
      </c>
      <c r="BF223" s="11">
        <v>24694.12</v>
      </c>
      <c r="BG223" s="11">
        <v>25500</v>
      </c>
      <c r="BH223" s="11">
        <v>11250</v>
      </c>
      <c r="BI223" s="11">
        <v>8956</v>
      </c>
      <c r="BJ223" s="11">
        <v>17395</v>
      </c>
      <c r="BK223" s="11">
        <v>51528</v>
      </c>
      <c r="BL223" s="11">
        <v>40447</v>
      </c>
      <c r="BM223" s="11">
        <v>28127</v>
      </c>
      <c r="BN223" s="11">
        <v>18319</v>
      </c>
      <c r="BO223" s="9">
        <v>148000</v>
      </c>
      <c r="BP223" s="9">
        <v>7313</v>
      </c>
    </row>
    <row r="224" spans="1:68" x14ac:dyDescent="0.3">
      <c r="A224" s="7">
        <v>45514</v>
      </c>
      <c r="B224" s="7" t="str">
        <f t="shared" si="3"/>
        <v>AUGUST</v>
      </c>
      <c r="C224" s="8">
        <f>MONTH(Data!$A224)</f>
        <v>8</v>
      </c>
      <c r="D224" s="9">
        <v>1154</v>
      </c>
      <c r="E224" s="9">
        <v>784</v>
      </c>
      <c r="F224" s="9">
        <v>288</v>
      </c>
      <c r="G224" s="9">
        <v>659</v>
      </c>
      <c r="H224" s="9">
        <v>207</v>
      </c>
      <c r="I224" s="9">
        <v>368</v>
      </c>
      <c r="J224" s="9">
        <v>252</v>
      </c>
      <c r="K224" s="9">
        <v>164</v>
      </c>
      <c r="L224" s="9">
        <v>343</v>
      </c>
      <c r="M224" s="9">
        <v>186</v>
      </c>
      <c r="N224" s="9">
        <v>50</v>
      </c>
      <c r="O224" s="9">
        <v>57</v>
      </c>
      <c r="P224" s="9">
        <v>35</v>
      </c>
      <c r="Q224" s="9">
        <v>179</v>
      </c>
      <c r="R224" s="9">
        <v>105</v>
      </c>
      <c r="S224" s="9">
        <v>48</v>
      </c>
      <c r="T224" s="9">
        <v>21</v>
      </c>
      <c r="U224" s="9">
        <v>130</v>
      </c>
      <c r="V224" s="9">
        <v>62</v>
      </c>
      <c r="W224" s="9">
        <v>15</v>
      </c>
      <c r="X224" s="9">
        <v>23</v>
      </c>
      <c r="Y224" s="9">
        <v>0</v>
      </c>
      <c r="Z224" s="9">
        <v>62</v>
      </c>
      <c r="AA224" s="9">
        <v>39</v>
      </c>
      <c r="AB224" s="9">
        <v>15</v>
      </c>
      <c r="AC224" s="9">
        <v>15</v>
      </c>
      <c r="AD224" s="9">
        <v>47</v>
      </c>
      <c r="AE224" s="9">
        <v>0</v>
      </c>
      <c r="AF224" s="9">
        <v>0</v>
      </c>
      <c r="AG224" s="9">
        <v>7</v>
      </c>
      <c r="AH224" s="9">
        <v>0</v>
      </c>
      <c r="AI224" s="9">
        <v>23</v>
      </c>
      <c r="AJ224" s="9">
        <v>15</v>
      </c>
      <c r="AK224" s="9">
        <v>70</v>
      </c>
      <c r="AL224" s="9">
        <v>31</v>
      </c>
      <c r="AM224" s="9">
        <v>23</v>
      </c>
      <c r="AN224" s="9">
        <v>0</v>
      </c>
      <c r="AO224" s="9">
        <v>0</v>
      </c>
      <c r="AP224" s="9">
        <v>0</v>
      </c>
      <c r="AQ224" s="9">
        <v>15</v>
      </c>
      <c r="AR224" s="9">
        <v>70</v>
      </c>
      <c r="AS224" s="9">
        <v>7</v>
      </c>
      <c r="AT224" s="9">
        <v>23</v>
      </c>
      <c r="AU224" s="9">
        <v>7</v>
      </c>
      <c r="AV224" s="9">
        <v>0</v>
      </c>
      <c r="AW224" s="9">
        <v>54</v>
      </c>
      <c r="AX224" s="9">
        <v>15</v>
      </c>
      <c r="AY224" s="9">
        <v>23</v>
      </c>
      <c r="AZ224" s="9">
        <v>123</v>
      </c>
      <c r="BA224" s="10">
        <v>100.52</v>
      </c>
      <c r="BB224" s="11">
        <v>34938.629999999997</v>
      </c>
      <c r="BC224" s="11">
        <v>20963.18</v>
      </c>
      <c r="BD224" s="11">
        <v>10980.71</v>
      </c>
      <c r="BE224" s="11">
        <v>17968.439999999999</v>
      </c>
      <c r="BF224" s="11">
        <v>14973.7</v>
      </c>
      <c r="BG224" s="11">
        <v>25500</v>
      </c>
      <c r="BH224" s="11">
        <v>11250</v>
      </c>
      <c r="BI224" s="11">
        <v>8956</v>
      </c>
      <c r="BJ224" s="11">
        <v>12014</v>
      </c>
      <c r="BK224" s="11">
        <v>51528</v>
      </c>
      <c r="BL224" s="11">
        <v>40447</v>
      </c>
      <c r="BM224" s="11">
        <v>28127</v>
      </c>
      <c r="BN224" s="11">
        <v>18319</v>
      </c>
      <c r="BO224" s="9">
        <v>148000</v>
      </c>
      <c r="BP224" s="9">
        <v>8949</v>
      </c>
    </row>
    <row r="225" spans="1:68" x14ac:dyDescent="0.3">
      <c r="A225" s="7">
        <v>45515</v>
      </c>
      <c r="B225" s="7" t="str">
        <f t="shared" si="3"/>
        <v>AUGUST</v>
      </c>
      <c r="C225" s="8">
        <f>MONTH(Data!$A225)</f>
        <v>8</v>
      </c>
      <c r="D225" s="9">
        <v>1160</v>
      </c>
      <c r="E225" s="9">
        <v>774</v>
      </c>
      <c r="F225" s="9">
        <v>371</v>
      </c>
      <c r="G225" s="9">
        <v>581</v>
      </c>
      <c r="H225" s="9">
        <v>208</v>
      </c>
      <c r="I225" s="9">
        <v>363</v>
      </c>
      <c r="J225" s="9">
        <v>334</v>
      </c>
      <c r="K225" s="9">
        <v>77</v>
      </c>
      <c r="L225" s="9">
        <v>244</v>
      </c>
      <c r="M225" s="9">
        <v>136</v>
      </c>
      <c r="N225" s="9">
        <v>71</v>
      </c>
      <c r="O225" s="9">
        <v>86</v>
      </c>
      <c r="P225" s="9">
        <v>21</v>
      </c>
      <c r="Q225" s="9">
        <v>185</v>
      </c>
      <c r="R225" s="9">
        <v>145</v>
      </c>
      <c r="S225" s="9">
        <v>39</v>
      </c>
      <c r="T225" s="9">
        <v>30</v>
      </c>
      <c r="U225" s="9">
        <v>203</v>
      </c>
      <c r="V225" s="9">
        <v>54</v>
      </c>
      <c r="W225" s="9">
        <v>0</v>
      </c>
      <c r="X225" s="9">
        <v>30</v>
      </c>
      <c r="Y225" s="9">
        <v>0</v>
      </c>
      <c r="Z225" s="9">
        <v>92</v>
      </c>
      <c r="AA225" s="9">
        <v>38</v>
      </c>
      <c r="AB225" s="9">
        <v>0</v>
      </c>
      <c r="AC225" s="9">
        <v>23</v>
      </c>
      <c r="AD225" s="9">
        <v>38</v>
      </c>
      <c r="AE225" s="9">
        <v>23</v>
      </c>
      <c r="AF225" s="9">
        <v>0</v>
      </c>
      <c r="AG225" s="9">
        <v>30</v>
      </c>
      <c r="AH225" s="9">
        <v>23</v>
      </c>
      <c r="AI225" s="9">
        <v>23</v>
      </c>
      <c r="AJ225" s="9">
        <v>0</v>
      </c>
      <c r="AK225" s="9">
        <v>54</v>
      </c>
      <c r="AL225" s="9">
        <v>15</v>
      </c>
      <c r="AM225" s="9">
        <v>15</v>
      </c>
      <c r="AN225" s="9">
        <v>0</v>
      </c>
      <c r="AO225" s="9">
        <v>0</v>
      </c>
      <c r="AP225" s="9">
        <v>30</v>
      </c>
      <c r="AQ225" s="9">
        <v>15</v>
      </c>
      <c r="AR225" s="9">
        <v>69</v>
      </c>
      <c r="AS225" s="9">
        <v>23</v>
      </c>
      <c r="AT225" s="9">
        <v>23</v>
      </c>
      <c r="AU225" s="9">
        <v>15</v>
      </c>
      <c r="AV225" s="9">
        <v>7</v>
      </c>
      <c r="AW225" s="9">
        <v>54</v>
      </c>
      <c r="AX225" s="9">
        <v>23</v>
      </c>
      <c r="AY225" s="9">
        <v>23</v>
      </c>
      <c r="AZ225" s="9">
        <v>34</v>
      </c>
      <c r="BA225" s="10">
        <v>100.75</v>
      </c>
      <c r="BB225" s="11">
        <v>26136.58</v>
      </c>
      <c r="BC225" s="11">
        <v>14073.54</v>
      </c>
      <c r="BD225" s="11">
        <v>10052.530000000001</v>
      </c>
      <c r="BE225" s="11">
        <v>16084.05</v>
      </c>
      <c r="BF225" s="11">
        <v>34178.61</v>
      </c>
      <c r="BG225" s="11">
        <v>25500</v>
      </c>
      <c r="BH225" s="11">
        <v>11250</v>
      </c>
      <c r="BI225" s="11">
        <v>8956</v>
      </c>
      <c r="BJ225" s="11">
        <v>12014</v>
      </c>
      <c r="BK225" s="11">
        <v>51528</v>
      </c>
      <c r="BL225" s="11">
        <v>40447</v>
      </c>
      <c r="BM225" s="11">
        <v>28127</v>
      </c>
      <c r="BN225" s="11">
        <v>18319</v>
      </c>
      <c r="BO225" s="9">
        <v>148000</v>
      </c>
      <c r="BP225" s="9">
        <v>2847</v>
      </c>
    </row>
    <row r="226" spans="1:68" x14ac:dyDescent="0.3">
      <c r="A226" s="7">
        <v>45516</v>
      </c>
      <c r="B226" s="7" t="str">
        <f t="shared" si="3"/>
        <v>AUGUST</v>
      </c>
      <c r="C226" s="8">
        <f>MONTH(Data!$A226)</f>
        <v>8</v>
      </c>
      <c r="D226" s="9">
        <v>1162</v>
      </c>
      <c r="E226" s="9">
        <v>748</v>
      </c>
      <c r="F226" s="9">
        <v>499</v>
      </c>
      <c r="G226" s="9">
        <v>419</v>
      </c>
      <c r="H226" s="9">
        <v>244</v>
      </c>
      <c r="I226" s="9">
        <v>321</v>
      </c>
      <c r="J226" s="9">
        <v>240</v>
      </c>
      <c r="K226" s="9">
        <v>187</v>
      </c>
      <c r="L226" s="9">
        <v>396</v>
      </c>
      <c r="M226" s="9">
        <v>72</v>
      </c>
      <c r="N226" s="9">
        <v>50</v>
      </c>
      <c r="O226" s="9">
        <v>72</v>
      </c>
      <c r="P226" s="9">
        <v>43</v>
      </c>
      <c r="Q226" s="9">
        <v>194</v>
      </c>
      <c r="R226" s="9">
        <v>114</v>
      </c>
      <c r="S226" s="9">
        <v>48</v>
      </c>
      <c r="T226" s="9">
        <v>61</v>
      </c>
      <c r="U226" s="9">
        <v>112</v>
      </c>
      <c r="V226" s="9">
        <v>82</v>
      </c>
      <c r="W226" s="9">
        <v>0</v>
      </c>
      <c r="X226" s="9">
        <v>44</v>
      </c>
      <c r="Y226" s="9">
        <v>22</v>
      </c>
      <c r="Z226" s="9">
        <v>44</v>
      </c>
      <c r="AA226" s="9">
        <v>44</v>
      </c>
      <c r="AB226" s="9">
        <v>0</v>
      </c>
      <c r="AC226" s="9">
        <v>22</v>
      </c>
      <c r="AD226" s="9">
        <v>29</v>
      </c>
      <c r="AE226" s="9">
        <v>0</v>
      </c>
      <c r="AF226" s="9">
        <v>0</v>
      </c>
      <c r="AG226" s="9">
        <v>37</v>
      </c>
      <c r="AH226" s="9">
        <v>14</v>
      </c>
      <c r="AI226" s="9">
        <v>22</v>
      </c>
      <c r="AJ226" s="9">
        <v>7</v>
      </c>
      <c r="AK226" s="9">
        <v>67</v>
      </c>
      <c r="AL226" s="9">
        <v>7</v>
      </c>
      <c r="AM226" s="9">
        <v>7</v>
      </c>
      <c r="AN226" s="9">
        <v>0</v>
      </c>
      <c r="AO226" s="9">
        <v>7</v>
      </c>
      <c r="AP226" s="9">
        <v>7</v>
      </c>
      <c r="AQ226" s="9">
        <v>29</v>
      </c>
      <c r="AR226" s="9">
        <v>74</v>
      </c>
      <c r="AS226" s="9">
        <v>14</v>
      </c>
      <c r="AT226" s="9">
        <v>37</v>
      </c>
      <c r="AU226" s="9">
        <v>37</v>
      </c>
      <c r="AV226" s="9">
        <v>7</v>
      </c>
      <c r="AW226" s="9">
        <v>7</v>
      </c>
      <c r="AX226" s="9">
        <v>22</v>
      </c>
      <c r="AY226" s="9">
        <v>29</v>
      </c>
      <c r="AZ226" s="9">
        <v>30</v>
      </c>
      <c r="BA226" s="10">
        <v>100.53</v>
      </c>
      <c r="BB226" s="11">
        <v>33250.57</v>
      </c>
      <c r="BC226" s="11">
        <v>24182.23</v>
      </c>
      <c r="BD226" s="11">
        <v>21159.45</v>
      </c>
      <c r="BE226" s="11">
        <v>11083.52</v>
      </c>
      <c r="BF226" s="11">
        <v>11083.52</v>
      </c>
      <c r="BG226" s="11">
        <v>25500</v>
      </c>
      <c r="BH226" s="11">
        <v>11250</v>
      </c>
      <c r="BI226" s="11">
        <v>8956</v>
      </c>
      <c r="BJ226" s="11">
        <v>12014</v>
      </c>
      <c r="BK226" s="11">
        <v>51528</v>
      </c>
      <c r="BL226" s="11">
        <v>40447</v>
      </c>
      <c r="BM226" s="11">
        <v>28127</v>
      </c>
      <c r="BN226" s="11">
        <v>18319</v>
      </c>
      <c r="BO226" s="9">
        <v>148000</v>
      </c>
      <c r="BP226" s="9">
        <v>3555</v>
      </c>
    </row>
    <row r="227" spans="1:68" x14ac:dyDescent="0.3">
      <c r="A227" s="7">
        <v>45517</v>
      </c>
      <c r="B227" s="7" t="str">
        <f t="shared" si="3"/>
        <v>AUGUST</v>
      </c>
      <c r="C227" s="8">
        <f>MONTH(Data!$A227)</f>
        <v>8</v>
      </c>
      <c r="D227" s="9">
        <v>1160</v>
      </c>
      <c r="E227" s="9">
        <v>711</v>
      </c>
      <c r="F227" s="9">
        <v>232</v>
      </c>
      <c r="G227" s="9">
        <v>847</v>
      </c>
      <c r="H227" s="9">
        <v>81</v>
      </c>
      <c r="I227" s="9">
        <v>277</v>
      </c>
      <c r="J227" s="9">
        <v>399</v>
      </c>
      <c r="K227" s="9">
        <v>35</v>
      </c>
      <c r="L227" s="9">
        <v>381</v>
      </c>
      <c r="M227" s="9">
        <v>129</v>
      </c>
      <c r="N227" s="9">
        <v>79</v>
      </c>
      <c r="O227" s="9">
        <v>93</v>
      </c>
      <c r="P227" s="9">
        <v>35</v>
      </c>
      <c r="Q227" s="9">
        <v>171</v>
      </c>
      <c r="R227" s="9">
        <v>39</v>
      </c>
      <c r="S227" s="9">
        <v>52</v>
      </c>
      <c r="T227" s="9">
        <v>35</v>
      </c>
      <c r="U227" s="9">
        <v>146</v>
      </c>
      <c r="V227" s="9">
        <v>78</v>
      </c>
      <c r="W227" s="9">
        <v>21</v>
      </c>
      <c r="X227" s="9">
        <v>35</v>
      </c>
      <c r="Y227" s="9">
        <v>0</v>
      </c>
      <c r="Z227" s="9">
        <v>49</v>
      </c>
      <c r="AA227" s="9">
        <v>42</v>
      </c>
      <c r="AB227" s="9">
        <v>0</v>
      </c>
      <c r="AC227" s="9">
        <v>14</v>
      </c>
      <c r="AD227" s="9">
        <v>21</v>
      </c>
      <c r="AE227" s="9">
        <v>14</v>
      </c>
      <c r="AF227" s="9">
        <v>0</v>
      </c>
      <c r="AG227" s="9">
        <v>21</v>
      </c>
      <c r="AH227" s="9">
        <v>0</v>
      </c>
      <c r="AI227" s="9">
        <v>14</v>
      </c>
      <c r="AJ227" s="9">
        <v>14</v>
      </c>
      <c r="AK227" s="9">
        <v>35</v>
      </c>
      <c r="AL227" s="9">
        <v>7</v>
      </c>
      <c r="AM227" s="9">
        <v>14</v>
      </c>
      <c r="AN227" s="9">
        <v>21</v>
      </c>
      <c r="AO227" s="9">
        <v>0</v>
      </c>
      <c r="AP227" s="9">
        <v>14</v>
      </c>
      <c r="AQ227" s="9">
        <v>21</v>
      </c>
      <c r="AR227" s="9">
        <v>78</v>
      </c>
      <c r="AS227" s="9">
        <v>21</v>
      </c>
      <c r="AT227" s="9">
        <v>49</v>
      </c>
      <c r="AU227" s="9">
        <v>7</v>
      </c>
      <c r="AV227" s="9">
        <v>7</v>
      </c>
      <c r="AW227" s="9">
        <v>7</v>
      </c>
      <c r="AX227" s="9">
        <v>7</v>
      </c>
      <c r="AY227" s="9">
        <v>14</v>
      </c>
      <c r="AZ227" s="9">
        <v>86</v>
      </c>
      <c r="BA227" s="10">
        <v>98.31</v>
      </c>
      <c r="BB227" s="11">
        <v>26136.55</v>
      </c>
      <c r="BC227" s="11">
        <v>15078.78</v>
      </c>
      <c r="BD227" s="11">
        <v>17089.28</v>
      </c>
      <c r="BE227" s="11">
        <v>9047.27</v>
      </c>
      <c r="BF227" s="11">
        <v>33173.31</v>
      </c>
      <c r="BG227" s="11">
        <v>25500</v>
      </c>
      <c r="BH227" s="11">
        <v>11250</v>
      </c>
      <c r="BI227" s="11">
        <v>7688</v>
      </c>
      <c r="BJ227" s="11">
        <v>12014</v>
      </c>
      <c r="BK227" s="11">
        <v>51528</v>
      </c>
      <c r="BL227" s="11">
        <v>40447</v>
      </c>
      <c r="BM227" s="11">
        <v>28127</v>
      </c>
      <c r="BN227" s="11">
        <v>18319</v>
      </c>
      <c r="BO227" s="9">
        <v>148000</v>
      </c>
      <c r="BP227" s="9">
        <v>5572</v>
      </c>
    </row>
    <row r="228" spans="1:68" x14ac:dyDescent="0.3">
      <c r="A228" s="7">
        <v>45518</v>
      </c>
      <c r="B228" s="7" t="str">
        <f t="shared" si="3"/>
        <v>AUGUST</v>
      </c>
      <c r="C228" s="8">
        <f>MONTH(Data!$A228)</f>
        <v>8</v>
      </c>
      <c r="D228" s="9">
        <v>1141</v>
      </c>
      <c r="E228" s="9">
        <v>682</v>
      </c>
      <c r="F228" s="9">
        <v>273</v>
      </c>
      <c r="G228" s="9">
        <v>732</v>
      </c>
      <c r="H228" s="9">
        <v>136</v>
      </c>
      <c r="I228" s="9">
        <v>231</v>
      </c>
      <c r="J228" s="9">
        <v>404</v>
      </c>
      <c r="K228" s="9">
        <v>47</v>
      </c>
      <c r="L228" s="9">
        <v>269</v>
      </c>
      <c r="M228" s="9">
        <v>219</v>
      </c>
      <c r="N228" s="9">
        <v>56</v>
      </c>
      <c r="O228" s="9">
        <v>99</v>
      </c>
      <c r="P228" s="9">
        <v>49</v>
      </c>
      <c r="Q228" s="9">
        <v>238</v>
      </c>
      <c r="R228" s="9">
        <v>147</v>
      </c>
      <c r="S228" s="9">
        <v>30</v>
      </c>
      <c r="T228" s="9">
        <v>34</v>
      </c>
      <c r="U228" s="9">
        <v>0</v>
      </c>
      <c r="V228" s="9">
        <v>75</v>
      </c>
      <c r="W228" s="9">
        <v>6</v>
      </c>
      <c r="X228" s="9">
        <v>27</v>
      </c>
      <c r="Y228" s="9">
        <v>20</v>
      </c>
      <c r="Z228" s="9">
        <v>54</v>
      </c>
      <c r="AA228" s="9">
        <v>47</v>
      </c>
      <c r="AB228" s="9">
        <v>6</v>
      </c>
      <c r="AC228" s="9">
        <v>13</v>
      </c>
      <c r="AD228" s="9">
        <v>13</v>
      </c>
      <c r="AE228" s="9">
        <v>13</v>
      </c>
      <c r="AF228" s="9">
        <v>0</v>
      </c>
      <c r="AG228" s="9">
        <v>34</v>
      </c>
      <c r="AH228" s="9">
        <v>0</v>
      </c>
      <c r="AI228" s="9">
        <v>13</v>
      </c>
      <c r="AJ228" s="9">
        <v>20</v>
      </c>
      <c r="AK228" s="9">
        <v>61</v>
      </c>
      <c r="AL228" s="9">
        <v>34</v>
      </c>
      <c r="AM228" s="9">
        <v>13</v>
      </c>
      <c r="AN228" s="9">
        <v>6</v>
      </c>
      <c r="AO228" s="9">
        <v>0</v>
      </c>
      <c r="AP228" s="9">
        <v>6</v>
      </c>
      <c r="AQ228" s="9">
        <v>27</v>
      </c>
      <c r="AR228" s="9">
        <v>54</v>
      </c>
      <c r="AS228" s="9">
        <v>13</v>
      </c>
      <c r="AT228" s="9">
        <v>61</v>
      </c>
      <c r="AU228" s="9">
        <v>20</v>
      </c>
      <c r="AV228" s="9">
        <v>0</v>
      </c>
      <c r="AW228" s="9">
        <v>40</v>
      </c>
      <c r="AX228" s="9">
        <v>0</v>
      </c>
      <c r="AY228" s="9">
        <v>6</v>
      </c>
      <c r="AZ228" s="9">
        <v>0</v>
      </c>
      <c r="BA228" s="10">
        <v>95.399999999999991</v>
      </c>
      <c r="BB228" s="11">
        <v>28507.68</v>
      </c>
      <c r="BC228" s="11">
        <v>18677.45</v>
      </c>
      <c r="BD228" s="11">
        <v>14745.35</v>
      </c>
      <c r="BE228" s="11">
        <v>13762.33</v>
      </c>
      <c r="BF228" s="11">
        <v>22609.54</v>
      </c>
      <c r="BG228" s="11">
        <v>25500</v>
      </c>
      <c r="BH228" s="11">
        <v>11250</v>
      </c>
      <c r="BI228" s="11">
        <v>7688</v>
      </c>
      <c r="BJ228" s="11">
        <v>12014</v>
      </c>
      <c r="BK228" s="11">
        <v>51528</v>
      </c>
      <c r="BL228" s="11">
        <v>40447</v>
      </c>
      <c r="BM228" s="11">
        <v>28127</v>
      </c>
      <c r="BN228" s="11">
        <v>18319</v>
      </c>
      <c r="BO228" s="9">
        <v>148000</v>
      </c>
      <c r="BP228" s="9">
        <v>5252</v>
      </c>
    </row>
    <row r="229" spans="1:68" x14ac:dyDescent="0.3">
      <c r="A229" s="7">
        <v>45519</v>
      </c>
      <c r="B229" s="7" t="str">
        <f t="shared" si="3"/>
        <v>AUGUST</v>
      </c>
      <c r="C229" s="8">
        <f>MONTH(Data!$A229)</f>
        <v>8</v>
      </c>
      <c r="D229" s="9">
        <v>1116</v>
      </c>
      <c r="E229" s="9">
        <v>667</v>
      </c>
      <c r="F229" s="9">
        <v>468</v>
      </c>
      <c r="G229" s="9">
        <v>425</v>
      </c>
      <c r="H229" s="9">
        <v>223</v>
      </c>
      <c r="I229" s="9">
        <v>340</v>
      </c>
      <c r="J229" s="9">
        <v>181</v>
      </c>
      <c r="K229" s="9">
        <v>146</v>
      </c>
      <c r="L229" s="9">
        <v>243</v>
      </c>
      <c r="M229" s="9">
        <v>228</v>
      </c>
      <c r="N229" s="9">
        <v>69</v>
      </c>
      <c r="O229" s="9">
        <v>76</v>
      </c>
      <c r="P229" s="9">
        <v>48</v>
      </c>
      <c r="Q229" s="9">
        <v>203</v>
      </c>
      <c r="R229" s="9">
        <v>144</v>
      </c>
      <c r="S229" s="9">
        <v>46</v>
      </c>
      <c r="T229" s="9">
        <v>59</v>
      </c>
      <c r="U229" s="9">
        <v>0</v>
      </c>
      <c r="V229" s="9">
        <v>86</v>
      </c>
      <c r="W229" s="9">
        <v>6</v>
      </c>
      <c r="X229" s="9">
        <v>46</v>
      </c>
      <c r="Y229" s="9">
        <v>13</v>
      </c>
      <c r="Z229" s="9">
        <v>85</v>
      </c>
      <c r="AA229" s="9">
        <v>40</v>
      </c>
      <c r="AB229" s="9">
        <v>6</v>
      </c>
      <c r="AC229" s="9">
        <v>0</v>
      </c>
      <c r="AD229" s="9">
        <v>40</v>
      </c>
      <c r="AE229" s="9">
        <v>6</v>
      </c>
      <c r="AF229" s="9">
        <v>0</v>
      </c>
      <c r="AG229" s="9">
        <v>6</v>
      </c>
      <c r="AH229" s="9">
        <v>13</v>
      </c>
      <c r="AI229" s="9">
        <v>13</v>
      </c>
      <c r="AJ229" s="9">
        <v>0</v>
      </c>
      <c r="AK229" s="9">
        <v>26</v>
      </c>
      <c r="AL229" s="9">
        <v>33</v>
      </c>
      <c r="AM229" s="9">
        <v>6</v>
      </c>
      <c r="AN229" s="9">
        <v>6</v>
      </c>
      <c r="AO229" s="9">
        <v>6</v>
      </c>
      <c r="AP229" s="9">
        <v>26</v>
      </c>
      <c r="AQ229" s="9">
        <v>6</v>
      </c>
      <c r="AR229" s="9">
        <v>60</v>
      </c>
      <c r="AS229" s="9">
        <v>20</v>
      </c>
      <c r="AT229" s="9">
        <v>46</v>
      </c>
      <c r="AU229" s="9">
        <v>13</v>
      </c>
      <c r="AV229" s="9">
        <v>6</v>
      </c>
      <c r="AW229" s="9">
        <v>33</v>
      </c>
      <c r="AX229" s="9">
        <v>0</v>
      </c>
      <c r="AY229" s="9">
        <v>20</v>
      </c>
      <c r="AZ229" s="9">
        <v>0</v>
      </c>
      <c r="BA229" s="10">
        <v>93.429999999999993</v>
      </c>
      <c r="BB229" s="11">
        <v>33388.129999999997</v>
      </c>
      <c r="BC229" s="11">
        <v>20986.82</v>
      </c>
      <c r="BD229" s="11">
        <v>17171.04</v>
      </c>
      <c r="BE229" s="11">
        <v>7631.57</v>
      </c>
      <c r="BF229" s="11">
        <v>16217.09</v>
      </c>
      <c r="BG229" s="11">
        <v>22000</v>
      </c>
      <c r="BH229" s="11">
        <v>11250</v>
      </c>
      <c r="BI229" s="11">
        <v>7688</v>
      </c>
      <c r="BJ229" s="11">
        <v>12014</v>
      </c>
      <c r="BK229" s="11">
        <v>51528</v>
      </c>
      <c r="BL229" s="11">
        <v>40447</v>
      </c>
      <c r="BM229" s="11">
        <v>28127</v>
      </c>
      <c r="BN229" s="11">
        <v>18319</v>
      </c>
      <c r="BO229" s="9">
        <v>148000</v>
      </c>
      <c r="BP229" s="9">
        <v>4251</v>
      </c>
    </row>
    <row r="230" spans="1:68" x14ac:dyDescent="0.3">
      <c r="A230" s="7">
        <v>45520</v>
      </c>
      <c r="B230" s="7" t="str">
        <f t="shared" si="3"/>
        <v>AUGUST</v>
      </c>
      <c r="C230" s="8">
        <f>MONTH(Data!$A230)</f>
        <v>8</v>
      </c>
      <c r="D230" s="9">
        <v>1099</v>
      </c>
      <c r="E230" s="9">
        <v>666</v>
      </c>
      <c r="F230" s="9">
        <v>274</v>
      </c>
      <c r="G230" s="9">
        <v>639</v>
      </c>
      <c r="H230" s="9">
        <v>186</v>
      </c>
      <c r="I230" s="9">
        <v>159</v>
      </c>
      <c r="J230" s="9">
        <v>474</v>
      </c>
      <c r="K230" s="9">
        <v>33</v>
      </c>
      <c r="L230" s="9">
        <v>279</v>
      </c>
      <c r="M230" s="9">
        <v>156</v>
      </c>
      <c r="N230" s="9">
        <v>74</v>
      </c>
      <c r="O230" s="9">
        <v>68</v>
      </c>
      <c r="P230" s="9">
        <v>47</v>
      </c>
      <c r="Q230" s="9">
        <v>217</v>
      </c>
      <c r="R230" s="9">
        <v>79</v>
      </c>
      <c r="S230" s="9">
        <v>45</v>
      </c>
      <c r="T230" s="9">
        <v>20</v>
      </c>
      <c r="U230" s="9">
        <v>114</v>
      </c>
      <c r="V230" s="9">
        <v>39</v>
      </c>
      <c r="W230" s="9">
        <v>6</v>
      </c>
      <c r="X230" s="9">
        <v>46</v>
      </c>
      <c r="Y230" s="9">
        <v>13</v>
      </c>
      <c r="Z230" s="9">
        <v>46</v>
      </c>
      <c r="AA230" s="9">
        <v>39</v>
      </c>
      <c r="AB230" s="9">
        <v>6</v>
      </c>
      <c r="AC230" s="9">
        <v>19</v>
      </c>
      <c r="AD230" s="9">
        <v>33</v>
      </c>
      <c r="AE230" s="9">
        <v>19</v>
      </c>
      <c r="AF230" s="9">
        <v>0</v>
      </c>
      <c r="AG230" s="9">
        <v>19</v>
      </c>
      <c r="AH230" s="9">
        <v>0</v>
      </c>
      <c r="AI230" s="9">
        <v>19</v>
      </c>
      <c r="AJ230" s="9">
        <v>13</v>
      </c>
      <c r="AK230" s="9">
        <v>53</v>
      </c>
      <c r="AL230" s="9">
        <v>13</v>
      </c>
      <c r="AM230" s="9">
        <v>6</v>
      </c>
      <c r="AN230" s="9">
        <v>19</v>
      </c>
      <c r="AO230" s="9">
        <v>6</v>
      </c>
      <c r="AP230" s="9">
        <v>6</v>
      </c>
      <c r="AQ230" s="9">
        <v>13</v>
      </c>
      <c r="AR230" s="9">
        <v>66</v>
      </c>
      <c r="AS230" s="9">
        <v>19</v>
      </c>
      <c r="AT230" s="9">
        <v>59</v>
      </c>
      <c r="AU230" s="9">
        <v>26</v>
      </c>
      <c r="AV230" s="9">
        <v>0</v>
      </c>
      <c r="AW230" s="9">
        <v>39</v>
      </c>
      <c r="AX230" s="9">
        <v>13</v>
      </c>
      <c r="AY230" s="9">
        <v>6</v>
      </c>
      <c r="AZ230" s="9">
        <v>5</v>
      </c>
      <c r="BA230" s="10">
        <v>92.52</v>
      </c>
      <c r="BB230" s="11">
        <v>28964.2</v>
      </c>
      <c r="BC230" s="11">
        <v>17752.25</v>
      </c>
      <c r="BD230" s="11">
        <v>15883.59</v>
      </c>
      <c r="BE230" s="11">
        <v>20555.240000000002</v>
      </c>
      <c r="BF230" s="11">
        <v>10277.620000000001</v>
      </c>
      <c r="BG230" s="11">
        <v>22000</v>
      </c>
      <c r="BH230" s="11">
        <v>11250</v>
      </c>
      <c r="BI230" s="11">
        <v>7688</v>
      </c>
      <c r="BJ230" s="11">
        <v>20765</v>
      </c>
      <c r="BK230" s="11">
        <v>51528</v>
      </c>
      <c r="BL230" s="11">
        <v>40447</v>
      </c>
      <c r="BM230" s="11">
        <v>28127</v>
      </c>
      <c r="BN230" s="11">
        <v>18319</v>
      </c>
      <c r="BO230" s="9">
        <v>148000</v>
      </c>
      <c r="BP230" s="9">
        <v>6810</v>
      </c>
    </row>
    <row r="231" spans="1:68" x14ac:dyDescent="0.3">
      <c r="A231" s="7">
        <v>45521</v>
      </c>
      <c r="B231" s="7" t="str">
        <f t="shared" si="3"/>
        <v>AUGUST</v>
      </c>
      <c r="C231" s="8">
        <f>MONTH(Data!$A231)</f>
        <v>8</v>
      </c>
      <c r="D231" s="9">
        <v>1091</v>
      </c>
      <c r="E231" s="9">
        <v>679</v>
      </c>
      <c r="F231" s="9">
        <v>490</v>
      </c>
      <c r="G231" s="9">
        <v>525</v>
      </c>
      <c r="H231" s="9">
        <v>76</v>
      </c>
      <c r="I231" s="9">
        <v>251</v>
      </c>
      <c r="J231" s="9">
        <v>381</v>
      </c>
      <c r="K231" s="9">
        <v>47</v>
      </c>
      <c r="L231" s="9">
        <v>284</v>
      </c>
      <c r="M231" s="9">
        <v>101</v>
      </c>
      <c r="N231" s="9">
        <v>94</v>
      </c>
      <c r="O231" s="9">
        <v>74</v>
      </c>
      <c r="P231" s="9">
        <v>40</v>
      </c>
      <c r="Q231" s="9">
        <v>215</v>
      </c>
      <c r="R231" s="9">
        <v>66</v>
      </c>
      <c r="S231" s="9">
        <v>45</v>
      </c>
      <c r="T231" s="9">
        <v>41</v>
      </c>
      <c r="U231" s="9">
        <v>131</v>
      </c>
      <c r="V231" s="9">
        <v>74</v>
      </c>
      <c r="W231" s="9">
        <v>0</v>
      </c>
      <c r="X231" s="9">
        <v>20</v>
      </c>
      <c r="Y231" s="9">
        <v>6</v>
      </c>
      <c r="Z231" s="9">
        <v>95</v>
      </c>
      <c r="AA231" s="9">
        <v>47</v>
      </c>
      <c r="AB231" s="9">
        <v>6</v>
      </c>
      <c r="AC231" s="9">
        <v>0</v>
      </c>
      <c r="AD231" s="9">
        <v>13</v>
      </c>
      <c r="AE231" s="9">
        <v>20</v>
      </c>
      <c r="AF231" s="9">
        <v>6</v>
      </c>
      <c r="AG231" s="9">
        <v>6</v>
      </c>
      <c r="AH231" s="9">
        <v>13</v>
      </c>
      <c r="AI231" s="9">
        <v>20</v>
      </c>
      <c r="AJ231" s="9">
        <v>6</v>
      </c>
      <c r="AK231" s="9">
        <v>61</v>
      </c>
      <c r="AL231" s="9">
        <v>20</v>
      </c>
      <c r="AM231" s="9">
        <v>13</v>
      </c>
      <c r="AN231" s="9">
        <v>6</v>
      </c>
      <c r="AO231" s="9">
        <v>6</v>
      </c>
      <c r="AP231" s="9">
        <v>27</v>
      </c>
      <c r="AQ231" s="9">
        <v>13</v>
      </c>
      <c r="AR231" s="9">
        <v>74</v>
      </c>
      <c r="AS231" s="9">
        <v>20</v>
      </c>
      <c r="AT231" s="9">
        <v>20</v>
      </c>
      <c r="AU231" s="9">
        <v>6</v>
      </c>
      <c r="AV231" s="9">
        <v>6</v>
      </c>
      <c r="AW231" s="9">
        <v>47</v>
      </c>
      <c r="AX231" s="9">
        <v>0</v>
      </c>
      <c r="AY231" s="9">
        <v>27</v>
      </c>
      <c r="AZ231" s="9">
        <v>1</v>
      </c>
      <c r="BA231" s="10">
        <v>92.969999999999985</v>
      </c>
      <c r="BB231" s="11">
        <v>23128.68</v>
      </c>
      <c r="BC231" s="11">
        <v>17577.8</v>
      </c>
      <c r="BD231" s="11">
        <v>12952.06</v>
      </c>
      <c r="BE231" s="11">
        <v>21278.39</v>
      </c>
      <c r="BF231" s="11">
        <v>17577.8</v>
      </c>
      <c r="BG231" s="11">
        <v>22000</v>
      </c>
      <c r="BH231" s="11">
        <v>11250</v>
      </c>
      <c r="BI231" s="11">
        <v>7688</v>
      </c>
      <c r="BJ231" s="11">
        <v>20765</v>
      </c>
      <c r="BK231" s="11">
        <v>51528</v>
      </c>
      <c r="BL231" s="11">
        <v>40447</v>
      </c>
      <c r="BM231" s="11">
        <v>28127</v>
      </c>
      <c r="BN231" s="11">
        <v>18319</v>
      </c>
      <c r="BO231" s="9">
        <v>148000</v>
      </c>
      <c r="BP231" s="9">
        <v>4290</v>
      </c>
    </row>
    <row r="232" spans="1:68" x14ac:dyDescent="0.3">
      <c r="A232" s="7">
        <v>45522</v>
      </c>
      <c r="B232" s="7" t="str">
        <f t="shared" si="3"/>
        <v>AUGUST</v>
      </c>
      <c r="C232" s="8">
        <f>MONTH(Data!$A232)</f>
        <v>8</v>
      </c>
      <c r="D232" s="9">
        <v>1095</v>
      </c>
      <c r="E232" s="9">
        <v>702</v>
      </c>
      <c r="F232" s="9">
        <v>470</v>
      </c>
      <c r="G232" s="9">
        <v>549</v>
      </c>
      <c r="H232" s="9">
        <v>76</v>
      </c>
      <c r="I232" s="9">
        <v>266</v>
      </c>
      <c r="J232" s="9">
        <v>289</v>
      </c>
      <c r="K232" s="9">
        <v>147</v>
      </c>
      <c r="L232" s="9">
        <v>305</v>
      </c>
      <c r="M232" s="9">
        <v>81</v>
      </c>
      <c r="N232" s="9">
        <v>81</v>
      </c>
      <c r="O232" s="9">
        <v>61</v>
      </c>
      <c r="P232" s="9">
        <v>54</v>
      </c>
      <c r="Q232" s="9">
        <v>187</v>
      </c>
      <c r="R232" s="9">
        <v>112</v>
      </c>
      <c r="S232" s="9">
        <v>41</v>
      </c>
      <c r="T232" s="9">
        <v>41</v>
      </c>
      <c r="U232" s="9">
        <v>132</v>
      </c>
      <c r="V232" s="9">
        <v>56</v>
      </c>
      <c r="W232" s="9">
        <v>14</v>
      </c>
      <c r="X232" s="9">
        <v>21</v>
      </c>
      <c r="Y232" s="9">
        <v>14</v>
      </c>
      <c r="Z232" s="9">
        <v>100</v>
      </c>
      <c r="AA232" s="9">
        <v>42</v>
      </c>
      <c r="AB232" s="9">
        <v>7</v>
      </c>
      <c r="AC232" s="9">
        <v>14</v>
      </c>
      <c r="AD232" s="9">
        <v>35</v>
      </c>
      <c r="AE232" s="9">
        <v>7</v>
      </c>
      <c r="AF232" s="9">
        <v>0</v>
      </c>
      <c r="AG232" s="9">
        <v>28</v>
      </c>
      <c r="AH232" s="9">
        <v>0</v>
      </c>
      <c r="AI232" s="9">
        <v>14</v>
      </c>
      <c r="AJ232" s="9">
        <v>14</v>
      </c>
      <c r="AK232" s="9">
        <v>56</v>
      </c>
      <c r="AL232" s="9">
        <v>49</v>
      </c>
      <c r="AM232" s="9">
        <v>7</v>
      </c>
      <c r="AN232" s="9">
        <v>21</v>
      </c>
      <c r="AO232" s="9">
        <v>7</v>
      </c>
      <c r="AP232" s="9">
        <v>7</v>
      </c>
      <c r="AQ232" s="9">
        <v>7</v>
      </c>
      <c r="AR232" s="9">
        <v>49</v>
      </c>
      <c r="AS232" s="9">
        <v>14</v>
      </c>
      <c r="AT232" s="9">
        <v>28</v>
      </c>
      <c r="AU232" s="9">
        <v>14</v>
      </c>
      <c r="AV232" s="9">
        <v>7</v>
      </c>
      <c r="AW232" s="9">
        <v>21</v>
      </c>
      <c r="AX232" s="9">
        <v>28</v>
      </c>
      <c r="AY232" s="9">
        <v>21</v>
      </c>
      <c r="AZ232" s="9">
        <v>0</v>
      </c>
      <c r="BA232" s="10">
        <v>93.78</v>
      </c>
      <c r="BB232" s="11">
        <v>29751.24</v>
      </c>
      <c r="BC232" s="11">
        <v>13016.17</v>
      </c>
      <c r="BD232" s="11">
        <v>11156.72</v>
      </c>
      <c r="BE232" s="11">
        <v>21383.71</v>
      </c>
      <c r="BF232" s="11">
        <v>17664.8</v>
      </c>
      <c r="BG232" s="11">
        <v>22000</v>
      </c>
      <c r="BH232" s="11">
        <v>11250</v>
      </c>
      <c r="BI232" s="11">
        <v>7688</v>
      </c>
      <c r="BJ232" s="11">
        <v>20765</v>
      </c>
      <c r="BK232" s="11">
        <v>51528</v>
      </c>
      <c r="BL232" s="11">
        <v>40447</v>
      </c>
      <c r="BM232" s="11">
        <v>28127</v>
      </c>
      <c r="BN232" s="11">
        <v>18319</v>
      </c>
      <c r="BO232" s="9">
        <v>148000</v>
      </c>
      <c r="BP232" s="9">
        <v>1211</v>
      </c>
    </row>
    <row r="233" spans="1:68" x14ac:dyDescent="0.3">
      <c r="A233" s="7">
        <v>45523</v>
      </c>
      <c r="B233" s="7" t="str">
        <f t="shared" si="3"/>
        <v>AUGUST</v>
      </c>
      <c r="C233" s="8">
        <f>MONTH(Data!$A233)</f>
        <v>8</v>
      </c>
      <c r="D233" s="9">
        <v>1102</v>
      </c>
      <c r="E233" s="9">
        <v>734</v>
      </c>
      <c r="F233" s="9">
        <v>264</v>
      </c>
      <c r="G233" s="9">
        <v>739</v>
      </c>
      <c r="H233" s="9">
        <v>99</v>
      </c>
      <c r="I233" s="9">
        <v>381</v>
      </c>
      <c r="J233" s="9">
        <v>251</v>
      </c>
      <c r="K233" s="9">
        <v>102</v>
      </c>
      <c r="L233" s="9">
        <v>321</v>
      </c>
      <c r="M233" s="9">
        <v>47</v>
      </c>
      <c r="N233" s="9">
        <v>95</v>
      </c>
      <c r="O233" s="9">
        <v>75</v>
      </c>
      <c r="P233" s="9">
        <v>47</v>
      </c>
      <c r="Q233" s="9">
        <v>167</v>
      </c>
      <c r="R233" s="9">
        <v>113</v>
      </c>
      <c r="S233" s="9">
        <v>37</v>
      </c>
      <c r="T233" s="9">
        <v>29</v>
      </c>
      <c r="U233" s="9">
        <v>171</v>
      </c>
      <c r="V233" s="9">
        <v>29</v>
      </c>
      <c r="W233" s="9">
        <v>7</v>
      </c>
      <c r="X233" s="9">
        <v>44</v>
      </c>
      <c r="Y233" s="9">
        <v>0</v>
      </c>
      <c r="Z233" s="9">
        <v>44</v>
      </c>
      <c r="AA233" s="9">
        <v>36</v>
      </c>
      <c r="AB233" s="9">
        <v>7</v>
      </c>
      <c r="AC233" s="9">
        <v>0</v>
      </c>
      <c r="AD233" s="9">
        <v>22</v>
      </c>
      <c r="AE233" s="9">
        <v>0</v>
      </c>
      <c r="AF233" s="9">
        <v>7</v>
      </c>
      <c r="AG233" s="9">
        <v>7</v>
      </c>
      <c r="AH233" s="9">
        <v>7</v>
      </c>
      <c r="AI233" s="9">
        <v>0</v>
      </c>
      <c r="AJ233" s="9">
        <v>7</v>
      </c>
      <c r="AK233" s="9">
        <v>44</v>
      </c>
      <c r="AL233" s="9">
        <v>7</v>
      </c>
      <c r="AM233" s="9">
        <v>7</v>
      </c>
      <c r="AN233" s="9">
        <v>0</v>
      </c>
      <c r="AO233" s="9">
        <v>7</v>
      </c>
      <c r="AP233" s="9">
        <v>7</v>
      </c>
      <c r="AQ233" s="9">
        <v>14</v>
      </c>
      <c r="AR233" s="9">
        <v>58</v>
      </c>
      <c r="AS233" s="9">
        <v>7</v>
      </c>
      <c r="AT233" s="9">
        <v>29</v>
      </c>
      <c r="AU233" s="9">
        <v>36</v>
      </c>
      <c r="AV233" s="9">
        <v>7</v>
      </c>
      <c r="AW233" s="9">
        <v>51</v>
      </c>
      <c r="AX233" s="9">
        <v>29</v>
      </c>
      <c r="AY233" s="9">
        <v>22</v>
      </c>
      <c r="AZ233" s="9">
        <v>192</v>
      </c>
      <c r="BA233" s="10">
        <v>94.81</v>
      </c>
      <c r="BB233" s="11">
        <v>25319.25</v>
      </c>
      <c r="BC233" s="11">
        <v>15004</v>
      </c>
      <c r="BD233" s="11">
        <v>16879.5</v>
      </c>
      <c r="BE233" s="11">
        <v>10315.25</v>
      </c>
      <c r="BF233" s="11">
        <v>26257</v>
      </c>
      <c r="BG233" s="11">
        <v>22000</v>
      </c>
      <c r="BH233" s="11">
        <v>11250</v>
      </c>
      <c r="BI233" s="11">
        <v>7688</v>
      </c>
      <c r="BJ233" s="11">
        <v>20765</v>
      </c>
      <c r="BK233" s="11">
        <v>51528</v>
      </c>
      <c r="BL233" s="11">
        <v>40447</v>
      </c>
      <c r="BM233" s="11">
        <v>28127</v>
      </c>
      <c r="BN233" s="11">
        <v>18319</v>
      </c>
      <c r="BO233" s="9">
        <v>148000</v>
      </c>
      <c r="BP233" s="9">
        <v>8963</v>
      </c>
    </row>
    <row r="234" spans="1:68" x14ac:dyDescent="0.3">
      <c r="A234" s="7">
        <v>45524</v>
      </c>
      <c r="B234" s="7" t="str">
        <f t="shared" si="3"/>
        <v>AUGUST</v>
      </c>
      <c r="C234" s="8">
        <f>MONTH(Data!$A234)</f>
        <v>8</v>
      </c>
      <c r="D234" s="9">
        <v>1111</v>
      </c>
      <c r="E234" s="9">
        <v>769</v>
      </c>
      <c r="F234" s="9">
        <v>411</v>
      </c>
      <c r="G234" s="9">
        <v>501</v>
      </c>
      <c r="H234" s="9">
        <v>199</v>
      </c>
      <c r="I234" s="9">
        <v>315</v>
      </c>
      <c r="J234" s="9">
        <v>278</v>
      </c>
      <c r="K234" s="9">
        <v>176</v>
      </c>
      <c r="L234" s="9">
        <v>316</v>
      </c>
      <c r="M234" s="9">
        <v>55</v>
      </c>
      <c r="N234" s="9">
        <v>75</v>
      </c>
      <c r="O234" s="9">
        <v>48</v>
      </c>
      <c r="P234" s="9">
        <v>20</v>
      </c>
      <c r="Q234" s="9">
        <v>168</v>
      </c>
      <c r="R234" s="9">
        <v>143</v>
      </c>
      <c r="S234" s="9">
        <v>59</v>
      </c>
      <c r="T234" s="9">
        <v>63</v>
      </c>
      <c r="U234" s="9">
        <v>164</v>
      </c>
      <c r="V234" s="9">
        <v>76</v>
      </c>
      <c r="W234" s="9">
        <v>23</v>
      </c>
      <c r="X234" s="9">
        <v>23</v>
      </c>
      <c r="Y234" s="9">
        <v>15</v>
      </c>
      <c r="Z234" s="9">
        <v>61</v>
      </c>
      <c r="AA234" s="9">
        <v>38</v>
      </c>
      <c r="AB234" s="9">
        <v>0</v>
      </c>
      <c r="AC234" s="9">
        <v>15</v>
      </c>
      <c r="AD234" s="9">
        <v>38</v>
      </c>
      <c r="AE234" s="9">
        <v>7</v>
      </c>
      <c r="AF234" s="9">
        <v>7</v>
      </c>
      <c r="AG234" s="9">
        <v>38</v>
      </c>
      <c r="AH234" s="9">
        <v>23</v>
      </c>
      <c r="AI234" s="9">
        <v>23</v>
      </c>
      <c r="AJ234" s="9">
        <v>0</v>
      </c>
      <c r="AK234" s="9">
        <v>30</v>
      </c>
      <c r="AL234" s="9">
        <v>30</v>
      </c>
      <c r="AM234" s="9">
        <v>38</v>
      </c>
      <c r="AN234" s="9">
        <v>0</v>
      </c>
      <c r="AO234" s="9">
        <v>7</v>
      </c>
      <c r="AP234" s="9">
        <v>0</v>
      </c>
      <c r="AQ234" s="9">
        <v>30</v>
      </c>
      <c r="AR234" s="9">
        <v>53</v>
      </c>
      <c r="AS234" s="9">
        <v>7</v>
      </c>
      <c r="AT234" s="9">
        <v>30</v>
      </c>
      <c r="AU234" s="9">
        <v>30</v>
      </c>
      <c r="AV234" s="9">
        <v>7</v>
      </c>
      <c r="AW234" s="9">
        <v>7</v>
      </c>
      <c r="AX234" s="9">
        <v>0</v>
      </c>
      <c r="AY234" s="9">
        <v>7</v>
      </c>
      <c r="AZ234" s="9">
        <v>106</v>
      </c>
      <c r="BA234" s="10">
        <v>96.77</v>
      </c>
      <c r="BB234" s="11">
        <v>23702.23</v>
      </c>
      <c r="BC234" s="11">
        <v>21806.05</v>
      </c>
      <c r="BD234" s="11">
        <v>9480.89</v>
      </c>
      <c r="BE234" s="11">
        <v>21806.05</v>
      </c>
      <c r="BF234" s="11">
        <v>18013.689999999999</v>
      </c>
      <c r="BG234" s="11">
        <v>22000</v>
      </c>
      <c r="BH234" s="11">
        <v>11250</v>
      </c>
      <c r="BI234" s="11">
        <v>7688</v>
      </c>
      <c r="BJ234" s="11">
        <v>20765</v>
      </c>
      <c r="BK234" s="11">
        <v>51528</v>
      </c>
      <c r="BL234" s="11">
        <v>40447</v>
      </c>
      <c r="BM234" s="11">
        <v>28127</v>
      </c>
      <c r="BN234" s="11">
        <v>18319</v>
      </c>
      <c r="BO234" s="9">
        <v>148000</v>
      </c>
      <c r="BP234" s="9">
        <v>3306</v>
      </c>
    </row>
    <row r="235" spans="1:68" x14ac:dyDescent="0.3">
      <c r="A235" s="7">
        <v>45525</v>
      </c>
      <c r="B235" s="7" t="str">
        <f t="shared" si="3"/>
        <v>AUGUST</v>
      </c>
      <c r="C235" s="8">
        <f>MONTH(Data!$A235)</f>
        <v>8</v>
      </c>
      <c r="D235" s="9">
        <v>1128</v>
      </c>
      <c r="E235" s="9">
        <v>787</v>
      </c>
      <c r="F235" s="9">
        <v>360</v>
      </c>
      <c r="G235" s="9">
        <v>599</v>
      </c>
      <c r="H235" s="9">
        <v>169</v>
      </c>
      <c r="I235" s="9">
        <v>173</v>
      </c>
      <c r="J235" s="9">
        <v>552</v>
      </c>
      <c r="K235" s="9">
        <v>62</v>
      </c>
      <c r="L235" s="9">
        <v>370</v>
      </c>
      <c r="M235" s="9">
        <v>69</v>
      </c>
      <c r="N235" s="9">
        <v>90</v>
      </c>
      <c r="O235" s="9">
        <v>97</v>
      </c>
      <c r="P235" s="9">
        <v>34</v>
      </c>
      <c r="Q235" s="9">
        <v>150</v>
      </c>
      <c r="R235" s="9">
        <v>137</v>
      </c>
      <c r="S235" s="9">
        <v>51</v>
      </c>
      <c r="T235" s="9">
        <v>34</v>
      </c>
      <c r="U235" s="9">
        <v>96</v>
      </c>
      <c r="V235" s="9">
        <v>62</v>
      </c>
      <c r="W235" s="9">
        <v>0</v>
      </c>
      <c r="X235" s="9">
        <v>39</v>
      </c>
      <c r="Y235" s="9">
        <v>23</v>
      </c>
      <c r="Z235" s="9">
        <v>94</v>
      </c>
      <c r="AA235" s="9">
        <v>62</v>
      </c>
      <c r="AB235" s="9">
        <v>15</v>
      </c>
      <c r="AC235" s="9">
        <v>15</v>
      </c>
      <c r="AD235" s="9">
        <v>31</v>
      </c>
      <c r="AE235" s="9">
        <v>23</v>
      </c>
      <c r="AF235" s="9">
        <v>0</v>
      </c>
      <c r="AG235" s="9">
        <v>15</v>
      </c>
      <c r="AH235" s="9">
        <v>7</v>
      </c>
      <c r="AI235" s="9">
        <v>0</v>
      </c>
      <c r="AJ235" s="9">
        <v>15</v>
      </c>
      <c r="AK235" s="9">
        <v>62</v>
      </c>
      <c r="AL235" s="9">
        <v>47</v>
      </c>
      <c r="AM235" s="9">
        <v>15</v>
      </c>
      <c r="AN235" s="9">
        <v>7</v>
      </c>
      <c r="AO235" s="9">
        <v>0</v>
      </c>
      <c r="AP235" s="9">
        <v>31</v>
      </c>
      <c r="AQ235" s="9">
        <v>15</v>
      </c>
      <c r="AR235" s="9">
        <v>78</v>
      </c>
      <c r="AS235" s="9">
        <v>7</v>
      </c>
      <c r="AT235" s="9">
        <v>23</v>
      </c>
      <c r="AU235" s="9">
        <v>23</v>
      </c>
      <c r="AV235" s="9">
        <v>0</v>
      </c>
      <c r="AW235" s="9">
        <v>23</v>
      </c>
      <c r="AX235" s="9">
        <v>0</v>
      </c>
      <c r="AY235" s="9">
        <v>23</v>
      </c>
      <c r="AZ235" s="9">
        <v>32</v>
      </c>
      <c r="BA235" s="10">
        <v>99.320000000000007</v>
      </c>
      <c r="BB235" s="11">
        <v>28062.54</v>
      </c>
      <c r="BC235" s="11">
        <v>13547.43</v>
      </c>
      <c r="BD235" s="11">
        <v>14515.11</v>
      </c>
      <c r="BE235" s="11">
        <v>15482.78</v>
      </c>
      <c r="BF235" s="11">
        <v>25159.52</v>
      </c>
      <c r="BG235" s="11">
        <v>22000</v>
      </c>
      <c r="BH235" s="11">
        <v>11250</v>
      </c>
      <c r="BI235" s="11">
        <v>7688</v>
      </c>
      <c r="BJ235" s="11">
        <v>20765</v>
      </c>
      <c r="BK235" s="11">
        <v>51528</v>
      </c>
      <c r="BL235" s="11">
        <v>40447</v>
      </c>
      <c r="BM235" s="11">
        <v>28127</v>
      </c>
      <c r="BN235" s="11">
        <v>18319</v>
      </c>
      <c r="BO235" s="9">
        <v>148000</v>
      </c>
      <c r="BP235" s="9">
        <v>470</v>
      </c>
    </row>
    <row r="236" spans="1:68" x14ac:dyDescent="0.3">
      <c r="A236" s="7">
        <v>45526</v>
      </c>
      <c r="B236" s="7" t="str">
        <f t="shared" si="3"/>
        <v>AUGUST</v>
      </c>
      <c r="C236" s="8">
        <f>MONTH(Data!$A236)</f>
        <v>8</v>
      </c>
      <c r="D236" s="9">
        <v>1150</v>
      </c>
      <c r="E236" s="9">
        <v>791</v>
      </c>
      <c r="F236" s="9">
        <v>506</v>
      </c>
      <c r="G236" s="9">
        <v>575</v>
      </c>
      <c r="H236" s="9">
        <v>69</v>
      </c>
      <c r="I236" s="9">
        <v>348</v>
      </c>
      <c r="J236" s="9">
        <v>356</v>
      </c>
      <c r="K236" s="9">
        <v>87</v>
      </c>
      <c r="L236" s="9">
        <v>370</v>
      </c>
      <c r="M236" s="9">
        <v>121</v>
      </c>
      <c r="N236" s="9">
        <v>49</v>
      </c>
      <c r="O236" s="9">
        <v>92</v>
      </c>
      <c r="P236" s="9">
        <v>49</v>
      </c>
      <c r="Q236" s="9">
        <v>218</v>
      </c>
      <c r="R236" s="9">
        <v>152</v>
      </c>
      <c r="S236" s="9">
        <v>30</v>
      </c>
      <c r="T236" s="9">
        <v>48</v>
      </c>
      <c r="U236" s="9">
        <v>21</v>
      </c>
      <c r="V236" s="9">
        <v>87</v>
      </c>
      <c r="W236" s="9">
        <v>23</v>
      </c>
      <c r="X236" s="9">
        <v>31</v>
      </c>
      <c r="Y236" s="9">
        <v>15</v>
      </c>
      <c r="Z236" s="9">
        <v>115</v>
      </c>
      <c r="AA236" s="9">
        <v>47</v>
      </c>
      <c r="AB236" s="9">
        <v>0</v>
      </c>
      <c r="AC236" s="9">
        <v>15</v>
      </c>
      <c r="AD236" s="9">
        <v>23</v>
      </c>
      <c r="AE236" s="9">
        <v>7</v>
      </c>
      <c r="AF236" s="9">
        <v>7</v>
      </c>
      <c r="AG236" s="9">
        <v>39</v>
      </c>
      <c r="AH236" s="9">
        <v>15</v>
      </c>
      <c r="AI236" s="9">
        <v>23</v>
      </c>
      <c r="AJ236" s="9">
        <v>15</v>
      </c>
      <c r="AK236" s="9">
        <v>47</v>
      </c>
      <c r="AL236" s="9">
        <v>15</v>
      </c>
      <c r="AM236" s="9">
        <v>7</v>
      </c>
      <c r="AN236" s="9">
        <v>15</v>
      </c>
      <c r="AO236" s="9">
        <v>7</v>
      </c>
      <c r="AP236" s="9">
        <v>7</v>
      </c>
      <c r="AQ236" s="9">
        <v>7</v>
      </c>
      <c r="AR236" s="9">
        <v>87</v>
      </c>
      <c r="AS236" s="9">
        <v>15</v>
      </c>
      <c r="AT236" s="9">
        <v>47</v>
      </c>
      <c r="AU236" s="9">
        <v>31</v>
      </c>
      <c r="AV236" s="9">
        <v>7</v>
      </c>
      <c r="AW236" s="9">
        <v>15</v>
      </c>
      <c r="AX236" s="9">
        <v>7</v>
      </c>
      <c r="AY236" s="9">
        <v>15</v>
      </c>
      <c r="AZ236" s="9">
        <v>0</v>
      </c>
      <c r="BA236" s="10">
        <v>102.33999999999999</v>
      </c>
      <c r="BB236" s="11">
        <v>27808.27</v>
      </c>
      <c r="BC236" s="11">
        <v>22842.51</v>
      </c>
      <c r="BD236" s="11">
        <v>14897.29</v>
      </c>
      <c r="BE236" s="11">
        <v>14897.29</v>
      </c>
      <c r="BF236" s="11">
        <v>18869.900000000001</v>
      </c>
      <c r="BG236" s="11">
        <v>22000</v>
      </c>
      <c r="BH236" s="11">
        <v>11250</v>
      </c>
      <c r="BI236" s="11">
        <v>7688</v>
      </c>
      <c r="BJ236" s="11">
        <v>20765</v>
      </c>
      <c r="BK236" s="11">
        <v>51528</v>
      </c>
      <c r="BL236" s="11">
        <v>40447</v>
      </c>
      <c r="BM236" s="11">
        <v>28127</v>
      </c>
      <c r="BN236" s="11">
        <v>18319</v>
      </c>
      <c r="BO236" s="9">
        <v>148000</v>
      </c>
      <c r="BP236" s="9">
        <v>7079</v>
      </c>
    </row>
    <row r="237" spans="1:68" x14ac:dyDescent="0.3">
      <c r="A237" s="7">
        <v>45527</v>
      </c>
      <c r="B237" s="7" t="str">
        <f t="shared" si="3"/>
        <v>AUGUST</v>
      </c>
      <c r="C237" s="8">
        <f>MONTH(Data!$A237)</f>
        <v>8</v>
      </c>
      <c r="D237" s="9">
        <v>1176</v>
      </c>
      <c r="E237" s="9">
        <v>787</v>
      </c>
      <c r="F237" s="9">
        <v>364</v>
      </c>
      <c r="G237" s="9">
        <v>566</v>
      </c>
      <c r="H237" s="9">
        <v>246</v>
      </c>
      <c r="I237" s="9">
        <v>362</v>
      </c>
      <c r="J237" s="9">
        <v>378</v>
      </c>
      <c r="K237" s="9">
        <v>47</v>
      </c>
      <c r="L237" s="9">
        <v>277</v>
      </c>
      <c r="M237" s="9">
        <v>247</v>
      </c>
      <c r="N237" s="9">
        <v>58</v>
      </c>
      <c r="O237" s="9">
        <v>87</v>
      </c>
      <c r="P237" s="9">
        <v>14</v>
      </c>
      <c r="Q237" s="9">
        <v>169</v>
      </c>
      <c r="R237" s="9">
        <v>111</v>
      </c>
      <c r="S237" s="9">
        <v>67</v>
      </c>
      <c r="T237" s="9">
        <v>49</v>
      </c>
      <c r="U237" s="9">
        <v>97</v>
      </c>
      <c r="V237" s="9">
        <v>62</v>
      </c>
      <c r="W237" s="9">
        <v>7</v>
      </c>
      <c r="X237" s="9">
        <v>55</v>
      </c>
      <c r="Y237" s="9">
        <v>15</v>
      </c>
      <c r="Z237" s="9">
        <v>17</v>
      </c>
      <c r="AA237" s="9">
        <v>62</v>
      </c>
      <c r="AB237" s="9">
        <v>0</v>
      </c>
      <c r="AC237" s="9">
        <v>23</v>
      </c>
      <c r="AD237" s="9">
        <v>23</v>
      </c>
      <c r="AE237" s="9">
        <v>7</v>
      </c>
      <c r="AF237" s="9">
        <v>0</v>
      </c>
      <c r="AG237" s="9">
        <v>23</v>
      </c>
      <c r="AH237" s="9">
        <v>23</v>
      </c>
      <c r="AI237" s="9">
        <v>15</v>
      </c>
      <c r="AJ237" s="9">
        <v>15</v>
      </c>
      <c r="AK237" s="9">
        <v>70</v>
      </c>
      <c r="AL237" s="9">
        <v>39</v>
      </c>
      <c r="AM237" s="9">
        <v>23</v>
      </c>
      <c r="AN237" s="9">
        <v>23</v>
      </c>
      <c r="AO237" s="9">
        <v>0</v>
      </c>
      <c r="AP237" s="9">
        <v>31</v>
      </c>
      <c r="AQ237" s="9">
        <v>23</v>
      </c>
      <c r="AR237" s="9">
        <v>70</v>
      </c>
      <c r="AS237" s="9">
        <v>23</v>
      </c>
      <c r="AT237" s="9">
        <v>47</v>
      </c>
      <c r="AU237" s="9">
        <v>15</v>
      </c>
      <c r="AV237" s="9">
        <v>7</v>
      </c>
      <c r="AW237" s="9">
        <v>23</v>
      </c>
      <c r="AX237" s="9">
        <v>23</v>
      </c>
      <c r="AY237" s="9">
        <v>23</v>
      </c>
      <c r="AZ237" s="9">
        <v>0</v>
      </c>
      <c r="BA237" s="10">
        <v>105.06</v>
      </c>
      <c r="BB237" s="11">
        <v>26610.1</v>
      </c>
      <c r="BC237" s="11">
        <v>24563.16</v>
      </c>
      <c r="BD237" s="11">
        <v>18422.37</v>
      </c>
      <c r="BE237" s="11">
        <v>17398.91</v>
      </c>
      <c r="BF237" s="11">
        <v>15351.98</v>
      </c>
      <c r="BG237" s="11">
        <v>22000</v>
      </c>
      <c r="BH237" s="11">
        <v>11250</v>
      </c>
      <c r="BI237" s="11">
        <v>7688</v>
      </c>
      <c r="BJ237" s="11">
        <v>20765</v>
      </c>
      <c r="BK237" s="11">
        <v>51528</v>
      </c>
      <c r="BL237" s="11">
        <v>40447</v>
      </c>
      <c r="BM237" s="11">
        <v>28127</v>
      </c>
      <c r="BN237" s="11">
        <v>18319</v>
      </c>
      <c r="BO237" s="9">
        <v>148000</v>
      </c>
      <c r="BP237" s="9">
        <v>872</v>
      </c>
    </row>
    <row r="238" spans="1:68" x14ac:dyDescent="0.3">
      <c r="A238" s="7">
        <v>45528</v>
      </c>
      <c r="B238" s="7" t="str">
        <f t="shared" si="3"/>
        <v>AUGUST</v>
      </c>
      <c r="C238" s="8">
        <f>MONTH(Data!$A238)</f>
        <v>8</v>
      </c>
      <c r="D238" s="9">
        <v>1199</v>
      </c>
      <c r="E238" s="9">
        <v>770</v>
      </c>
      <c r="F238" s="9">
        <v>515</v>
      </c>
      <c r="G238" s="9">
        <v>589</v>
      </c>
      <c r="H238" s="9">
        <v>95</v>
      </c>
      <c r="I238" s="9">
        <v>231</v>
      </c>
      <c r="J238" s="9">
        <v>470</v>
      </c>
      <c r="K238" s="9">
        <v>69</v>
      </c>
      <c r="L238" s="9">
        <v>319</v>
      </c>
      <c r="M238" s="9">
        <v>81</v>
      </c>
      <c r="N238" s="9">
        <v>52</v>
      </c>
      <c r="O238" s="9">
        <v>81</v>
      </c>
      <c r="P238" s="9">
        <v>59</v>
      </c>
      <c r="Q238" s="9">
        <v>200</v>
      </c>
      <c r="R238" s="9">
        <v>91</v>
      </c>
      <c r="S238" s="9">
        <v>50</v>
      </c>
      <c r="T238" s="9">
        <v>50</v>
      </c>
      <c r="U238" s="9">
        <v>216</v>
      </c>
      <c r="V238" s="9">
        <v>100</v>
      </c>
      <c r="W238" s="9">
        <v>0</v>
      </c>
      <c r="X238" s="9">
        <v>23</v>
      </c>
      <c r="Y238" s="9">
        <v>0</v>
      </c>
      <c r="Z238" s="9">
        <v>62</v>
      </c>
      <c r="AA238" s="9">
        <v>46</v>
      </c>
      <c r="AB238" s="9">
        <v>15</v>
      </c>
      <c r="AC238" s="9">
        <v>23</v>
      </c>
      <c r="AD238" s="9">
        <v>46</v>
      </c>
      <c r="AE238" s="9">
        <v>7</v>
      </c>
      <c r="AF238" s="9">
        <v>0</v>
      </c>
      <c r="AG238" s="9">
        <v>15</v>
      </c>
      <c r="AH238" s="9">
        <v>0</v>
      </c>
      <c r="AI238" s="9">
        <v>23</v>
      </c>
      <c r="AJ238" s="9">
        <v>23</v>
      </c>
      <c r="AK238" s="9">
        <v>38</v>
      </c>
      <c r="AL238" s="9">
        <v>23</v>
      </c>
      <c r="AM238" s="9">
        <v>7</v>
      </c>
      <c r="AN238" s="9">
        <v>7</v>
      </c>
      <c r="AO238" s="9">
        <v>0</v>
      </c>
      <c r="AP238" s="9">
        <v>23</v>
      </c>
      <c r="AQ238" s="9">
        <v>30</v>
      </c>
      <c r="AR238" s="9">
        <v>84</v>
      </c>
      <c r="AS238" s="9">
        <v>23</v>
      </c>
      <c r="AT238" s="9">
        <v>46</v>
      </c>
      <c r="AU238" s="9">
        <v>23</v>
      </c>
      <c r="AV238" s="9">
        <v>0</v>
      </c>
      <c r="AW238" s="9">
        <v>46</v>
      </c>
      <c r="AX238" s="9">
        <v>7</v>
      </c>
      <c r="AY238" s="9">
        <v>30</v>
      </c>
      <c r="AZ238" s="9">
        <v>0</v>
      </c>
      <c r="BA238" s="10">
        <v>108.11000000000001</v>
      </c>
      <c r="BB238" s="11">
        <v>34666.1</v>
      </c>
      <c r="BC238" s="11">
        <v>19959.27</v>
      </c>
      <c r="BD238" s="11">
        <v>16807.8</v>
      </c>
      <c r="BE238" s="11">
        <v>12605.85</v>
      </c>
      <c r="BF238" s="11">
        <v>21009.759999999998</v>
      </c>
      <c r="BG238" s="11">
        <v>22000</v>
      </c>
      <c r="BH238" s="11">
        <v>11250</v>
      </c>
      <c r="BI238" s="11">
        <v>7688</v>
      </c>
      <c r="BJ238" s="11">
        <v>20765</v>
      </c>
      <c r="BK238" s="11">
        <v>51528</v>
      </c>
      <c r="BL238" s="11">
        <v>40447</v>
      </c>
      <c r="BM238" s="11">
        <v>28127</v>
      </c>
      <c r="BN238" s="11">
        <v>18319</v>
      </c>
      <c r="BO238" s="9">
        <v>148000</v>
      </c>
      <c r="BP238" s="9">
        <v>953</v>
      </c>
    </row>
    <row r="239" spans="1:68" x14ac:dyDescent="0.3">
      <c r="A239" s="7">
        <v>45529</v>
      </c>
      <c r="B239" s="7" t="str">
        <f t="shared" si="3"/>
        <v>AUGUST</v>
      </c>
      <c r="C239" s="8">
        <f>MONTH(Data!$A239)</f>
        <v>8</v>
      </c>
      <c r="D239" s="9">
        <v>1225</v>
      </c>
      <c r="E239" s="9">
        <v>742</v>
      </c>
      <c r="F239" s="9">
        <v>514</v>
      </c>
      <c r="G239" s="9">
        <v>479</v>
      </c>
      <c r="H239" s="9">
        <v>232</v>
      </c>
      <c r="I239" s="9">
        <v>363</v>
      </c>
      <c r="J239" s="9">
        <v>246</v>
      </c>
      <c r="K239" s="9">
        <v>133</v>
      </c>
      <c r="L239" s="9">
        <v>318</v>
      </c>
      <c r="M239" s="9">
        <v>250</v>
      </c>
      <c r="N239" s="9">
        <v>106</v>
      </c>
      <c r="O239" s="9">
        <v>68</v>
      </c>
      <c r="P239" s="9">
        <v>68</v>
      </c>
      <c r="Q239" s="9">
        <v>200</v>
      </c>
      <c r="R239" s="9">
        <v>55</v>
      </c>
      <c r="S239" s="9">
        <v>51</v>
      </c>
      <c r="T239" s="9">
        <v>27</v>
      </c>
      <c r="U239" s="9">
        <v>82</v>
      </c>
      <c r="V239" s="9">
        <v>66</v>
      </c>
      <c r="W239" s="9">
        <v>22</v>
      </c>
      <c r="X239" s="9">
        <v>22</v>
      </c>
      <c r="Y239" s="9">
        <v>22</v>
      </c>
      <c r="Z239" s="9">
        <v>25</v>
      </c>
      <c r="AA239" s="9">
        <v>37</v>
      </c>
      <c r="AB239" s="9">
        <v>22</v>
      </c>
      <c r="AC239" s="9">
        <v>0</v>
      </c>
      <c r="AD239" s="9">
        <v>44</v>
      </c>
      <c r="AE239" s="9">
        <v>14</v>
      </c>
      <c r="AF239" s="9">
        <v>7</v>
      </c>
      <c r="AG239" s="9">
        <v>14</v>
      </c>
      <c r="AH239" s="9">
        <v>0</v>
      </c>
      <c r="AI239" s="9">
        <v>14</v>
      </c>
      <c r="AJ239" s="9">
        <v>7</v>
      </c>
      <c r="AK239" s="9">
        <v>51</v>
      </c>
      <c r="AL239" s="9">
        <v>37</v>
      </c>
      <c r="AM239" s="9">
        <v>37</v>
      </c>
      <c r="AN239" s="9">
        <v>0</v>
      </c>
      <c r="AO239" s="9">
        <v>0</v>
      </c>
      <c r="AP239" s="9">
        <v>22</v>
      </c>
      <c r="AQ239" s="9">
        <v>22</v>
      </c>
      <c r="AR239" s="9">
        <v>81</v>
      </c>
      <c r="AS239" s="9">
        <v>22</v>
      </c>
      <c r="AT239" s="9">
        <v>44</v>
      </c>
      <c r="AU239" s="9">
        <v>37</v>
      </c>
      <c r="AV239" s="9">
        <v>7</v>
      </c>
      <c r="AW239" s="9">
        <v>44</v>
      </c>
      <c r="AX239" s="9">
        <v>22</v>
      </c>
      <c r="AY239" s="9">
        <v>0</v>
      </c>
      <c r="AZ239" s="9">
        <v>0</v>
      </c>
      <c r="BA239" s="10">
        <v>110.64</v>
      </c>
      <c r="BB239" s="11">
        <v>37843.410000000003</v>
      </c>
      <c r="BC239" s="11">
        <v>25949.759999999998</v>
      </c>
      <c r="BD239" s="11">
        <v>12974.88</v>
      </c>
      <c r="BE239" s="11">
        <v>9731.16</v>
      </c>
      <c r="BF239" s="11">
        <v>21624.799999999999</v>
      </c>
      <c r="BG239" s="11">
        <v>22000</v>
      </c>
      <c r="BH239" s="11">
        <v>11250</v>
      </c>
      <c r="BI239" s="11">
        <v>7688</v>
      </c>
      <c r="BJ239" s="11">
        <v>20765</v>
      </c>
      <c r="BK239" s="11">
        <v>51528</v>
      </c>
      <c r="BL239" s="11">
        <v>40447</v>
      </c>
      <c r="BM239" s="11">
        <v>28127</v>
      </c>
      <c r="BN239" s="11">
        <v>18319</v>
      </c>
      <c r="BO239" s="9">
        <v>148000</v>
      </c>
      <c r="BP239" s="9">
        <v>996</v>
      </c>
    </row>
    <row r="240" spans="1:68" x14ac:dyDescent="0.3">
      <c r="A240" s="7">
        <v>45530</v>
      </c>
      <c r="B240" s="7" t="str">
        <f t="shared" si="3"/>
        <v>AUGUST</v>
      </c>
      <c r="C240" s="8">
        <f>MONTH(Data!$A240)</f>
        <v>8</v>
      </c>
      <c r="D240" s="9">
        <v>1246</v>
      </c>
      <c r="E240" s="9">
        <v>701</v>
      </c>
      <c r="F240" s="9">
        <v>361</v>
      </c>
      <c r="G240" s="9">
        <v>711</v>
      </c>
      <c r="H240" s="9">
        <v>174</v>
      </c>
      <c r="I240" s="9">
        <v>224</v>
      </c>
      <c r="J240" s="9">
        <v>337</v>
      </c>
      <c r="K240" s="9">
        <v>140</v>
      </c>
      <c r="L240" s="9">
        <v>316</v>
      </c>
      <c r="M240" s="9">
        <v>100</v>
      </c>
      <c r="N240" s="9">
        <v>108</v>
      </c>
      <c r="O240" s="9">
        <v>100</v>
      </c>
      <c r="P240" s="9">
        <v>30</v>
      </c>
      <c r="Q240" s="9">
        <v>236</v>
      </c>
      <c r="R240" s="9">
        <v>137</v>
      </c>
      <c r="S240" s="9">
        <v>56</v>
      </c>
      <c r="T240" s="9">
        <v>66</v>
      </c>
      <c r="U240" s="9">
        <v>97</v>
      </c>
      <c r="V240" s="9">
        <v>49</v>
      </c>
      <c r="W240" s="9">
        <v>7</v>
      </c>
      <c r="X240" s="9">
        <v>21</v>
      </c>
      <c r="Y240" s="9">
        <v>21</v>
      </c>
      <c r="Z240" s="9">
        <v>50</v>
      </c>
      <c r="AA240" s="9">
        <v>56</v>
      </c>
      <c r="AB240" s="9">
        <v>7</v>
      </c>
      <c r="AC240" s="9">
        <v>0</v>
      </c>
      <c r="AD240" s="9">
        <v>28</v>
      </c>
      <c r="AE240" s="9">
        <v>21</v>
      </c>
      <c r="AF240" s="9">
        <v>0</v>
      </c>
      <c r="AG240" s="9">
        <v>14</v>
      </c>
      <c r="AH240" s="9">
        <v>21</v>
      </c>
      <c r="AI240" s="9">
        <v>14</v>
      </c>
      <c r="AJ240" s="9">
        <v>14</v>
      </c>
      <c r="AK240" s="9">
        <v>35</v>
      </c>
      <c r="AL240" s="9">
        <v>21</v>
      </c>
      <c r="AM240" s="9">
        <v>7</v>
      </c>
      <c r="AN240" s="9">
        <v>21</v>
      </c>
      <c r="AO240" s="9">
        <v>7</v>
      </c>
      <c r="AP240" s="9">
        <v>21</v>
      </c>
      <c r="AQ240" s="9">
        <v>7</v>
      </c>
      <c r="AR240" s="9">
        <v>49</v>
      </c>
      <c r="AS240" s="9">
        <v>21</v>
      </c>
      <c r="AT240" s="9">
        <v>56</v>
      </c>
      <c r="AU240" s="9">
        <v>35</v>
      </c>
      <c r="AV240" s="9">
        <v>7</v>
      </c>
      <c r="AW240" s="9">
        <v>49</v>
      </c>
      <c r="AX240" s="9">
        <v>28</v>
      </c>
      <c r="AY240" s="9">
        <v>14</v>
      </c>
      <c r="AZ240" s="9">
        <v>0</v>
      </c>
      <c r="BA240" s="10">
        <v>112.42999999999999</v>
      </c>
      <c r="BB240" s="11">
        <v>36506.69</v>
      </c>
      <c r="BC240" s="11">
        <v>26550.32</v>
      </c>
      <c r="BD240" s="11">
        <v>27656.58</v>
      </c>
      <c r="BE240" s="11">
        <v>13275.16</v>
      </c>
      <c r="BF240" s="11">
        <v>6637.58</v>
      </c>
      <c r="BG240" s="11">
        <v>22000</v>
      </c>
      <c r="BH240" s="11">
        <v>11250</v>
      </c>
      <c r="BI240" s="11">
        <v>7688</v>
      </c>
      <c r="BJ240" s="11">
        <v>20765</v>
      </c>
      <c r="BK240" s="11">
        <v>51528</v>
      </c>
      <c r="BL240" s="11">
        <v>40447</v>
      </c>
      <c r="BM240" s="11">
        <v>28127</v>
      </c>
      <c r="BN240" s="11">
        <v>18319</v>
      </c>
      <c r="BO240" s="9">
        <v>148000</v>
      </c>
      <c r="BP240" s="9">
        <v>6559</v>
      </c>
    </row>
    <row r="241" spans="1:68" x14ac:dyDescent="0.3">
      <c r="A241" s="7">
        <v>45531</v>
      </c>
      <c r="B241" s="7" t="str">
        <f t="shared" si="3"/>
        <v>AUGUST</v>
      </c>
      <c r="C241" s="8">
        <f>MONTH(Data!$A241)</f>
        <v>8</v>
      </c>
      <c r="D241" s="9">
        <v>1261</v>
      </c>
      <c r="E241" s="9">
        <v>676</v>
      </c>
      <c r="F241" s="9">
        <v>403</v>
      </c>
      <c r="G241" s="9">
        <v>606</v>
      </c>
      <c r="H241" s="9">
        <v>252</v>
      </c>
      <c r="I241" s="9">
        <v>155</v>
      </c>
      <c r="J241" s="9">
        <v>420</v>
      </c>
      <c r="K241" s="9">
        <v>101</v>
      </c>
      <c r="L241" s="9">
        <v>297</v>
      </c>
      <c r="M241" s="9">
        <v>195</v>
      </c>
      <c r="N241" s="9">
        <v>70</v>
      </c>
      <c r="O241" s="9">
        <v>39</v>
      </c>
      <c r="P241" s="9">
        <v>15</v>
      </c>
      <c r="Q241" s="9">
        <v>196</v>
      </c>
      <c r="R241" s="9">
        <v>162</v>
      </c>
      <c r="S241" s="9">
        <v>71</v>
      </c>
      <c r="T241" s="9">
        <v>47</v>
      </c>
      <c r="U241" s="9">
        <v>169</v>
      </c>
      <c r="V241" s="9">
        <v>54</v>
      </c>
      <c r="W241" s="9">
        <v>13</v>
      </c>
      <c r="X241" s="9">
        <v>40</v>
      </c>
      <c r="Y241" s="9">
        <v>20</v>
      </c>
      <c r="Z241" s="9">
        <v>51</v>
      </c>
      <c r="AA241" s="9">
        <v>54</v>
      </c>
      <c r="AB241" s="9">
        <v>20</v>
      </c>
      <c r="AC241" s="9">
        <v>20</v>
      </c>
      <c r="AD241" s="9">
        <v>20</v>
      </c>
      <c r="AE241" s="9">
        <v>6</v>
      </c>
      <c r="AF241" s="9">
        <v>6</v>
      </c>
      <c r="AG241" s="9">
        <v>20</v>
      </c>
      <c r="AH241" s="9">
        <v>0</v>
      </c>
      <c r="AI241" s="9">
        <v>13</v>
      </c>
      <c r="AJ241" s="9">
        <v>0</v>
      </c>
      <c r="AK241" s="9">
        <v>54</v>
      </c>
      <c r="AL241" s="9">
        <v>40</v>
      </c>
      <c r="AM241" s="9">
        <v>13</v>
      </c>
      <c r="AN241" s="9">
        <v>6</v>
      </c>
      <c r="AO241" s="9">
        <v>0</v>
      </c>
      <c r="AP241" s="9">
        <v>13</v>
      </c>
      <c r="AQ241" s="9">
        <v>27</v>
      </c>
      <c r="AR241" s="9">
        <v>54</v>
      </c>
      <c r="AS241" s="9">
        <v>20</v>
      </c>
      <c r="AT241" s="9">
        <v>54</v>
      </c>
      <c r="AU241" s="9">
        <v>20</v>
      </c>
      <c r="AV241" s="9">
        <v>6</v>
      </c>
      <c r="AW241" s="9">
        <v>13</v>
      </c>
      <c r="AX241" s="9">
        <v>6</v>
      </c>
      <c r="AY241" s="9">
        <v>13</v>
      </c>
      <c r="AZ241" s="9">
        <v>0</v>
      </c>
      <c r="BA241" s="10">
        <v>113.51000000000002</v>
      </c>
      <c r="BB241" s="11">
        <v>28106.05</v>
      </c>
      <c r="BC241" s="11">
        <v>28106.05</v>
      </c>
      <c r="BD241" s="11">
        <v>20236.36</v>
      </c>
      <c r="BE241" s="11">
        <v>26981.81</v>
      </c>
      <c r="BF241" s="11">
        <v>8993.94</v>
      </c>
      <c r="BG241" s="11">
        <v>22000</v>
      </c>
      <c r="BH241" s="11">
        <v>11250</v>
      </c>
      <c r="BI241" s="11">
        <v>7688</v>
      </c>
      <c r="BJ241" s="11">
        <v>20765</v>
      </c>
      <c r="BK241" s="11">
        <v>51528</v>
      </c>
      <c r="BL241" s="11">
        <v>40447</v>
      </c>
      <c r="BM241" s="11">
        <v>28127</v>
      </c>
      <c r="BN241" s="11">
        <v>18319</v>
      </c>
      <c r="BO241" s="9">
        <v>148000</v>
      </c>
      <c r="BP241" s="9">
        <v>3836</v>
      </c>
    </row>
    <row r="242" spans="1:68" x14ac:dyDescent="0.3">
      <c r="A242" s="7">
        <v>45532</v>
      </c>
      <c r="B242" s="7" t="str">
        <f t="shared" si="3"/>
        <v>AUGUST</v>
      </c>
      <c r="C242" s="8">
        <f>MONTH(Data!$A242)</f>
        <v>8</v>
      </c>
      <c r="D242" s="9">
        <v>1270</v>
      </c>
      <c r="E242" s="9">
        <v>671</v>
      </c>
      <c r="F242" s="9">
        <v>571</v>
      </c>
      <c r="G242" s="9">
        <v>572</v>
      </c>
      <c r="H242" s="9">
        <v>127</v>
      </c>
      <c r="I242" s="9">
        <v>308</v>
      </c>
      <c r="J242" s="9">
        <v>236</v>
      </c>
      <c r="K242" s="9">
        <v>127</v>
      </c>
      <c r="L242" s="9">
        <v>425</v>
      </c>
      <c r="M242" s="9">
        <v>141</v>
      </c>
      <c r="N242" s="9">
        <v>110</v>
      </c>
      <c r="O242" s="9">
        <v>39</v>
      </c>
      <c r="P242" s="9">
        <v>39</v>
      </c>
      <c r="Q242" s="9">
        <v>241</v>
      </c>
      <c r="R242" s="9">
        <v>91</v>
      </c>
      <c r="S242" s="9">
        <v>53</v>
      </c>
      <c r="T242" s="9">
        <v>57</v>
      </c>
      <c r="U242" s="9">
        <v>74</v>
      </c>
      <c r="V242" s="9">
        <v>93</v>
      </c>
      <c r="W242" s="9">
        <v>0</v>
      </c>
      <c r="X242" s="9">
        <v>40</v>
      </c>
      <c r="Y242" s="9">
        <v>6</v>
      </c>
      <c r="Z242" s="9">
        <v>67</v>
      </c>
      <c r="AA242" s="9">
        <v>60</v>
      </c>
      <c r="AB242" s="9">
        <v>6</v>
      </c>
      <c r="AC242" s="9">
        <v>20</v>
      </c>
      <c r="AD242" s="9">
        <v>40</v>
      </c>
      <c r="AE242" s="9">
        <v>20</v>
      </c>
      <c r="AF242" s="9">
        <v>6</v>
      </c>
      <c r="AG242" s="9">
        <v>26</v>
      </c>
      <c r="AH242" s="9">
        <v>13</v>
      </c>
      <c r="AI242" s="9">
        <v>13</v>
      </c>
      <c r="AJ242" s="9">
        <v>20</v>
      </c>
      <c r="AK242" s="9">
        <v>46</v>
      </c>
      <c r="AL242" s="9">
        <v>20</v>
      </c>
      <c r="AM242" s="9">
        <v>26</v>
      </c>
      <c r="AN242" s="9">
        <v>13</v>
      </c>
      <c r="AO242" s="9">
        <v>0</v>
      </c>
      <c r="AP242" s="9">
        <v>26</v>
      </c>
      <c r="AQ242" s="9">
        <v>26</v>
      </c>
      <c r="AR242" s="9">
        <v>0</v>
      </c>
      <c r="AS242" s="9">
        <v>0</v>
      </c>
      <c r="AT242" s="9">
        <v>0</v>
      </c>
      <c r="AU242" s="9">
        <v>12</v>
      </c>
      <c r="AV242" s="9">
        <v>6</v>
      </c>
      <c r="AW242" s="9">
        <v>26</v>
      </c>
      <c r="AX242" s="9">
        <v>20</v>
      </c>
      <c r="AY242" s="9">
        <v>20</v>
      </c>
      <c r="AZ242" s="9">
        <v>0</v>
      </c>
      <c r="BA242" s="10">
        <v>114</v>
      </c>
      <c r="BB242" s="11">
        <v>29511.94</v>
      </c>
      <c r="BC242" s="11">
        <v>24971.64</v>
      </c>
      <c r="BD242" s="11">
        <v>20431.34</v>
      </c>
      <c r="BE242" s="11">
        <v>17026.12</v>
      </c>
      <c r="BF242" s="11">
        <v>21566.42</v>
      </c>
      <c r="BG242" s="11">
        <v>22000</v>
      </c>
      <c r="BH242" s="11">
        <v>11250</v>
      </c>
      <c r="BI242" s="11">
        <v>7688</v>
      </c>
      <c r="BJ242" s="11">
        <v>20765</v>
      </c>
      <c r="BK242" s="11">
        <v>51528</v>
      </c>
      <c r="BL242" s="11">
        <v>40447</v>
      </c>
      <c r="BM242" s="11">
        <v>28127</v>
      </c>
      <c r="BN242" s="11">
        <v>18319</v>
      </c>
      <c r="BO242" s="9">
        <v>148000</v>
      </c>
      <c r="BP242" s="9">
        <v>3781</v>
      </c>
    </row>
    <row r="243" spans="1:68" x14ac:dyDescent="0.3">
      <c r="A243" s="7">
        <v>45533</v>
      </c>
      <c r="B243" s="7" t="str">
        <f t="shared" si="3"/>
        <v>AUGUST</v>
      </c>
      <c r="C243" s="8">
        <f>MONTH(Data!$A243)</f>
        <v>8</v>
      </c>
      <c r="D243" s="9">
        <v>1274</v>
      </c>
      <c r="E243" s="9">
        <v>672</v>
      </c>
      <c r="F243" s="9">
        <v>267</v>
      </c>
      <c r="G243" s="9">
        <v>944</v>
      </c>
      <c r="H243" s="9">
        <v>63</v>
      </c>
      <c r="I243" s="9">
        <v>349</v>
      </c>
      <c r="J243" s="9">
        <v>276</v>
      </c>
      <c r="K243" s="9">
        <v>47</v>
      </c>
      <c r="L243" s="9">
        <v>363</v>
      </c>
      <c r="M243" s="9">
        <v>78</v>
      </c>
      <c r="N243" s="9">
        <v>110</v>
      </c>
      <c r="O243" s="9">
        <v>47</v>
      </c>
      <c r="P243" s="9">
        <v>23</v>
      </c>
      <c r="Q243" s="9">
        <v>198</v>
      </c>
      <c r="R243" s="9">
        <v>33</v>
      </c>
      <c r="S243" s="9">
        <v>62</v>
      </c>
      <c r="T243" s="9">
        <v>53</v>
      </c>
      <c r="U243" s="9">
        <v>307</v>
      </c>
      <c r="V243" s="9">
        <v>47</v>
      </c>
      <c r="W243" s="9">
        <v>0</v>
      </c>
      <c r="X243" s="9">
        <v>47</v>
      </c>
      <c r="Y243" s="9">
        <v>13</v>
      </c>
      <c r="Z243" s="9">
        <v>73</v>
      </c>
      <c r="AA243" s="9">
        <v>40</v>
      </c>
      <c r="AB243" s="9">
        <v>6</v>
      </c>
      <c r="AC243" s="9">
        <v>20</v>
      </c>
      <c r="AD243" s="9">
        <v>40</v>
      </c>
      <c r="AE243" s="9">
        <v>6</v>
      </c>
      <c r="AF243" s="9">
        <v>0</v>
      </c>
      <c r="AG243" s="9">
        <v>13</v>
      </c>
      <c r="AH243" s="9">
        <v>13</v>
      </c>
      <c r="AI243" s="9">
        <v>6</v>
      </c>
      <c r="AJ243" s="9">
        <v>20</v>
      </c>
      <c r="AK243" s="9">
        <v>47</v>
      </c>
      <c r="AL243" s="9">
        <v>20</v>
      </c>
      <c r="AM243" s="9">
        <v>13</v>
      </c>
      <c r="AN243" s="9">
        <v>6</v>
      </c>
      <c r="AO243" s="9">
        <v>6</v>
      </c>
      <c r="AP243" s="9">
        <v>26</v>
      </c>
      <c r="AQ243" s="9">
        <v>26</v>
      </c>
      <c r="AR243" s="9">
        <v>47</v>
      </c>
      <c r="AS243" s="9">
        <v>6</v>
      </c>
      <c r="AT243" s="9">
        <v>40</v>
      </c>
      <c r="AU243" s="9">
        <v>26</v>
      </c>
      <c r="AV243" s="9">
        <v>0</v>
      </c>
      <c r="AW243" s="9">
        <v>20</v>
      </c>
      <c r="AX243" s="9">
        <v>13</v>
      </c>
      <c r="AY243" s="9">
        <v>26</v>
      </c>
      <c r="AZ243" s="9">
        <v>6</v>
      </c>
      <c r="BA243" s="10">
        <v>114.11</v>
      </c>
      <c r="BB243" s="11">
        <v>29637.42</v>
      </c>
      <c r="BC243" s="11">
        <v>21658.12</v>
      </c>
      <c r="BD243" s="11">
        <v>15958.61</v>
      </c>
      <c r="BE243" s="11">
        <v>21658.12</v>
      </c>
      <c r="BF243" s="11">
        <v>25077.82</v>
      </c>
      <c r="BG243" s="11">
        <v>22000</v>
      </c>
      <c r="BH243" s="11">
        <v>11250</v>
      </c>
      <c r="BI243" s="11">
        <v>7688</v>
      </c>
      <c r="BJ243" s="11">
        <v>12052</v>
      </c>
      <c r="BK243" s="11">
        <v>51528</v>
      </c>
      <c r="BL243" s="11">
        <v>40447</v>
      </c>
      <c r="BM243" s="11">
        <v>28127</v>
      </c>
      <c r="BN243" s="11">
        <v>18319</v>
      </c>
      <c r="BO243" s="9">
        <v>148000</v>
      </c>
      <c r="BP243" s="9">
        <v>312</v>
      </c>
    </row>
    <row r="244" spans="1:68" x14ac:dyDescent="0.3">
      <c r="A244" s="7">
        <v>45534</v>
      </c>
      <c r="B244" s="7" t="str">
        <f t="shared" si="3"/>
        <v>AUGUST</v>
      </c>
      <c r="C244" s="8">
        <f>MONTH(Data!$A244)</f>
        <v>8</v>
      </c>
      <c r="D244" s="9">
        <v>1275</v>
      </c>
      <c r="E244" s="9">
        <v>685</v>
      </c>
      <c r="F244" s="9">
        <v>459</v>
      </c>
      <c r="G244" s="9">
        <v>600</v>
      </c>
      <c r="H244" s="9">
        <v>216</v>
      </c>
      <c r="I244" s="9">
        <v>226</v>
      </c>
      <c r="J244" s="9">
        <v>364</v>
      </c>
      <c r="K244" s="9">
        <v>95</v>
      </c>
      <c r="L244" s="9">
        <v>337</v>
      </c>
      <c r="M244" s="9">
        <v>245</v>
      </c>
      <c r="N244" s="9">
        <v>118</v>
      </c>
      <c r="O244" s="9">
        <v>102</v>
      </c>
      <c r="P244" s="9">
        <v>39</v>
      </c>
      <c r="Q244" s="9">
        <v>203</v>
      </c>
      <c r="R244" s="9">
        <v>130</v>
      </c>
      <c r="S244" s="9">
        <v>48</v>
      </c>
      <c r="T244" s="9">
        <v>53</v>
      </c>
      <c r="U244" s="9">
        <v>0</v>
      </c>
      <c r="V244" s="9">
        <v>47</v>
      </c>
      <c r="W244" s="9">
        <v>6</v>
      </c>
      <c r="X244" s="9">
        <v>41</v>
      </c>
      <c r="Y244" s="9">
        <v>0</v>
      </c>
      <c r="Z244" s="9">
        <v>36</v>
      </c>
      <c r="AA244" s="9">
        <v>61</v>
      </c>
      <c r="AB244" s="9">
        <v>6</v>
      </c>
      <c r="AC244" s="9">
        <v>6</v>
      </c>
      <c r="AD244" s="9">
        <v>27</v>
      </c>
      <c r="AE244" s="9">
        <v>20</v>
      </c>
      <c r="AF244" s="9">
        <v>0</v>
      </c>
      <c r="AG244" s="9">
        <v>27</v>
      </c>
      <c r="AH244" s="9">
        <v>20</v>
      </c>
      <c r="AI244" s="9">
        <v>0</v>
      </c>
      <c r="AJ244" s="9">
        <v>13</v>
      </c>
      <c r="AK244" s="9">
        <v>54</v>
      </c>
      <c r="AL244" s="9">
        <v>20</v>
      </c>
      <c r="AM244" s="9">
        <v>34</v>
      </c>
      <c r="AN244" s="9">
        <v>6</v>
      </c>
      <c r="AO244" s="9">
        <v>6</v>
      </c>
      <c r="AP244" s="9">
        <v>20</v>
      </c>
      <c r="AQ244" s="9">
        <v>6</v>
      </c>
      <c r="AR244" s="9">
        <v>75</v>
      </c>
      <c r="AS244" s="9">
        <v>20</v>
      </c>
      <c r="AT244" s="9">
        <v>47</v>
      </c>
      <c r="AU244" s="9">
        <v>20</v>
      </c>
      <c r="AV244" s="9">
        <v>0</v>
      </c>
      <c r="AW244" s="9">
        <v>13</v>
      </c>
      <c r="AX244" s="9">
        <v>27</v>
      </c>
      <c r="AY244" s="9">
        <v>27</v>
      </c>
      <c r="AZ244" s="9">
        <v>0</v>
      </c>
      <c r="BA244" s="10">
        <v>113</v>
      </c>
      <c r="BB244" s="11">
        <v>34233.26</v>
      </c>
      <c r="BC244" s="11">
        <v>28527.72</v>
      </c>
      <c r="BD244" s="11">
        <v>17116.63</v>
      </c>
      <c r="BE244" s="11">
        <v>14834.41</v>
      </c>
      <c r="BF244" s="11">
        <v>19398.849999999999</v>
      </c>
      <c r="BG244" s="11">
        <v>22000</v>
      </c>
      <c r="BH244" s="11">
        <v>11250</v>
      </c>
      <c r="BI244" s="11">
        <v>7688</v>
      </c>
      <c r="BJ244" s="11">
        <v>12052</v>
      </c>
      <c r="BK244" s="11">
        <v>51528</v>
      </c>
      <c r="BL244" s="11">
        <v>40447</v>
      </c>
      <c r="BM244" s="11">
        <v>28127</v>
      </c>
      <c r="BN244" s="11">
        <v>18319</v>
      </c>
      <c r="BO244" s="9">
        <v>148000</v>
      </c>
      <c r="BP244" s="9">
        <v>2451</v>
      </c>
    </row>
    <row r="245" spans="1:68" x14ac:dyDescent="0.3">
      <c r="A245" s="7">
        <v>45535</v>
      </c>
      <c r="B245" s="7" t="str">
        <f t="shared" si="3"/>
        <v>AUGUST</v>
      </c>
      <c r="C245" s="8">
        <f>MONTH(Data!$A245)</f>
        <v>8</v>
      </c>
      <c r="D245" s="9">
        <v>1271</v>
      </c>
      <c r="E245" s="9">
        <v>706</v>
      </c>
      <c r="F245" s="9">
        <v>317</v>
      </c>
      <c r="G245" s="9">
        <v>815</v>
      </c>
      <c r="H245" s="9">
        <v>139</v>
      </c>
      <c r="I245" s="9">
        <v>367</v>
      </c>
      <c r="J245" s="9">
        <v>290</v>
      </c>
      <c r="K245" s="9">
        <v>49</v>
      </c>
      <c r="L245" s="9">
        <v>338</v>
      </c>
      <c r="M245" s="9">
        <v>55</v>
      </c>
      <c r="N245" s="9">
        <v>70</v>
      </c>
      <c r="O245" s="9">
        <v>86</v>
      </c>
      <c r="P245" s="9">
        <v>78</v>
      </c>
      <c r="Q245" s="9">
        <v>193</v>
      </c>
      <c r="R245" s="9">
        <v>48</v>
      </c>
      <c r="S245" s="9">
        <v>72</v>
      </c>
      <c r="T245" s="9">
        <v>67</v>
      </c>
      <c r="U245" s="9">
        <v>264</v>
      </c>
      <c r="V245" s="9">
        <v>70</v>
      </c>
      <c r="W245" s="9">
        <v>21</v>
      </c>
      <c r="X245" s="9">
        <v>35</v>
      </c>
      <c r="Y245" s="9">
        <v>14</v>
      </c>
      <c r="Z245" s="9">
        <v>70</v>
      </c>
      <c r="AA245" s="9">
        <v>56</v>
      </c>
      <c r="AB245" s="9">
        <v>0</v>
      </c>
      <c r="AC245" s="9">
        <v>7</v>
      </c>
      <c r="AD245" s="9">
        <v>35</v>
      </c>
      <c r="AE245" s="9">
        <v>0</v>
      </c>
      <c r="AF245" s="9">
        <v>0</v>
      </c>
      <c r="AG245" s="9">
        <v>35</v>
      </c>
      <c r="AH245" s="9">
        <v>7</v>
      </c>
      <c r="AI245" s="9">
        <v>14</v>
      </c>
      <c r="AJ245" s="9">
        <v>0</v>
      </c>
      <c r="AK245" s="9">
        <v>56</v>
      </c>
      <c r="AL245" s="9">
        <v>28</v>
      </c>
      <c r="AM245" s="9">
        <v>21</v>
      </c>
      <c r="AN245" s="9">
        <v>14</v>
      </c>
      <c r="AO245" s="9">
        <v>7</v>
      </c>
      <c r="AP245" s="9">
        <v>14</v>
      </c>
      <c r="AQ245" s="9">
        <v>14</v>
      </c>
      <c r="AR245" s="9">
        <v>77</v>
      </c>
      <c r="AS245" s="9">
        <v>7</v>
      </c>
      <c r="AT245" s="9">
        <v>42</v>
      </c>
      <c r="AU245" s="9">
        <v>21</v>
      </c>
      <c r="AV245" s="9">
        <v>0</v>
      </c>
      <c r="AW245" s="9">
        <v>14</v>
      </c>
      <c r="AX245" s="9">
        <v>7</v>
      </c>
      <c r="AY245" s="9">
        <v>7</v>
      </c>
      <c r="AZ245" s="9">
        <v>13</v>
      </c>
      <c r="BA245" s="10">
        <v>113</v>
      </c>
      <c r="BB245" s="11">
        <v>38420</v>
      </c>
      <c r="BC245" s="11">
        <v>24860</v>
      </c>
      <c r="BD245" s="11">
        <v>13560</v>
      </c>
      <c r="BE245" s="11">
        <v>18080</v>
      </c>
      <c r="BF245" s="11">
        <v>18080</v>
      </c>
      <c r="BG245" s="11">
        <v>22000</v>
      </c>
      <c r="BH245" s="11">
        <v>11250</v>
      </c>
      <c r="BI245" s="11">
        <v>7688</v>
      </c>
      <c r="BJ245" s="11">
        <v>12052</v>
      </c>
      <c r="BK245" s="11">
        <v>51528</v>
      </c>
      <c r="BL245" s="11">
        <v>40447</v>
      </c>
      <c r="BM245" s="11">
        <v>28127</v>
      </c>
      <c r="BN245" s="11">
        <v>18319</v>
      </c>
      <c r="BO245" s="9">
        <v>148000</v>
      </c>
      <c r="BP245" s="9">
        <v>7538</v>
      </c>
    </row>
    <row r="246" spans="1:68" x14ac:dyDescent="0.3">
      <c r="A246" s="7">
        <v>45536</v>
      </c>
      <c r="B246" s="7" t="str">
        <f t="shared" si="3"/>
        <v>SEPTEMBER</v>
      </c>
      <c r="C246" s="8">
        <f>MONTH(Data!$A246)</f>
        <v>9</v>
      </c>
      <c r="D246" s="9">
        <v>1258</v>
      </c>
      <c r="E246" s="9">
        <v>842</v>
      </c>
      <c r="F246" s="9">
        <v>490</v>
      </c>
      <c r="G246" s="9">
        <v>504</v>
      </c>
      <c r="H246" s="9">
        <v>264</v>
      </c>
      <c r="I246" s="9">
        <v>328</v>
      </c>
      <c r="J246" s="9">
        <v>380</v>
      </c>
      <c r="K246" s="9">
        <v>134</v>
      </c>
      <c r="L246" s="9">
        <v>272</v>
      </c>
      <c r="M246" s="9">
        <v>132</v>
      </c>
      <c r="N246" s="9">
        <v>116</v>
      </c>
      <c r="O246" s="9">
        <v>93</v>
      </c>
      <c r="P246" s="9">
        <v>23</v>
      </c>
      <c r="Q246" s="9">
        <v>224</v>
      </c>
      <c r="R246" s="9">
        <v>152</v>
      </c>
      <c r="S246" s="9">
        <v>62</v>
      </c>
      <c r="T246" s="9">
        <v>57</v>
      </c>
      <c r="U246" s="9">
        <v>127</v>
      </c>
      <c r="V246" s="9">
        <v>42</v>
      </c>
      <c r="W246" s="9">
        <v>16</v>
      </c>
      <c r="X246" s="9">
        <v>42</v>
      </c>
      <c r="Y246" s="9">
        <v>8</v>
      </c>
      <c r="Z246" s="9">
        <v>67</v>
      </c>
      <c r="AA246" s="9">
        <v>42</v>
      </c>
      <c r="AB246" s="9">
        <v>16</v>
      </c>
      <c r="AC246" s="9">
        <v>16</v>
      </c>
      <c r="AD246" s="9">
        <v>16</v>
      </c>
      <c r="AE246" s="9">
        <v>16</v>
      </c>
      <c r="AF246" s="9">
        <v>8</v>
      </c>
      <c r="AG246" s="9">
        <v>42</v>
      </c>
      <c r="AH246" s="9">
        <v>16</v>
      </c>
      <c r="AI246" s="9">
        <v>0</v>
      </c>
      <c r="AJ246" s="9">
        <v>25</v>
      </c>
      <c r="AK246" s="9">
        <v>75</v>
      </c>
      <c r="AL246" s="9">
        <v>50</v>
      </c>
      <c r="AM246" s="9">
        <v>8</v>
      </c>
      <c r="AN246" s="9">
        <v>8</v>
      </c>
      <c r="AO246" s="9">
        <v>8</v>
      </c>
      <c r="AP246" s="9">
        <v>0</v>
      </c>
      <c r="AQ246" s="9">
        <v>16</v>
      </c>
      <c r="AR246" s="9">
        <v>75</v>
      </c>
      <c r="AS246" s="9">
        <v>25</v>
      </c>
      <c r="AT246" s="9">
        <v>25</v>
      </c>
      <c r="AU246" s="9">
        <v>25</v>
      </c>
      <c r="AV246" s="9">
        <v>8</v>
      </c>
      <c r="AW246" s="9">
        <v>33</v>
      </c>
      <c r="AX246" s="9">
        <v>0</v>
      </c>
      <c r="AY246" s="9">
        <v>33</v>
      </c>
      <c r="AZ246" s="9">
        <v>81</v>
      </c>
      <c r="BA246" s="10">
        <v>114.19</v>
      </c>
      <c r="BB246" s="11">
        <v>38420</v>
      </c>
      <c r="BC246" s="11">
        <v>24860</v>
      </c>
      <c r="BD246" s="11">
        <v>13560</v>
      </c>
      <c r="BE246" s="11">
        <v>18080</v>
      </c>
      <c r="BF246" s="11">
        <v>18080</v>
      </c>
      <c r="BG246" s="11">
        <v>22000</v>
      </c>
      <c r="BH246" s="11">
        <v>10000</v>
      </c>
      <c r="BI246" s="11">
        <v>7688</v>
      </c>
      <c r="BJ246" s="11">
        <v>12052</v>
      </c>
      <c r="BK246" s="11">
        <v>60889</v>
      </c>
      <c r="BL246" s="11">
        <v>47668</v>
      </c>
      <c r="BM246" s="11">
        <v>34859</v>
      </c>
      <c r="BN246" s="11">
        <v>23168</v>
      </c>
      <c r="BO246" s="9">
        <v>187000</v>
      </c>
      <c r="BP246" s="9">
        <v>7011</v>
      </c>
    </row>
    <row r="247" spans="1:68" x14ac:dyDescent="0.3">
      <c r="A247" s="7">
        <v>45537</v>
      </c>
      <c r="B247" s="7" t="str">
        <f t="shared" si="3"/>
        <v>SEPTEMBER</v>
      </c>
      <c r="C247" s="8">
        <f>MONTH(Data!$A247)</f>
        <v>9</v>
      </c>
      <c r="D247" s="9">
        <v>1242</v>
      </c>
      <c r="E247" s="9">
        <v>879</v>
      </c>
      <c r="F247" s="9">
        <v>521</v>
      </c>
      <c r="G247" s="9">
        <v>423</v>
      </c>
      <c r="H247" s="9">
        <v>298</v>
      </c>
      <c r="I247" s="9">
        <v>246</v>
      </c>
      <c r="J247" s="9">
        <v>423</v>
      </c>
      <c r="K247" s="9">
        <v>210</v>
      </c>
      <c r="L247" s="9">
        <v>331</v>
      </c>
      <c r="M247" s="9">
        <v>238</v>
      </c>
      <c r="N247" s="9">
        <v>61</v>
      </c>
      <c r="O247" s="9">
        <v>92</v>
      </c>
      <c r="P247" s="9">
        <v>69</v>
      </c>
      <c r="Q247" s="9">
        <v>231</v>
      </c>
      <c r="R247" s="9">
        <v>94</v>
      </c>
      <c r="S247" s="9">
        <v>56</v>
      </c>
      <c r="T247" s="9">
        <v>70</v>
      </c>
      <c r="U247" s="9">
        <v>0</v>
      </c>
      <c r="V247" s="9">
        <v>105</v>
      </c>
      <c r="W247" s="9">
        <v>17</v>
      </c>
      <c r="X247" s="9">
        <v>26</v>
      </c>
      <c r="Y247" s="9">
        <v>17</v>
      </c>
      <c r="Z247" s="9">
        <v>118</v>
      </c>
      <c r="AA247" s="9">
        <v>61</v>
      </c>
      <c r="AB247" s="9">
        <v>26</v>
      </c>
      <c r="AC247" s="9">
        <v>8</v>
      </c>
      <c r="AD247" s="9">
        <v>35</v>
      </c>
      <c r="AE247" s="9">
        <v>8</v>
      </c>
      <c r="AF247" s="9">
        <v>8</v>
      </c>
      <c r="AG247" s="9">
        <v>26</v>
      </c>
      <c r="AH247" s="9">
        <v>17</v>
      </c>
      <c r="AI247" s="9">
        <v>17</v>
      </c>
      <c r="AJ247" s="9">
        <v>0</v>
      </c>
      <c r="AK247" s="9">
        <v>43</v>
      </c>
      <c r="AL247" s="9">
        <v>43</v>
      </c>
      <c r="AM247" s="9">
        <v>26</v>
      </c>
      <c r="AN247" s="9">
        <v>26</v>
      </c>
      <c r="AO247" s="9">
        <v>0</v>
      </c>
      <c r="AP247" s="9">
        <v>17</v>
      </c>
      <c r="AQ247" s="9">
        <v>35</v>
      </c>
      <c r="AR247" s="9">
        <v>79</v>
      </c>
      <c r="AS247" s="9">
        <v>26</v>
      </c>
      <c r="AT247" s="9">
        <v>26</v>
      </c>
      <c r="AU247" s="9">
        <v>17</v>
      </c>
      <c r="AV247" s="9">
        <v>0</v>
      </c>
      <c r="AW247" s="9">
        <v>26</v>
      </c>
      <c r="AX247" s="9">
        <v>0</v>
      </c>
      <c r="AY247" s="9">
        <v>26</v>
      </c>
      <c r="AZ247" s="9">
        <v>0</v>
      </c>
      <c r="BA247" s="10">
        <v>115.78</v>
      </c>
      <c r="BB247" s="11">
        <v>28546.42</v>
      </c>
      <c r="BC247" s="11">
        <v>22837.14</v>
      </c>
      <c r="BD247" s="11">
        <v>15986</v>
      </c>
      <c r="BE247" s="11">
        <v>14844.14</v>
      </c>
      <c r="BF247" s="11">
        <v>31971.99</v>
      </c>
      <c r="BG247" s="11">
        <v>22000</v>
      </c>
      <c r="BH247" s="11">
        <v>10000</v>
      </c>
      <c r="BI247" s="11">
        <v>7453</v>
      </c>
      <c r="BJ247" s="11">
        <v>12052</v>
      </c>
      <c r="BK247" s="11">
        <v>60889</v>
      </c>
      <c r="BL247" s="11">
        <v>47668</v>
      </c>
      <c r="BM247" s="11">
        <v>34859</v>
      </c>
      <c r="BN247" s="11">
        <v>23168</v>
      </c>
      <c r="BO247" s="9">
        <v>187000</v>
      </c>
      <c r="BP247" s="9">
        <v>7254</v>
      </c>
    </row>
    <row r="248" spans="1:68" x14ac:dyDescent="0.3">
      <c r="A248" s="7">
        <v>45538</v>
      </c>
      <c r="B248" s="7" t="str">
        <f t="shared" si="3"/>
        <v>SEPTEMBER</v>
      </c>
      <c r="C248" s="8">
        <f>MONTH(Data!$A248)</f>
        <v>9</v>
      </c>
      <c r="D248" s="9">
        <v>1213</v>
      </c>
      <c r="E248" s="9">
        <v>899</v>
      </c>
      <c r="F248" s="9">
        <v>254</v>
      </c>
      <c r="G248" s="9">
        <v>729</v>
      </c>
      <c r="H248" s="9">
        <v>230</v>
      </c>
      <c r="I248" s="9">
        <v>251</v>
      </c>
      <c r="J248" s="9">
        <v>550</v>
      </c>
      <c r="K248" s="9">
        <v>98</v>
      </c>
      <c r="L248" s="9">
        <v>320</v>
      </c>
      <c r="M248" s="9">
        <v>248</v>
      </c>
      <c r="N248" s="9">
        <v>105</v>
      </c>
      <c r="O248" s="9">
        <v>97</v>
      </c>
      <c r="P248" s="9">
        <v>22</v>
      </c>
      <c r="Q248" s="9">
        <v>230</v>
      </c>
      <c r="R248" s="9">
        <v>82</v>
      </c>
      <c r="S248" s="9">
        <v>50</v>
      </c>
      <c r="T248" s="9">
        <v>59</v>
      </c>
      <c r="U248" s="9">
        <v>0</v>
      </c>
      <c r="V248" s="9">
        <v>71</v>
      </c>
      <c r="W248" s="9">
        <v>26</v>
      </c>
      <c r="X248" s="9">
        <v>62</v>
      </c>
      <c r="Y248" s="9">
        <v>26</v>
      </c>
      <c r="Z248" s="9">
        <v>89</v>
      </c>
      <c r="AA248" s="9">
        <v>44</v>
      </c>
      <c r="AB248" s="9">
        <v>0</v>
      </c>
      <c r="AC248" s="9">
        <v>8</v>
      </c>
      <c r="AD248" s="9">
        <v>44</v>
      </c>
      <c r="AE248" s="9">
        <v>8</v>
      </c>
      <c r="AF248" s="9">
        <v>0</v>
      </c>
      <c r="AG248" s="9">
        <v>8</v>
      </c>
      <c r="AH248" s="9">
        <v>17</v>
      </c>
      <c r="AI248" s="9">
        <v>26</v>
      </c>
      <c r="AJ248" s="9">
        <v>26</v>
      </c>
      <c r="AK248" s="9">
        <v>44</v>
      </c>
      <c r="AL248" s="9">
        <v>53</v>
      </c>
      <c r="AM248" s="9">
        <v>17</v>
      </c>
      <c r="AN248" s="9">
        <v>0</v>
      </c>
      <c r="AO248" s="9">
        <v>0</v>
      </c>
      <c r="AP248" s="9">
        <v>35</v>
      </c>
      <c r="AQ248" s="9">
        <v>17</v>
      </c>
      <c r="AR248" s="9">
        <v>71</v>
      </c>
      <c r="AS248" s="9">
        <v>8</v>
      </c>
      <c r="AT248" s="9">
        <v>35</v>
      </c>
      <c r="AU248" s="9">
        <v>8</v>
      </c>
      <c r="AV248" s="9">
        <v>0</v>
      </c>
      <c r="AW248" s="9">
        <v>26</v>
      </c>
      <c r="AX248" s="9">
        <v>26</v>
      </c>
      <c r="AY248" s="9">
        <v>0</v>
      </c>
      <c r="AZ248" s="9">
        <v>104</v>
      </c>
      <c r="BA248" s="10">
        <v>117.44999999999999</v>
      </c>
      <c r="BB248" s="11">
        <v>31262.77</v>
      </c>
      <c r="BC248" s="11">
        <v>15052.44</v>
      </c>
      <c r="BD248" s="11">
        <v>13894.56</v>
      </c>
      <c r="BE248" s="11">
        <v>28947.01</v>
      </c>
      <c r="BF248" s="11">
        <v>26631.25</v>
      </c>
      <c r="BG248" s="11">
        <v>22000</v>
      </c>
      <c r="BH248" s="11">
        <v>10000</v>
      </c>
      <c r="BI248" s="11">
        <v>7453</v>
      </c>
      <c r="BJ248" s="11">
        <v>12052</v>
      </c>
      <c r="BK248" s="11">
        <v>60889</v>
      </c>
      <c r="BL248" s="11">
        <v>47668</v>
      </c>
      <c r="BM248" s="11">
        <v>34859</v>
      </c>
      <c r="BN248" s="11">
        <v>23168</v>
      </c>
      <c r="BO248" s="9">
        <v>187000</v>
      </c>
      <c r="BP248" s="9">
        <v>5595</v>
      </c>
    </row>
    <row r="249" spans="1:68" x14ac:dyDescent="0.3">
      <c r="A249" s="7">
        <v>45539</v>
      </c>
      <c r="B249" s="7" t="str">
        <f t="shared" si="3"/>
        <v>SEPTEMBER</v>
      </c>
      <c r="C249" s="8">
        <f>MONTH(Data!$A249)</f>
        <v>9</v>
      </c>
      <c r="D249" s="9">
        <v>1189</v>
      </c>
      <c r="E249" s="9">
        <v>906</v>
      </c>
      <c r="F249" s="9">
        <v>404</v>
      </c>
      <c r="G249" s="9">
        <v>595</v>
      </c>
      <c r="H249" s="9">
        <v>190</v>
      </c>
      <c r="I249" s="9">
        <v>416</v>
      </c>
      <c r="J249" s="9">
        <v>400</v>
      </c>
      <c r="K249" s="9">
        <v>90</v>
      </c>
      <c r="L249" s="9">
        <v>250</v>
      </c>
      <c r="M249" s="9">
        <v>213</v>
      </c>
      <c r="N249" s="9">
        <v>58</v>
      </c>
      <c r="O249" s="9">
        <v>73</v>
      </c>
      <c r="P249" s="9">
        <v>14</v>
      </c>
      <c r="Q249" s="9">
        <v>198</v>
      </c>
      <c r="R249" s="9">
        <v>103</v>
      </c>
      <c r="S249" s="9">
        <v>31</v>
      </c>
      <c r="T249" s="9">
        <v>63</v>
      </c>
      <c r="U249" s="9">
        <v>186</v>
      </c>
      <c r="V249" s="9">
        <v>36</v>
      </c>
      <c r="W249" s="9">
        <v>18</v>
      </c>
      <c r="X249" s="9">
        <v>45</v>
      </c>
      <c r="Y249" s="9">
        <v>9</v>
      </c>
      <c r="Z249" s="9">
        <v>144</v>
      </c>
      <c r="AA249" s="9">
        <v>45</v>
      </c>
      <c r="AB249" s="9">
        <v>18</v>
      </c>
      <c r="AC249" s="9">
        <v>27</v>
      </c>
      <c r="AD249" s="9">
        <v>27</v>
      </c>
      <c r="AE249" s="9">
        <v>18</v>
      </c>
      <c r="AF249" s="9">
        <v>9</v>
      </c>
      <c r="AG249" s="9">
        <v>36</v>
      </c>
      <c r="AH249" s="9">
        <v>18</v>
      </c>
      <c r="AI249" s="9">
        <v>27</v>
      </c>
      <c r="AJ249" s="9">
        <v>27</v>
      </c>
      <c r="AK249" s="9">
        <v>45</v>
      </c>
      <c r="AL249" s="9">
        <v>45</v>
      </c>
      <c r="AM249" s="9">
        <v>27</v>
      </c>
      <c r="AN249" s="9">
        <v>0</v>
      </c>
      <c r="AO249" s="9">
        <v>0</v>
      </c>
      <c r="AP249" s="9">
        <v>9</v>
      </c>
      <c r="AQ249" s="9">
        <v>9</v>
      </c>
      <c r="AR249" s="9">
        <v>81</v>
      </c>
      <c r="AS249" s="9">
        <v>9</v>
      </c>
      <c r="AT249" s="9">
        <v>54</v>
      </c>
      <c r="AU249" s="9">
        <v>18</v>
      </c>
      <c r="AV249" s="9">
        <v>9</v>
      </c>
      <c r="AW249" s="9">
        <v>18</v>
      </c>
      <c r="AX249" s="9">
        <v>18</v>
      </c>
      <c r="AY249" s="9">
        <v>0</v>
      </c>
      <c r="AZ249" s="9">
        <v>60</v>
      </c>
      <c r="BA249" s="10">
        <v>118.62</v>
      </c>
      <c r="BB249" s="11">
        <v>39932.559999999998</v>
      </c>
      <c r="BC249" s="11">
        <v>19966.28</v>
      </c>
      <c r="BD249" s="11">
        <v>24664.23</v>
      </c>
      <c r="BE249" s="11">
        <v>22315.26</v>
      </c>
      <c r="BF249" s="11">
        <v>10570.38</v>
      </c>
      <c r="BG249" s="11">
        <v>22000</v>
      </c>
      <c r="BH249" s="11">
        <v>10000</v>
      </c>
      <c r="BI249" s="11">
        <v>7453</v>
      </c>
      <c r="BJ249" s="11">
        <v>12052</v>
      </c>
      <c r="BK249" s="11">
        <v>60889</v>
      </c>
      <c r="BL249" s="11">
        <v>47668</v>
      </c>
      <c r="BM249" s="11">
        <v>34859</v>
      </c>
      <c r="BN249" s="11">
        <v>23168</v>
      </c>
      <c r="BO249" s="9">
        <v>187000</v>
      </c>
      <c r="BP249" s="9">
        <v>677</v>
      </c>
    </row>
    <row r="250" spans="1:68" x14ac:dyDescent="0.3">
      <c r="A250" s="7">
        <v>45540</v>
      </c>
      <c r="B250" s="7" t="str">
        <f t="shared" si="3"/>
        <v>SEPTEMBER</v>
      </c>
      <c r="C250" s="8">
        <f>MONTH(Data!$A250)</f>
        <v>9</v>
      </c>
      <c r="D250" s="9">
        <v>1169</v>
      </c>
      <c r="E250" s="9">
        <v>905</v>
      </c>
      <c r="F250" s="9">
        <v>514</v>
      </c>
      <c r="G250" s="9">
        <v>480</v>
      </c>
      <c r="H250" s="9">
        <v>175</v>
      </c>
      <c r="I250" s="9">
        <v>199</v>
      </c>
      <c r="J250" s="9">
        <v>634</v>
      </c>
      <c r="K250" s="9">
        <v>72</v>
      </c>
      <c r="L250" s="9">
        <v>282</v>
      </c>
      <c r="M250" s="9">
        <v>173</v>
      </c>
      <c r="N250" s="9">
        <v>57</v>
      </c>
      <c r="O250" s="9">
        <v>50</v>
      </c>
      <c r="P250" s="9">
        <v>43</v>
      </c>
      <c r="Q250" s="9">
        <v>235</v>
      </c>
      <c r="R250" s="9">
        <v>119</v>
      </c>
      <c r="S250" s="9">
        <v>57</v>
      </c>
      <c r="T250" s="9">
        <v>22</v>
      </c>
      <c r="U250" s="9">
        <v>131</v>
      </c>
      <c r="V250" s="9">
        <v>90</v>
      </c>
      <c r="W250" s="9">
        <v>9</v>
      </c>
      <c r="X250" s="9">
        <v>63</v>
      </c>
      <c r="Y250" s="9">
        <v>18</v>
      </c>
      <c r="Z250" s="9">
        <v>68</v>
      </c>
      <c r="AA250" s="9">
        <v>81</v>
      </c>
      <c r="AB250" s="9">
        <v>27</v>
      </c>
      <c r="AC250" s="9">
        <v>9</v>
      </c>
      <c r="AD250" s="9">
        <v>36</v>
      </c>
      <c r="AE250" s="9">
        <v>0</v>
      </c>
      <c r="AF250" s="9">
        <v>9</v>
      </c>
      <c r="AG250" s="9">
        <v>27</v>
      </c>
      <c r="AH250" s="9">
        <v>27</v>
      </c>
      <c r="AI250" s="9">
        <v>0</v>
      </c>
      <c r="AJ250" s="9">
        <v>9</v>
      </c>
      <c r="AK250" s="9">
        <v>81</v>
      </c>
      <c r="AL250" s="9">
        <v>45</v>
      </c>
      <c r="AM250" s="9">
        <v>27</v>
      </c>
      <c r="AN250" s="9">
        <v>18</v>
      </c>
      <c r="AO250" s="9">
        <v>0</v>
      </c>
      <c r="AP250" s="9">
        <v>0</v>
      </c>
      <c r="AQ250" s="9">
        <v>27</v>
      </c>
      <c r="AR250" s="9">
        <v>81</v>
      </c>
      <c r="AS250" s="9">
        <v>9</v>
      </c>
      <c r="AT250" s="9">
        <v>45</v>
      </c>
      <c r="AU250" s="9">
        <v>18</v>
      </c>
      <c r="AV250" s="9">
        <v>9</v>
      </c>
      <c r="AW250" s="9">
        <v>18</v>
      </c>
      <c r="AX250" s="9">
        <v>18</v>
      </c>
      <c r="AY250" s="9">
        <v>36</v>
      </c>
      <c r="AZ250" s="9">
        <v>0</v>
      </c>
      <c r="BA250" s="10">
        <v>119.04</v>
      </c>
      <c r="BB250" s="11">
        <v>33213.61</v>
      </c>
      <c r="BC250" s="11">
        <v>15420.6</v>
      </c>
      <c r="BD250" s="11">
        <v>24910.2</v>
      </c>
      <c r="BE250" s="11">
        <v>26096.400000000001</v>
      </c>
      <c r="BF250" s="11">
        <v>18979.2</v>
      </c>
      <c r="BG250" s="11">
        <v>22000</v>
      </c>
      <c r="BH250" s="11">
        <v>10000</v>
      </c>
      <c r="BI250" s="11">
        <v>7453</v>
      </c>
      <c r="BJ250" s="11">
        <v>12052</v>
      </c>
      <c r="BK250" s="11">
        <v>60889</v>
      </c>
      <c r="BL250" s="11">
        <v>47668</v>
      </c>
      <c r="BM250" s="11">
        <v>34859</v>
      </c>
      <c r="BN250" s="11">
        <v>23168</v>
      </c>
      <c r="BO250" s="9">
        <v>187000</v>
      </c>
      <c r="BP250" s="9">
        <v>1290</v>
      </c>
    </row>
    <row r="251" spans="1:68" x14ac:dyDescent="0.3">
      <c r="A251" s="7">
        <v>45541</v>
      </c>
      <c r="B251" s="7" t="str">
        <f t="shared" si="3"/>
        <v>SEPTEMBER</v>
      </c>
      <c r="C251" s="8">
        <f>MONTH(Data!$A251)</f>
        <v>9</v>
      </c>
      <c r="D251" s="9">
        <v>1156</v>
      </c>
      <c r="E251" s="9">
        <v>895</v>
      </c>
      <c r="F251" s="9">
        <v>254</v>
      </c>
      <c r="G251" s="9">
        <v>845</v>
      </c>
      <c r="H251" s="9">
        <v>57</v>
      </c>
      <c r="I251" s="9">
        <v>474</v>
      </c>
      <c r="J251" s="9">
        <v>269</v>
      </c>
      <c r="K251" s="9">
        <v>152</v>
      </c>
      <c r="L251" s="9">
        <v>293</v>
      </c>
      <c r="M251" s="9">
        <v>186</v>
      </c>
      <c r="N251" s="9">
        <v>107</v>
      </c>
      <c r="O251" s="9">
        <v>35</v>
      </c>
      <c r="P251" s="9">
        <v>64</v>
      </c>
      <c r="Q251" s="9">
        <v>228</v>
      </c>
      <c r="R251" s="9">
        <v>83</v>
      </c>
      <c r="S251" s="9">
        <v>57</v>
      </c>
      <c r="T251" s="9">
        <v>48</v>
      </c>
      <c r="U251" s="9">
        <v>55</v>
      </c>
      <c r="V251" s="9">
        <v>116</v>
      </c>
      <c r="W251" s="9">
        <v>26</v>
      </c>
      <c r="X251" s="9">
        <v>62</v>
      </c>
      <c r="Y251" s="9">
        <v>8</v>
      </c>
      <c r="Z251" s="9">
        <v>125</v>
      </c>
      <c r="AA251" s="9">
        <v>53</v>
      </c>
      <c r="AB251" s="9">
        <v>17</v>
      </c>
      <c r="AC251" s="9">
        <v>0</v>
      </c>
      <c r="AD251" s="9">
        <v>53</v>
      </c>
      <c r="AE251" s="9">
        <v>17</v>
      </c>
      <c r="AF251" s="9">
        <v>0</v>
      </c>
      <c r="AG251" s="9">
        <v>8</v>
      </c>
      <c r="AH251" s="9">
        <v>8</v>
      </c>
      <c r="AI251" s="9">
        <v>0</v>
      </c>
      <c r="AJ251" s="9">
        <v>0</v>
      </c>
      <c r="AK251" s="9">
        <v>44</v>
      </c>
      <c r="AL251" s="9">
        <v>17</v>
      </c>
      <c r="AM251" s="9">
        <v>35</v>
      </c>
      <c r="AN251" s="9">
        <v>0</v>
      </c>
      <c r="AO251" s="9">
        <v>0</v>
      </c>
      <c r="AP251" s="9">
        <v>26</v>
      </c>
      <c r="AQ251" s="9">
        <v>8</v>
      </c>
      <c r="AR251" s="9">
        <v>71</v>
      </c>
      <c r="AS251" s="9">
        <v>8</v>
      </c>
      <c r="AT251" s="9">
        <v>35</v>
      </c>
      <c r="AU251" s="9">
        <v>35</v>
      </c>
      <c r="AV251" s="9">
        <v>0</v>
      </c>
      <c r="AW251" s="9">
        <v>8</v>
      </c>
      <c r="AX251" s="9">
        <v>17</v>
      </c>
      <c r="AY251" s="9">
        <v>8</v>
      </c>
      <c r="AZ251" s="9">
        <v>90</v>
      </c>
      <c r="BA251" s="10">
        <v>118.97000000000001</v>
      </c>
      <c r="BB251" s="11">
        <v>39284.54</v>
      </c>
      <c r="BC251" s="11">
        <v>16666.169999999998</v>
      </c>
      <c r="BD251" s="11">
        <v>22618.37</v>
      </c>
      <c r="BE251" s="11">
        <v>9523.52</v>
      </c>
      <c r="BF251" s="11">
        <v>30951.45</v>
      </c>
      <c r="BG251" s="11">
        <v>22000</v>
      </c>
      <c r="BH251" s="11">
        <v>10000</v>
      </c>
      <c r="BI251" s="11">
        <v>7453</v>
      </c>
      <c r="BJ251" s="11">
        <v>12052</v>
      </c>
      <c r="BK251" s="11">
        <v>60889</v>
      </c>
      <c r="BL251" s="11">
        <v>47668</v>
      </c>
      <c r="BM251" s="11">
        <v>34859</v>
      </c>
      <c r="BN251" s="11">
        <v>23168</v>
      </c>
      <c r="BO251" s="9">
        <v>187000</v>
      </c>
      <c r="BP251" s="9">
        <v>2931</v>
      </c>
    </row>
    <row r="252" spans="1:68" x14ac:dyDescent="0.3">
      <c r="A252" s="7">
        <v>45542</v>
      </c>
      <c r="B252" s="7" t="str">
        <f t="shared" si="3"/>
        <v>SEPTEMBER</v>
      </c>
      <c r="C252" s="8">
        <f>MONTH(Data!$A252)</f>
        <v>9</v>
      </c>
      <c r="D252" s="9">
        <v>1152</v>
      </c>
      <c r="E252" s="9">
        <v>879</v>
      </c>
      <c r="F252" s="9">
        <v>311</v>
      </c>
      <c r="G252" s="9">
        <v>565</v>
      </c>
      <c r="H252" s="9">
        <v>276</v>
      </c>
      <c r="I252" s="9">
        <v>430</v>
      </c>
      <c r="J252" s="9">
        <v>309</v>
      </c>
      <c r="K252" s="9">
        <v>140</v>
      </c>
      <c r="L252" s="9">
        <v>285</v>
      </c>
      <c r="M252" s="9">
        <v>92</v>
      </c>
      <c r="N252" s="9">
        <v>85</v>
      </c>
      <c r="O252" s="9">
        <v>35</v>
      </c>
      <c r="P252" s="9">
        <v>35</v>
      </c>
      <c r="Q252" s="9">
        <v>192</v>
      </c>
      <c r="R252" s="9">
        <v>109</v>
      </c>
      <c r="S252" s="9">
        <v>48</v>
      </c>
      <c r="T252" s="9">
        <v>65</v>
      </c>
      <c r="U252" s="9">
        <v>206</v>
      </c>
      <c r="V252" s="9">
        <v>123</v>
      </c>
      <c r="W252" s="9">
        <v>26</v>
      </c>
      <c r="X252" s="9">
        <v>26</v>
      </c>
      <c r="Y252" s="9">
        <v>0</v>
      </c>
      <c r="Z252" s="9">
        <v>22</v>
      </c>
      <c r="AA252" s="9">
        <v>43</v>
      </c>
      <c r="AB252" s="9">
        <v>17</v>
      </c>
      <c r="AC252" s="9">
        <v>26</v>
      </c>
      <c r="AD252" s="9">
        <v>26</v>
      </c>
      <c r="AE252" s="9">
        <v>17</v>
      </c>
      <c r="AF252" s="9">
        <v>0</v>
      </c>
      <c r="AG252" s="9">
        <v>26</v>
      </c>
      <c r="AH252" s="9">
        <v>17</v>
      </c>
      <c r="AI252" s="9">
        <v>17</v>
      </c>
      <c r="AJ252" s="9">
        <v>17</v>
      </c>
      <c r="AK252" s="9">
        <v>79</v>
      </c>
      <c r="AL252" s="9">
        <v>26</v>
      </c>
      <c r="AM252" s="9">
        <v>43</v>
      </c>
      <c r="AN252" s="9">
        <v>8</v>
      </c>
      <c r="AO252" s="9">
        <v>8</v>
      </c>
      <c r="AP252" s="9">
        <v>26</v>
      </c>
      <c r="AQ252" s="9">
        <v>26</v>
      </c>
      <c r="AR252" s="9">
        <v>79</v>
      </c>
      <c r="AS252" s="9">
        <v>8</v>
      </c>
      <c r="AT252" s="9">
        <v>79</v>
      </c>
      <c r="AU252" s="9">
        <v>35</v>
      </c>
      <c r="AV252" s="9">
        <v>8</v>
      </c>
      <c r="AW252" s="9">
        <v>43</v>
      </c>
      <c r="AX252" s="9">
        <v>0</v>
      </c>
      <c r="AY252" s="9">
        <v>8</v>
      </c>
      <c r="AZ252" s="9">
        <v>0</v>
      </c>
      <c r="BA252" s="10">
        <v>117.77</v>
      </c>
      <c r="BB252" s="11">
        <v>41640.46</v>
      </c>
      <c r="BC252" s="11">
        <v>22604.82</v>
      </c>
      <c r="BD252" s="11">
        <v>13087</v>
      </c>
      <c r="BE252" s="11">
        <v>27363.73</v>
      </c>
      <c r="BF252" s="11">
        <v>14276.73</v>
      </c>
      <c r="BG252" s="11">
        <v>22000</v>
      </c>
      <c r="BH252" s="11">
        <v>10000</v>
      </c>
      <c r="BI252" s="11">
        <v>7453</v>
      </c>
      <c r="BJ252" s="11">
        <v>12052</v>
      </c>
      <c r="BK252" s="11">
        <v>60889</v>
      </c>
      <c r="BL252" s="11">
        <v>47668</v>
      </c>
      <c r="BM252" s="11">
        <v>34859</v>
      </c>
      <c r="BN252" s="11">
        <v>23168</v>
      </c>
      <c r="BO252" s="9">
        <v>187000</v>
      </c>
      <c r="BP252" s="9">
        <v>317</v>
      </c>
    </row>
    <row r="253" spans="1:68" x14ac:dyDescent="0.3">
      <c r="A253" s="7">
        <v>45543</v>
      </c>
      <c r="B253" s="7" t="str">
        <f t="shared" si="3"/>
        <v>SEPTEMBER</v>
      </c>
      <c r="C253" s="8">
        <f>MONTH(Data!$A253)</f>
        <v>9</v>
      </c>
      <c r="D253" s="9">
        <v>1151</v>
      </c>
      <c r="E253" s="9">
        <v>853</v>
      </c>
      <c r="F253" s="9">
        <v>230</v>
      </c>
      <c r="G253" s="9">
        <v>818</v>
      </c>
      <c r="H253" s="9">
        <v>103</v>
      </c>
      <c r="I253" s="9">
        <v>392</v>
      </c>
      <c r="J253" s="9">
        <v>342</v>
      </c>
      <c r="K253" s="9">
        <v>119</v>
      </c>
      <c r="L253" s="9">
        <v>392</v>
      </c>
      <c r="M253" s="9">
        <v>121</v>
      </c>
      <c r="N253" s="9">
        <v>107</v>
      </c>
      <c r="O253" s="9">
        <v>57</v>
      </c>
      <c r="P253" s="9">
        <v>49</v>
      </c>
      <c r="Q253" s="9">
        <v>170</v>
      </c>
      <c r="R253" s="9">
        <v>48</v>
      </c>
      <c r="S253" s="9">
        <v>52</v>
      </c>
      <c r="T253" s="9">
        <v>30</v>
      </c>
      <c r="U253" s="9">
        <v>125</v>
      </c>
      <c r="V253" s="9">
        <v>59</v>
      </c>
      <c r="W253" s="9">
        <v>25</v>
      </c>
      <c r="X253" s="9">
        <v>59</v>
      </c>
      <c r="Y253" s="9">
        <v>17</v>
      </c>
      <c r="Z253" s="9">
        <v>68</v>
      </c>
      <c r="AA253" s="9">
        <v>59</v>
      </c>
      <c r="AB253" s="9">
        <v>8</v>
      </c>
      <c r="AC253" s="9">
        <v>8</v>
      </c>
      <c r="AD253" s="9">
        <v>17</v>
      </c>
      <c r="AE253" s="9">
        <v>0</v>
      </c>
      <c r="AF253" s="9">
        <v>8</v>
      </c>
      <c r="AG253" s="9">
        <v>8</v>
      </c>
      <c r="AH253" s="9">
        <v>8</v>
      </c>
      <c r="AI253" s="9">
        <v>25</v>
      </c>
      <c r="AJ253" s="9">
        <v>0</v>
      </c>
      <c r="AK253" s="9">
        <v>51</v>
      </c>
      <c r="AL253" s="9">
        <v>17</v>
      </c>
      <c r="AM253" s="9">
        <v>34</v>
      </c>
      <c r="AN253" s="9">
        <v>8</v>
      </c>
      <c r="AO253" s="9">
        <v>0</v>
      </c>
      <c r="AP253" s="9">
        <v>8</v>
      </c>
      <c r="AQ253" s="9">
        <v>8</v>
      </c>
      <c r="AR253" s="9">
        <v>93</v>
      </c>
      <c r="AS253" s="9">
        <v>8</v>
      </c>
      <c r="AT253" s="9">
        <v>68</v>
      </c>
      <c r="AU253" s="9">
        <v>17</v>
      </c>
      <c r="AV253" s="9">
        <v>0</v>
      </c>
      <c r="AW253" s="9">
        <v>17</v>
      </c>
      <c r="AX253" s="9">
        <v>34</v>
      </c>
      <c r="AY253" s="9">
        <v>25</v>
      </c>
      <c r="AZ253" s="9">
        <v>96</v>
      </c>
      <c r="BA253" s="10">
        <v>116.08999999999999</v>
      </c>
      <c r="BB253" s="11">
        <v>41216.769999999997</v>
      </c>
      <c r="BC253" s="11">
        <v>24730.06</v>
      </c>
      <c r="BD253" s="11">
        <v>11776.22</v>
      </c>
      <c r="BE253" s="11">
        <v>10598.6</v>
      </c>
      <c r="BF253" s="11">
        <v>29440.55</v>
      </c>
      <c r="BG253" s="11">
        <v>22000</v>
      </c>
      <c r="BH253" s="11">
        <v>10000</v>
      </c>
      <c r="BI253" s="11">
        <v>7453</v>
      </c>
      <c r="BJ253" s="11">
        <v>12052</v>
      </c>
      <c r="BK253" s="11">
        <v>60889</v>
      </c>
      <c r="BL253" s="11">
        <v>47668</v>
      </c>
      <c r="BM253" s="11">
        <v>34859</v>
      </c>
      <c r="BN253" s="11">
        <v>23168</v>
      </c>
      <c r="BO253" s="9">
        <v>187000</v>
      </c>
      <c r="BP253" s="9">
        <v>7097</v>
      </c>
    </row>
    <row r="254" spans="1:68" x14ac:dyDescent="0.3">
      <c r="A254" s="7">
        <v>45544</v>
      </c>
      <c r="B254" s="7" t="str">
        <f t="shared" si="3"/>
        <v>SEPTEMBER</v>
      </c>
      <c r="C254" s="8">
        <f>MONTH(Data!$A254)</f>
        <v>9</v>
      </c>
      <c r="D254" s="9">
        <v>1162</v>
      </c>
      <c r="E254" s="9">
        <v>822</v>
      </c>
      <c r="F254" s="9">
        <v>418</v>
      </c>
      <c r="G254" s="9">
        <v>547</v>
      </c>
      <c r="H254" s="9">
        <v>197</v>
      </c>
      <c r="I254" s="9">
        <v>337</v>
      </c>
      <c r="J254" s="9">
        <v>412</v>
      </c>
      <c r="K254" s="9">
        <v>73</v>
      </c>
      <c r="L254" s="9">
        <v>331</v>
      </c>
      <c r="M254" s="9">
        <v>36</v>
      </c>
      <c r="N254" s="9">
        <v>64</v>
      </c>
      <c r="O254" s="9">
        <v>93</v>
      </c>
      <c r="P254" s="9">
        <v>43</v>
      </c>
      <c r="Q254" s="9">
        <v>194</v>
      </c>
      <c r="R254" s="9">
        <v>101</v>
      </c>
      <c r="S254" s="9">
        <v>44</v>
      </c>
      <c r="T254" s="9">
        <v>26</v>
      </c>
      <c r="U254" s="9">
        <v>230</v>
      </c>
      <c r="V254" s="9">
        <v>90</v>
      </c>
      <c r="W254" s="9">
        <v>24</v>
      </c>
      <c r="X254" s="9">
        <v>24</v>
      </c>
      <c r="Y254" s="9">
        <v>24</v>
      </c>
      <c r="Z254" s="9">
        <v>73</v>
      </c>
      <c r="AA254" s="9">
        <v>65</v>
      </c>
      <c r="AB254" s="9">
        <v>0</v>
      </c>
      <c r="AC254" s="9">
        <v>16</v>
      </c>
      <c r="AD254" s="9">
        <v>16</v>
      </c>
      <c r="AE254" s="9">
        <v>24</v>
      </c>
      <c r="AF254" s="9">
        <v>0</v>
      </c>
      <c r="AG254" s="9">
        <v>32</v>
      </c>
      <c r="AH254" s="9">
        <v>0</v>
      </c>
      <c r="AI254" s="9">
        <v>0</v>
      </c>
      <c r="AJ254" s="9">
        <v>8</v>
      </c>
      <c r="AK254" s="9">
        <v>82</v>
      </c>
      <c r="AL254" s="9">
        <v>32</v>
      </c>
      <c r="AM254" s="9">
        <v>8</v>
      </c>
      <c r="AN254" s="9">
        <v>8</v>
      </c>
      <c r="AO254" s="9">
        <v>8</v>
      </c>
      <c r="AP254" s="9">
        <v>8</v>
      </c>
      <c r="AQ254" s="9">
        <v>16</v>
      </c>
      <c r="AR254" s="9">
        <v>90</v>
      </c>
      <c r="AS254" s="9">
        <v>16</v>
      </c>
      <c r="AT254" s="9">
        <v>41</v>
      </c>
      <c r="AU254" s="9">
        <v>24</v>
      </c>
      <c r="AV254" s="9">
        <v>8</v>
      </c>
      <c r="AW254" s="9">
        <v>16</v>
      </c>
      <c r="AX254" s="9">
        <v>24</v>
      </c>
      <c r="AY254" s="9">
        <v>24</v>
      </c>
      <c r="AZ254" s="9">
        <v>21</v>
      </c>
      <c r="BA254" s="10">
        <v>115.16</v>
      </c>
      <c r="BB254" s="11">
        <v>35989.96</v>
      </c>
      <c r="BC254" s="11">
        <v>22058.36</v>
      </c>
      <c r="BD254" s="11">
        <v>26702.23</v>
      </c>
      <c r="BE254" s="11">
        <v>13931.6</v>
      </c>
      <c r="BF254" s="11">
        <v>17414.5</v>
      </c>
      <c r="BG254" s="11">
        <v>22000</v>
      </c>
      <c r="BH254" s="11">
        <v>10000</v>
      </c>
      <c r="BI254" s="11">
        <v>7453</v>
      </c>
      <c r="BJ254" s="11">
        <v>11745</v>
      </c>
      <c r="BK254" s="11">
        <v>60889</v>
      </c>
      <c r="BL254" s="11">
        <v>47668</v>
      </c>
      <c r="BM254" s="11">
        <v>34859</v>
      </c>
      <c r="BN254" s="11">
        <v>23168</v>
      </c>
      <c r="BO254" s="9">
        <v>187000</v>
      </c>
      <c r="BP254" s="9">
        <v>6243</v>
      </c>
    </row>
    <row r="255" spans="1:68" x14ac:dyDescent="0.3">
      <c r="A255" s="7">
        <v>45545</v>
      </c>
      <c r="B255" s="7" t="str">
        <f t="shared" si="3"/>
        <v>SEPTEMBER</v>
      </c>
      <c r="C255" s="8">
        <f>MONTH(Data!$A255)</f>
        <v>9</v>
      </c>
      <c r="D255" s="9">
        <v>1189</v>
      </c>
      <c r="E255" s="9">
        <v>789</v>
      </c>
      <c r="F255" s="9">
        <v>273</v>
      </c>
      <c r="G255" s="9">
        <v>702</v>
      </c>
      <c r="H255" s="9">
        <v>214</v>
      </c>
      <c r="I255" s="9">
        <v>276</v>
      </c>
      <c r="J255" s="9">
        <v>379</v>
      </c>
      <c r="K255" s="9">
        <v>134</v>
      </c>
      <c r="L255" s="9">
        <v>250</v>
      </c>
      <c r="M255" s="9">
        <v>176</v>
      </c>
      <c r="N255" s="9">
        <v>73</v>
      </c>
      <c r="O255" s="9">
        <v>58</v>
      </c>
      <c r="P255" s="9">
        <v>58</v>
      </c>
      <c r="Q255" s="9">
        <v>221</v>
      </c>
      <c r="R255" s="9">
        <v>103</v>
      </c>
      <c r="S255" s="9">
        <v>36</v>
      </c>
      <c r="T255" s="9">
        <v>36</v>
      </c>
      <c r="U255" s="9">
        <v>178</v>
      </c>
      <c r="V255" s="9">
        <v>47</v>
      </c>
      <c r="W255" s="9">
        <v>15</v>
      </c>
      <c r="X255" s="9">
        <v>39</v>
      </c>
      <c r="Y255" s="9">
        <v>0</v>
      </c>
      <c r="Z255" s="9">
        <v>102</v>
      </c>
      <c r="AA255" s="9">
        <v>55</v>
      </c>
      <c r="AB255" s="9">
        <v>7</v>
      </c>
      <c r="AC255" s="9">
        <v>7</v>
      </c>
      <c r="AD255" s="9">
        <v>23</v>
      </c>
      <c r="AE255" s="9">
        <v>0</v>
      </c>
      <c r="AF255" s="9">
        <v>7</v>
      </c>
      <c r="AG255" s="9">
        <v>7</v>
      </c>
      <c r="AH255" s="9">
        <v>15</v>
      </c>
      <c r="AI255" s="9">
        <v>0</v>
      </c>
      <c r="AJ255" s="9">
        <v>23</v>
      </c>
      <c r="AK255" s="9">
        <v>55</v>
      </c>
      <c r="AL255" s="9">
        <v>15</v>
      </c>
      <c r="AM255" s="9">
        <v>23</v>
      </c>
      <c r="AN255" s="9">
        <v>0</v>
      </c>
      <c r="AO255" s="9">
        <v>7</v>
      </c>
      <c r="AP255" s="9">
        <v>15</v>
      </c>
      <c r="AQ255" s="9">
        <v>15</v>
      </c>
      <c r="AR255" s="9">
        <v>63</v>
      </c>
      <c r="AS255" s="9">
        <v>7</v>
      </c>
      <c r="AT255" s="9">
        <v>39</v>
      </c>
      <c r="AU255" s="9">
        <v>39</v>
      </c>
      <c r="AV255" s="9">
        <v>7</v>
      </c>
      <c r="AW255" s="9">
        <v>47</v>
      </c>
      <c r="AX255" s="9">
        <v>7</v>
      </c>
      <c r="AY255" s="9">
        <v>31</v>
      </c>
      <c r="AZ255" s="9">
        <v>72</v>
      </c>
      <c r="BA255" s="10">
        <v>115.16999999999999</v>
      </c>
      <c r="BB255" s="11">
        <v>32244.58</v>
      </c>
      <c r="BC255" s="11">
        <v>16122.29</v>
      </c>
      <c r="BD255" s="11">
        <v>19577.07</v>
      </c>
      <c r="BE255" s="11">
        <v>19577.07</v>
      </c>
      <c r="BF255" s="11">
        <v>27638.21</v>
      </c>
      <c r="BG255" s="11">
        <v>22000</v>
      </c>
      <c r="BH255" s="11">
        <v>10000</v>
      </c>
      <c r="BI255" s="11">
        <v>7453</v>
      </c>
      <c r="BJ255" s="11">
        <v>11745</v>
      </c>
      <c r="BK255" s="11">
        <v>60889</v>
      </c>
      <c r="BL255" s="11">
        <v>47668</v>
      </c>
      <c r="BM255" s="11">
        <v>34859</v>
      </c>
      <c r="BN255" s="11">
        <v>23168</v>
      </c>
      <c r="BO255" s="9">
        <v>187000</v>
      </c>
      <c r="BP255" s="9">
        <v>6526</v>
      </c>
    </row>
    <row r="256" spans="1:68" x14ac:dyDescent="0.3">
      <c r="A256" s="7">
        <v>45546</v>
      </c>
      <c r="B256" s="7" t="str">
        <f t="shared" si="3"/>
        <v>SEPTEMBER</v>
      </c>
      <c r="C256" s="8">
        <f>MONTH(Data!$A256)</f>
        <v>9</v>
      </c>
      <c r="D256" s="9">
        <v>1210</v>
      </c>
      <c r="E256" s="9">
        <v>753</v>
      </c>
      <c r="F256" s="9">
        <v>447</v>
      </c>
      <c r="G256" s="9">
        <v>521</v>
      </c>
      <c r="H256" s="9">
        <v>242</v>
      </c>
      <c r="I256" s="9">
        <v>173</v>
      </c>
      <c r="J256" s="9">
        <v>407</v>
      </c>
      <c r="K256" s="9">
        <v>173</v>
      </c>
      <c r="L256" s="9">
        <v>307</v>
      </c>
      <c r="M256" s="9">
        <v>262</v>
      </c>
      <c r="N256" s="9">
        <v>67</v>
      </c>
      <c r="O256" s="9">
        <v>112</v>
      </c>
      <c r="P256" s="9">
        <v>67</v>
      </c>
      <c r="Q256" s="9">
        <v>156</v>
      </c>
      <c r="R256" s="9">
        <v>110</v>
      </c>
      <c r="S256" s="9">
        <v>41</v>
      </c>
      <c r="T256" s="9">
        <v>36</v>
      </c>
      <c r="U256" s="9">
        <v>52</v>
      </c>
      <c r="V256" s="9">
        <v>60</v>
      </c>
      <c r="W256" s="9">
        <v>0</v>
      </c>
      <c r="X256" s="9">
        <v>45</v>
      </c>
      <c r="Y256" s="9">
        <v>22</v>
      </c>
      <c r="Z256" s="9">
        <v>56</v>
      </c>
      <c r="AA256" s="9">
        <v>45</v>
      </c>
      <c r="AB256" s="9">
        <v>7</v>
      </c>
      <c r="AC256" s="9">
        <v>0</v>
      </c>
      <c r="AD256" s="9">
        <v>37</v>
      </c>
      <c r="AE256" s="9">
        <v>7</v>
      </c>
      <c r="AF256" s="9">
        <v>7</v>
      </c>
      <c r="AG256" s="9">
        <v>15</v>
      </c>
      <c r="AH256" s="9">
        <v>0</v>
      </c>
      <c r="AI256" s="9">
        <v>7</v>
      </c>
      <c r="AJ256" s="9">
        <v>22</v>
      </c>
      <c r="AK256" s="9">
        <v>60</v>
      </c>
      <c r="AL256" s="9">
        <v>37</v>
      </c>
      <c r="AM256" s="9">
        <v>37</v>
      </c>
      <c r="AN256" s="9">
        <v>7</v>
      </c>
      <c r="AO256" s="9">
        <v>0</v>
      </c>
      <c r="AP256" s="9">
        <v>30</v>
      </c>
      <c r="AQ256" s="9">
        <v>15</v>
      </c>
      <c r="AR256" s="9">
        <v>82</v>
      </c>
      <c r="AS256" s="9">
        <v>7</v>
      </c>
      <c r="AT256" s="9">
        <v>52</v>
      </c>
      <c r="AU256" s="9">
        <v>30</v>
      </c>
      <c r="AV256" s="9">
        <v>7</v>
      </c>
      <c r="AW256" s="9">
        <v>7</v>
      </c>
      <c r="AX256" s="9">
        <v>30</v>
      </c>
      <c r="AY256" s="9">
        <v>22</v>
      </c>
      <c r="AZ256" s="9">
        <v>0</v>
      </c>
      <c r="BA256" s="10">
        <v>115.48000000000002</v>
      </c>
      <c r="BB256" s="11">
        <v>33396.18</v>
      </c>
      <c r="BC256" s="11">
        <v>19577.07</v>
      </c>
      <c r="BD256" s="11">
        <v>12667.52</v>
      </c>
      <c r="BE256" s="11">
        <v>11515.92</v>
      </c>
      <c r="BF256" s="11">
        <v>38002.550000000003</v>
      </c>
      <c r="BG256" s="11">
        <v>22000</v>
      </c>
      <c r="BH256" s="11">
        <v>10000</v>
      </c>
      <c r="BI256" s="11">
        <v>7453</v>
      </c>
      <c r="BJ256" s="11">
        <v>11745</v>
      </c>
      <c r="BK256" s="11">
        <v>60889</v>
      </c>
      <c r="BL256" s="11">
        <v>47668</v>
      </c>
      <c r="BM256" s="11">
        <v>34859</v>
      </c>
      <c r="BN256" s="11">
        <v>23168</v>
      </c>
      <c r="BO256" s="9">
        <v>187000</v>
      </c>
      <c r="BP256" s="9">
        <v>281</v>
      </c>
    </row>
    <row r="257" spans="1:68" x14ac:dyDescent="0.3">
      <c r="A257" s="7">
        <v>45547</v>
      </c>
      <c r="B257" s="7" t="str">
        <f t="shared" si="3"/>
        <v>SEPTEMBER</v>
      </c>
      <c r="C257" s="8">
        <f>MONTH(Data!$A257)</f>
        <v>9</v>
      </c>
      <c r="D257" s="9">
        <v>1216</v>
      </c>
      <c r="E257" s="9">
        <v>731</v>
      </c>
      <c r="F257" s="9">
        <v>279</v>
      </c>
      <c r="G257" s="9">
        <v>694</v>
      </c>
      <c r="H257" s="9">
        <v>243</v>
      </c>
      <c r="I257" s="9">
        <v>285</v>
      </c>
      <c r="J257" s="9">
        <v>322</v>
      </c>
      <c r="K257" s="9">
        <v>124</v>
      </c>
      <c r="L257" s="9">
        <v>354</v>
      </c>
      <c r="M257" s="9">
        <v>135</v>
      </c>
      <c r="N257" s="9">
        <v>98</v>
      </c>
      <c r="O257" s="9">
        <v>82</v>
      </c>
      <c r="P257" s="9">
        <v>52</v>
      </c>
      <c r="Q257" s="9">
        <v>244</v>
      </c>
      <c r="R257" s="9">
        <v>32</v>
      </c>
      <c r="S257" s="9">
        <v>64</v>
      </c>
      <c r="T257" s="9">
        <v>69</v>
      </c>
      <c r="U257" s="9">
        <v>86</v>
      </c>
      <c r="V257" s="9">
        <v>65</v>
      </c>
      <c r="W257" s="9">
        <v>21</v>
      </c>
      <c r="X257" s="9">
        <v>43</v>
      </c>
      <c r="Y257" s="9">
        <v>0</v>
      </c>
      <c r="Z257" s="9">
        <v>56</v>
      </c>
      <c r="AA257" s="9">
        <v>43</v>
      </c>
      <c r="AB257" s="9">
        <v>7</v>
      </c>
      <c r="AC257" s="9">
        <v>0</v>
      </c>
      <c r="AD257" s="9">
        <v>43</v>
      </c>
      <c r="AE257" s="9">
        <v>7</v>
      </c>
      <c r="AF257" s="9">
        <v>0</v>
      </c>
      <c r="AG257" s="9">
        <v>36</v>
      </c>
      <c r="AH257" s="9">
        <v>7</v>
      </c>
      <c r="AI257" s="9">
        <v>14</v>
      </c>
      <c r="AJ257" s="9">
        <v>14</v>
      </c>
      <c r="AK257" s="9">
        <v>73</v>
      </c>
      <c r="AL257" s="9">
        <v>21</v>
      </c>
      <c r="AM257" s="9">
        <v>29</v>
      </c>
      <c r="AN257" s="9">
        <v>0</v>
      </c>
      <c r="AO257" s="9">
        <v>0</v>
      </c>
      <c r="AP257" s="9">
        <v>29</v>
      </c>
      <c r="AQ257" s="9">
        <v>29</v>
      </c>
      <c r="AR257" s="9">
        <v>73</v>
      </c>
      <c r="AS257" s="9">
        <v>21</v>
      </c>
      <c r="AT257" s="9">
        <v>51</v>
      </c>
      <c r="AU257" s="9">
        <v>21</v>
      </c>
      <c r="AV257" s="9">
        <v>0</v>
      </c>
      <c r="AW257" s="9">
        <v>14</v>
      </c>
      <c r="AX257" s="9">
        <v>0</v>
      </c>
      <c r="AY257" s="9">
        <v>14</v>
      </c>
      <c r="AZ257" s="9">
        <v>0</v>
      </c>
      <c r="BA257" s="10">
        <v>116.47</v>
      </c>
      <c r="BB257" s="11">
        <v>39265.660000000003</v>
      </c>
      <c r="BC257" s="11">
        <v>21942.58</v>
      </c>
      <c r="BD257" s="11">
        <v>15013.34</v>
      </c>
      <c r="BE257" s="11">
        <v>24252.32</v>
      </c>
      <c r="BF257" s="11">
        <v>15013.34</v>
      </c>
      <c r="BG257" s="11">
        <v>22000</v>
      </c>
      <c r="BH257" s="11">
        <v>10000</v>
      </c>
      <c r="BI257" s="11">
        <v>7453</v>
      </c>
      <c r="BJ257" s="11">
        <v>11745</v>
      </c>
      <c r="BK257" s="11">
        <v>60889</v>
      </c>
      <c r="BL257" s="11">
        <v>47668</v>
      </c>
      <c r="BM257" s="11">
        <v>34859</v>
      </c>
      <c r="BN257" s="11">
        <v>23168</v>
      </c>
      <c r="BO257" s="9">
        <v>187000</v>
      </c>
      <c r="BP257" s="9">
        <v>2930</v>
      </c>
    </row>
    <row r="258" spans="1:68" x14ac:dyDescent="0.3">
      <c r="A258" s="7">
        <v>45548</v>
      </c>
      <c r="B258" s="7" t="str">
        <f t="shared" ref="B258:B321" si="4">CHOOSE(C258,
"JANUARY",
"FEBRUARY",
"MARCH",
"APRIL",
"MAY",
"JUNE",
"JULY",
"AUGUST",
"SEPTEMBER",
"OCTOBER",
"NOVEMBER",
"DECEMBER")</f>
        <v>SEPTEMBER</v>
      </c>
      <c r="C258" s="8">
        <f>MONTH(Data!$A258)</f>
        <v>9</v>
      </c>
      <c r="D258" s="9">
        <v>1212</v>
      </c>
      <c r="E258" s="9">
        <v>718</v>
      </c>
      <c r="F258" s="9">
        <v>303</v>
      </c>
      <c r="G258" s="9">
        <v>837</v>
      </c>
      <c r="H258" s="9">
        <v>72</v>
      </c>
      <c r="I258" s="9">
        <v>150</v>
      </c>
      <c r="J258" s="9">
        <v>389</v>
      </c>
      <c r="K258" s="9">
        <v>179</v>
      </c>
      <c r="L258" s="9">
        <v>383</v>
      </c>
      <c r="M258" s="9">
        <v>210</v>
      </c>
      <c r="N258" s="9">
        <v>67</v>
      </c>
      <c r="O258" s="9">
        <v>60</v>
      </c>
      <c r="P258" s="9">
        <v>67</v>
      </c>
      <c r="Q258" s="9">
        <v>225</v>
      </c>
      <c r="R258" s="9">
        <v>41</v>
      </c>
      <c r="S258" s="9">
        <v>69</v>
      </c>
      <c r="T258" s="9">
        <v>64</v>
      </c>
      <c r="U258" s="9">
        <v>26</v>
      </c>
      <c r="V258" s="9">
        <v>93</v>
      </c>
      <c r="W258" s="9">
        <v>0</v>
      </c>
      <c r="X258" s="9">
        <v>43</v>
      </c>
      <c r="Y258" s="9">
        <v>0</v>
      </c>
      <c r="Z258" s="9">
        <v>74</v>
      </c>
      <c r="AA258" s="9">
        <v>43</v>
      </c>
      <c r="AB258" s="9">
        <v>14</v>
      </c>
      <c r="AC258" s="9">
        <v>7</v>
      </c>
      <c r="AD258" s="9">
        <v>21</v>
      </c>
      <c r="AE258" s="9">
        <v>14</v>
      </c>
      <c r="AF258" s="9">
        <v>7</v>
      </c>
      <c r="AG258" s="9">
        <v>21</v>
      </c>
      <c r="AH258" s="9">
        <v>0</v>
      </c>
      <c r="AI258" s="9">
        <v>7</v>
      </c>
      <c r="AJ258" s="9">
        <v>21</v>
      </c>
      <c r="AK258" s="9">
        <v>71</v>
      </c>
      <c r="AL258" s="9">
        <v>35</v>
      </c>
      <c r="AM258" s="9">
        <v>28</v>
      </c>
      <c r="AN258" s="9">
        <v>7</v>
      </c>
      <c r="AO258" s="9">
        <v>0</v>
      </c>
      <c r="AP258" s="9">
        <v>14</v>
      </c>
      <c r="AQ258" s="9">
        <v>21</v>
      </c>
      <c r="AR258" s="9">
        <v>57</v>
      </c>
      <c r="AS258" s="9">
        <v>7</v>
      </c>
      <c r="AT258" s="9">
        <v>57</v>
      </c>
      <c r="AU258" s="9">
        <v>7</v>
      </c>
      <c r="AV258" s="9">
        <v>7</v>
      </c>
      <c r="AW258" s="9">
        <v>14</v>
      </c>
      <c r="AX258" s="9">
        <v>14</v>
      </c>
      <c r="AY258" s="9">
        <v>14</v>
      </c>
      <c r="AZ258" s="9">
        <v>0</v>
      </c>
      <c r="BA258" s="10">
        <v>118.16999999999999</v>
      </c>
      <c r="BB258" s="11">
        <v>33778.75</v>
      </c>
      <c r="BC258" s="11">
        <v>19801.34</v>
      </c>
      <c r="BD258" s="11">
        <v>15142.2</v>
      </c>
      <c r="BE258" s="11">
        <v>19801.34</v>
      </c>
      <c r="BF258" s="11">
        <v>27954.83</v>
      </c>
      <c r="BG258" s="11">
        <v>22000</v>
      </c>
      <c r="BH258" s="11">
        <v>10000</v>
      </c>
      <c r="BI258" s="11">
        <v>7453</v>
      </c>
      <c r="BJ258" s="11">
        <v>11745</v>
      </c>
      <c r="BK258" s="11">
        <v>60889</v>
      </c>
      <c r="BL258" s="11">
        <v>47668</v>
      </c>
      <c r="BM258" s="11">
        <v>34859</v>
      </c>
      <c r="BN258" s="11">
        <v>23168</v>
      </c>
      <c r="BO258" s="9">
        <v>187000</v>
      </c>
      <c r="BP258" s="9">
        <v>2085</v>
      </c>
    </row>
    <row r="259" spans="1:68" x14ac:dyDescent="0.3">
      <c r="A259" s="7">
        <v>45549</v>
      </c>
      <c r="B259" s="7" t="str">
        <f t="shared" si="4"/>
        <v>SEPTEMBER</v>
      </c>
      <c r="C259" s="8">
        <f>MONTH(Data!$A259)</f>
        <v>9</v>
      </c>
      <c r="D259" s="9">
        <v>1197</v>
      </c>
      <c r="E259" s="9">
        <v>714</v>
      </c>
      <c r="F259" s="9">
        <v>335</v>
      </c>
      <c r="G259" s="9">
        <v>683</v>
      </c>
      <c r="H259" s="9">
        <v>179</v>
      </c>
      <c r="I259" s="9">
        <v>171</v>
      </c>
      <c r="J259" s="9">
        <v>501</v>
      </c>
      <c r="K259" s="9">
        <v>42</v>
      </c>
      <c r="L259" s="9">
        <v>371</v>
      </c>
      <c r="M259" s="9">
        <v>215</v>
      </c>
      <c r="N259" s="9">
        <v>81</v>
      </c>
      <c r="O259" s="9">
        <v>51</v>
      </c>
      <c r="P259" s="9">
        <v>37</v>
      </c>
      <c r="Q259" s="9">
        <v>209</v>
      </c>
      <c r="R259" s="9">
        <v>109</v>
      </c>
      <c r="S259" s="9">
        <v>63</v>
      </c>
      <c r="T259" s="9">
        <v>50</v>
      </c>
      <c r="U259" s="9">
        <v>11</v>
      </c>
      <c r="V259" s="9">
        <v>64</v>
      </c>
      <c r="W259" s="9">
        <v>0</v>
      </c>
      <c r="X259" s="9">
        <v>21</v>
      </c>
      <c r="Y259" s="9">
        <v>21</v>
      </c>
      <c r="Z259" s="9">
        <v>114</v>
      </c>
      <c r="AA259" s="9">
        <v>57</v>
      </c>
      <c r="AB259" s="9">
        <v>14</v>
      </c>
      <c r="AC259" s="9">
        <v>21</v>
      </c>
      <c r="AD259" s="9">
        <v>42</v>
      </c>
      <c r="AE259" s="9">
        <v>7</v>
      </c>
      <c r="AF259" s="9">
        <v>0</v>
      </c>
      <c r="AG259" s="9">
        <v>21</v>
      </c>
      <c r="AH259" s="9">
        <v>14</v>
      </c>
      <c r="AI259" s="9">
        <v>0</v>
      </c>
      <c r="AJ259" s="9">
        <v>7</v>
      </c>
      <c r="AK259" s="9">
        <v>42</v>
      </c>
      <c r="AL259" s="9">
        <v>14</v>
      </c>
      <c r="AM259" s="9">
        <v>14</v>
      </c>
      <c r="AN259" s="9">
        <v>7</v>
      </c>
      <c r="AO259" s="9">
        <v>0</v>
      </c>
      <c r="AP259" s="9">
        <v>7</v>
      </c>
      <c r="AQ259" s="9">
        <v>28</v>
      </c>
      <c r="AR259" s="9">
        <v>57</v>
      </c>
      <c r="AS259" s="9">
        <v>14</v>
      </c>
      <c r="AT259" s="9">
        <v>49</v>
      </c>
      <c r="AU259" s="9">
        <v>21</v>
      </c>
      <c r="AV259" s="9">
        <v>7</v>
      </c>
      <c r="AW259" s="9">
        <v>7</v>
      </c>
      <c r="AX259" s="9">
        <v>21</v>
      </c>
      <c r="AY259" s="9">
        <v>0</v>
      </c>
      <c r="AZ259" s="9">
        <v>23</v>
      </c>
      <c r="BA259" s="10">
        <v>120.21</v>
      </c>
      <c r="BB259" s="11">
        <v>34268.400000000001</v>
      </c>
      <c r="BC259" s="11">
        <v>28360.06</v>
      </c>
      <c r="BD259" s="11">
        <v>29541.73</v>
      </c>
      <c r="BE259" s="11">
        <v>24815.05</v>
      </c>
      <c r="BF259" s="11">
        <v>1181.67</v>
      </c>
      <c r="BG259" s="11">
        <v>22000</v>
      </c>
      <c r="BH259" s="11">
        <v>10000</v>
      </c>
      <c r="BI259" s="11">
        <v>7453</v>
      </c>
      <c r="BJ259" s="11">
        <v>11745</v>
      </c>
      <c r="BK259" s="11">
        <v>60889</v>
      </c>
      <c r="BL259" s="11">
        <v>47668</v>
      </c>
      <c r="BM259" s="11">
        <v>34859</v>
      </c>
      <c r="BN259" s="11">
        <v>23168</v>
      </c>
      <c r="BO259" s="9">
        <v>187000</v>
      </c>
      <c r="BP259" s="9">
        <v>5282</v>
      </c>
    </row>
    <row r="260" spans="1:68" x14ac:dyDescent="0.3">
      <c r="A260" s="7">
        <v>45550</v>
      </c>
      <c r="B260" s="7" t="str">
        <f t="shared" si="4"/>
        <v>SEPTEMBER</v>
      </c>
      <c r="C260" s="8">
        <f>MONTH(Data!$A260)</f>
        <v>9</v>
      </c>
      <c r="D260" s="9">
        <v>1171</v>
      </c>
      <c r="E260" s="9">
        <v>717</v>
      </c>
      <c r="F260" s="9">
        <v>597</v>
      </c>
      <c r="G260" s="9">
        <v>329</v>
      </c>
      <c r="H260" s="9">
        <v>245</v>
      </c>
      <c r="I260" s="9">
        <v>308</v>
      </c>
      <c r="J260" s="9">
        <v>230</v>
      </c>
      <c r="K260" s="9">
        <v>179</v>
      </c>
      <c r="L260" s="9">
        <v>268</v>
      </c>
      <c r="M260" s="9">
        <v>196</v>
      </c>
      <c r="N260" s="9">
        <v>58</v>
      </c>
      <c r="O260" s="9">
        <v>58</v>
      </c>
      <c r="P260" s="9">
        <v>14</v>
      </c>
      <c r="Q260" s="9">
        <v>222</v>
      </c>
      <c r="R260" s="9">
        <v>57</v>
      </c>
      <c r="S260" s="9">
        <v>48</v>
      </c>
      <c r="T260" s="9">
        <v>66</v>
      </c>
      <c r="U260" s="9">
        <v>184</v>
      </c>
      <c r="V260" s="9">
        <v>35</v>
      </c>
      <c r="W260" s="9">
        <v>21</v>
      </c>
      <c r="X260" s="9">
        <v>21</v>
      </c>
      <c r="Y260" s="9">
        <v>7</v>
      </c>
      <c r="Z260" s="9">
        <v>78</v>
      </c>
      <c r="AA260" s="9">
        <v>64</v>
      </c>
      <c r="AB260" s="9">
        <v>14</v>
      </c>
      <c r="AC260" s="9">
        <v>7</v>
      </c>
      <c r="AD260" s="9">
        <v>28</v>
      </c>
      <c r="AE260" s="9">
        <v>14</v>
      </c>
      <c r="AF260" s="9">
        <v>0</v>
      </c>
      <c r="AG260" s="9">
        <v>7</v>
      </c>
      <c r="AH260" s="9">
        <v>14</v>
      </c>
      <c r="AI260" s="9">
        <v>7</v>
      </c>
      <c r="AJ260" s="9">
        <v>0</v>
      </c>
      <c r="AK260" s="9">
        <v>64</v>
      </c>
      <c r="AL260" s="9">
        <v>7</v>
      </c>
      <c r="AM260" s="9">
        <v>28</v>
      </c>
      <c r="AN260" s="9">
        <v>21</v>
      </c>
      <c r="AO260" s="9">
        <v>0</v>
      </c>
      <c r="AP260" s="9">
        <v>28</v>
      </c>
      <c r="AQ260" s="9">
        <v>28</v>
      </c>
      <c r="AR260" s="9">
        <v>71</v>
      </c>
      <c r="AS260" s="9">
        <v>7</v>
      </c>
      <c r="AT260" s="9">
        <v>21</v>
      </c>
      <c r="AU260" s="9">
        <v>35</v>
      </c>
      <c r="AV260" s="9">
        <v>7</v>
      </c>
      <c r="AW260" s="9">
        <v>7</v>
      </c>
      <c r="AX260" s="9">
        <v>21</v>
      </c>
      <c r="AY260" s="9">
        <v>0</v>
      </c>
      <c r="AZ260" s="9">
        <v>55</v>
      </c>
      <c r="BA260" s="10">
        <v>121.30000000000001</v>
      </c>
      <c r="BB260" s="11">
        <v>37261.769999999997</v>
      </c>
      <c r="BC260" s="11">
        <v>15625.9</v>
      </c>
      <c r="BD260" s="11">
        <v>16827.900000000001</v>
      </c>
      <c r="BE260" s="11">
        <v>10817.93</v>
      </c>
      <c r="BF260" s="11">
        <v>39665.75</v>
      </c>
      <c r="BG260" s="11">
        <v>18500</v>
      </c>
      <c r="BH260" s="11">
        <v>10000</v>
      </c>
      <c r="BI260" s="11">
        <v>7453</v>
      </c>
      <c r="BJ260" s="11">
        <v>11745</v>
      </c>
      <c r="BK260" s="11">
        <v>60889</v>
      </c>
      <c r="BL260" s="11">
        <v>47668</v>
      </c>
      <c r="BM260" s="11">
        <v>34859</v>
      </c>
      <c r="BN260" s="11">
        <v>23168</v>
      </c>
      <c r="BO260" s="9">
        <v>187000</v>
      </c>
      <c r="BP260" s="9">
        <v>2945</v>
      </c>
    </row>
    <row r="261" spans="1:68" x14ac:dyDescent="0.3">
      <c r="A261" s="7">
        <v>45551</v>
      </c>
      <c r="B261" s="7" t="str">
        <f t="shared" si="4"/>
        <v>SEPTEMBER</v>
      </c>
      <c r="C261" s="8">
        <f>MONTH(Data!$A261)</f>
        <v>9</v>
      </c>
      <c r="D261" s="9">
        <v>1153</v>
      </c>
      <c r="E261" s="9">
        <v>725</v>
      </c>
      <c r="F261" s="9">
        <v>495</v>
      </c>
      <c r="G261" s="9">
        <v>416</v>
      </c>
      <c r="H261" s="9">
        <v>242</v>
      </c>
      <c r="I261" s="9">
        <v>340</v>
      </c>
      <c r="J261" s="9">
        <v>313</v>
      </c>
      <c r="K261" s="9">
        <v>72</v>
      </c>
      <c r="L261" s="9">
        <v>378</v>
      </c>
      <c r="M261" s="9">
        <v>185</v>
      </c>
      <c r="N261" s="9">
        <v>78</v>
      </c>
      <c r="O261" s="9">
        <v>107</v>
      </c>
      <c r="P261" s="9">
        <v>21</v>
      </c>
      <c r="Q261" s="9">
        <v>205</v>
      </c>
      <c r="R261" s="9">
        <v>39</v>
      </c>
      <c r="S261" s="9">
        <v>35</v>
      </c>
      <c r="T261" s="9">
        <v>35</v>
      </c>
      <c r="U261" s="9">
        <v>70</v>
      </c>
      <c r="V261" s="9">
        <v>43</v>
      </c>
      <c r="W261" s="9">
        <v>21</v>
      </c>
      <c r="X261" s="9">
        <v>36</v>
      </c>
      <c r="Y261" s="9">
        <v>21</v>
      </c>
      <c r="Z261" s="9">
        <v>87</v>
      </c>
      <c r="AA261" s="9">
        <v>36</v>
      </c>
      <c r="AB261" s="9">
        <v>14</v>
      </c>
      <c r="AC261" s="9">
        <v>7</v>
      </c>
      <c r="AD261" s="9">
        <v>14</v>
      </c>
      <c r="AE261" s="9">
        <v>7</v>
      </c>
      <c r="AF261" s="9">
        <v>7</v>
      </c>
      <c r="AG261" s="9">
        <v>7</v>
      </c>
      <c r="AH261" s="9">
        <v>0</v>
      </c>
      <c r="AI261" s="9">
        <v>21</v>
      </c>
      <c r="AJ261" s="9">
        <v>14</v>
      </c>
      <c r="AK261" s="9">
        <v>50</v>
      </c>
      <c r="AL261" s="9">
        <v>7</v>
      </c>
      <c r="AM261" s="9">
        <v>7</v>
      </c>
      <c r="AN261" s="9">
        <v>21</v>
      </c>
      <c r="AO261" s="9">
        <v>0</v>
      </c>
      <c r="AP261" s="9">
        <v>29</v>
      </c>
      <c r="AQ261" s="9">
        <v>29</v>
      </c>
      <c r="AR261" s="9">
        <v>58</v>
      </c>
      <c r="AS261" s="9">
        <v>7</v>
      </c>
      <c r="AT261" s="9">
        <v>21</v>
      </c>
      <c r="AU261" s="9">
        <v>14</v>
      </c>
      <c r="AV261" s="9">
        <v>7</v>
      </c>
      <c r="AW261" s="9">
        <v>50</v>
      </c>
      <c r="AX261" s="9">
        <v>0</v>
      </c>
      <c r="AY261" s="9">
        <v>29</v>
      </c>
      <c r="AZ261" s="9">
        <v>61</v>
      </c>
      <c r="BA261" s="10">
        <v>122.03999999999999</v>
      </c>
      <c r="BB261" s="11">
        <v>36389.279999999999</v>
      </c>
      <c r="BC261" s="11">
        <v>15768.69</v>
      </c>
      <c r="BD261" s="11">
        <v>13342.74</v>
      </c>
      <c r="BE261" s="11">
        <v>20620.59</v>
      </c>
      <c r="BF261" s="11">
        <v>35176.31</v>
      </c>
      <c r="BG261" s="11">
        <v>18500</v>
      </c>
      <c r="BH261" s="11">
        <v>10000</v>
      </c>
      <c r="BI261" s="11">
        <v>7453</v>
      </c>
      <c r="BJ261" s="11">
        <v>11745</v>
      </c>
      <c r="BK261" s="11">
        <v>60889</v>
      </c>
      <c r="BL261" s="11">
        <v>47668</v>
      </c>
      <c r="BM261" s="11">
        <v>34859</v>
      </c>
      <c r="BN261" s="11">
        <v>23168</v>
      </c>
      <c r="BO261" s="9">
        <v>187000</v>
      </c>
      <c r="BP261" s="9">
        <v>3018</v>
      </c>
    </row>
    <row r="262" spans="1:68" x14ac:dyDescent="0.3">
      <c r="A262" s="7">
        <v>45552</v>
      </c>
      <c r="B262" s="7" t="str">
        <f t="shared" si="4"/>
        <v>SEPTEMBER</v>
      </c>
      <c r="C262" s="8">
        <f>MONTH(Data!$A262)</f>
        <v>9</v>
      </c>
      <c r="D262" s="9">
        <v>1150</v>
      </c>
      <c r="E262" s="9">
        <v>738</v>
      </c>
      <c r="F262" s="9">
        <v>356</v>
      </c>
      <c r="G262" s="9">
        <v>622</v>
      </c>
      <c r="H262" s="9">
        <v>172</v>
      </c>
      <c r="I262" s="9">
        <v>177</v>
      </c>
      <c r="J262" s="9">
        <v>480</v>
      </c>
      <c r="K262" s="9">
        <v>81</v>
      </c>
      <c r="L262" s="9">
        <v>392</v>
      </c>
      <c r="M262" s="9">
        <v>163</v>
      </c>
      <c r="N262" s="9">
        <v>49</v>
      </c>
      <c r="O262" s="9">
        <v>35</v>
      </c>
      <c r="P262" s="9">
        <v>21</v>
      </c>
      <c r="Q262" s="9">
        <v>192</v>
      </c>
      <c r="R262" s="9">
        <v>61</v>
      </c>
      <c r="S262" s="9">
        <v>56</v>
      </c>
      <c r="T262" s="9">
        <v>48</v>
      </c>
      <c r="U262" s="9">
        <v>133</v>
      </c>
      <c r="V262" s="9">
        <v>73</v>
      </c>
      <c r="W262" s="9">
        <v>0</v>
      </c>
      <c r="X262" s="9">
        <v>29</v>
      </c>
      <c r="Y262" s="9">
        <v>14</v>
      </c>
      <c r="Z262" s="9">
        <v>81</v>
      </c>
      <c r="AA262" s="9">
        <v>59</v>
      </c>
      <c r="AB262" s="9">
        <v>22</v>
      </c>
      <c r="AC262" s="9">
        <v>22</v>
      </c>
      <c r="AD262" s="9">
        <v>44</v>
      </c>
      <c r="AE262" s="9">
        <v>7</v>
      </c>
      <c r="AF262" s="9">
        <v>7</v>
      </c>
      <c r="AG262" s="9">
        <v>29</v>
      </c>
      <c r="AH262" s="9">
        <v>7</v>
      </c>
      <c r="AI262" s="9">
        <v>7</v>
      </c>
      <c r="AJ262" s="9">
        <v>7</v>
      </c>
      <c r="AK262" s="9">
        <v>29</v>
      </c>
      <c r="AL262" s="9">
        <v>14</v>
      </c>
      <c r="AM262" s="9">
        <v>7</v>
      </c>
      <c r="AN262" s="9">
        <v>22</v>
      </c>
      <c r="AO262" s="9">
        <v>7</v>
      </c>
      <c r="AP262" s="9">
        <v>7</v>
      </c>
      <c r="AQ262" s="9">
        <v>29</v>
      </c>
      <c r="AR262" s="9">
        <v>59</v>
      </c>
      <c r="AS262" s="9">
        <v>14</v>
      </c>
      <c r="AT262" s="9">
        <v>66</v>
      </c>
      <c r="AU262" s="9">
        <v>14</v>
      </c>
      <c r="AV262" s="9">
        <v>0</v>
      </c>
      <c r="AW262" s="9">
        <v>29</v>
      </c>
      <c r="AX262" s="9">
        <v>0</v>
      </c>
      <c r="AY262" s="9">
        <v>0</v>
      </c>
      <c r="AZ262" s="9">
        <v>33</v>
      </c>
      <c r="BA262" s="10">
        <v>122.35</v>
      </c>
      <c r="BB262" s="11">
        <v>37834.589999999997</v>
      </c>
      <c r="BC262" s="11">
        <v>30511.77</v>
      </c>
      <c r="BD262" s="11">
        <v>28070.83</v>
      </c>
      <c r="BE262" s="11">
        <v>24409.41</v>
      </c>
      <c r="BF262" s="11">
        <v>1220.47</v>
      </c>
      <c r="BG262" s="11">
        <v>18500</v>
      </c>
      <c r="BH262" s="11">
        <v>10000</v>
      </c>
      <c r="BI262" s="11">
        <v>7453</v>
      </c>
      <c r="BJ262" s="11">
        <v>11745</v>
      </c>
      <c r="BK262" s="11">
        <v>60889</v>
      </c>
      <c r="BL262" s="11">
        <v>47668</v>
      </c>
      <c r="BM262" s="11">
        <v>34859</v>
      </c>
      <c r="BN262" s="11">
        <v>23168</v>
      </c>
      <c r="BO262" s="9">
        <v>187000</v>
      </c>
      <c r="BP262" s="9">
        <v>2277</v>
      </c>
    </row>
    <row r="263" spans="1:68" x14ac:dyDescent="0.3">
      <c r="A263" s="7">
        <v>45553</v>
      </c>
      <c r="B263" s="7" t="str">
        <f t="shared" si="4"/>
        <v>SEPTEMBER</v>
      </c>
      <c r="C263" s="8">
        <f>MONTH(Data!$A263)</f>
        <v>9</v>
      </c>
      <c r="D263" s="9">
        <v>1157</v>
      </c>
      <c r="E263" s="9">
        <v>760</v>
      </c>
      <c r="F263" s="9">
        <v>578</v>
      </c>
      <c r="G263" s="9">
        <v>418</v>
      </c>
      <c r="H263" s="9">
        <v>161</v>
      </c>
      <c r="I263" s="9">
        <v>182</v>
      </c>
      <c r="J263" s="9">
        <v>426</v>
      </c>
      <c r="K263" s="9">
        <v>152</v>
      </c>
      <c r="L263" s="9">
        <v>380</v>
      </c>
      <c r="M263" s="9">
        <v>193</v>
      </c>
      <c r="N263" s="9">
        <v>86</v>
      </c>
      <c r="O263" s="9">
        <v>50</v>
      </c>
      <c r="P263" s="9">
        <v>35</v>
      </c>
      <c r="Q263" s="9">
        <v>167</v>
      </c>
      <c r="R263" s="9">
        <v>30</v>
      </c>
      <c r="S263" s="9">
        <v>39</v>
      </c>
      <c r="T263" s="9">
        <v>30</v>
      </c>
      <c r="U263" s="9">
        <v>147</v>
      </c>
      <c r="V263" s="9">
        <v>30</v>
      </c>
      <c r="W263" s="9">
        <v>15</v>
      </c>
      <c r="X263" s="9">
        <v>30</v>
      </c>
      <c r="Y263" s="9">
        <v>0</v>
      </c>
      <c r="Z263" s="9">
        <v>114</v>
      </c>
      <c r="AA263" s="9">
        <v>60</v>
      </c>
      <c r="AB263" s="9">
        <v>7</v>
      </c>
      <c r="AC263" s="9">
        <v>0</v>
      </c>
      <c r="AD263" s="9">
        <v>30</v>
      </c>
      <c r="AE263" s="9">
        <v>0</v>
      </c>
      <c r="AF263" s="9">
        <v>0</v>
      </c>
      <c r="AG263" s="9">
        <v>30</v>
      </c>
      <c r="AH263" s="9">
        <v>0</v>
      </c>
      <c r="AI263" s="9">
        <v>15</v>
      </c>
      <c r="AJ263" s="9">
        <v>7</v>
      </c>
      <c r="AK263" s="9">
        <v>60</v>
      </c>
      <c r="AL263" s="9">
        <v>30</v>
      </c>
      <c r="AM263" s="9">
        <v>38</v>
      </c>
      <c r="AN263" s="9">
        <v>7</v>
      </c>
      <c r="AO263" s="9">
        <v>0</v>
      </c>
      <c r="AP263" s="9">
        <v>22</v>
      </c>
      <c r="AQ263" s="9">
        <v>15</v>
      </c>
      <c r="AR263" s="9">
        <v>83</v>
      </c>
      <c r="AS263" s="9">
        <v>22</v>
      </c>
      <c r="AT263" s="9">
        <v>38</v>
      </c>
      <c r="AU263" s="9">
        <v>22</v>
      </c>
      <c r="AV263" s="9">
        <v>0</v>
      </c>
      <c r="AW263" s="9">
        <v>15</v>
      </c>
      <c r="AX263" s="9">
        <v>15</v>
      </c>
      <c r="AY263" s="9">
        <v>22</v>
      </c>
      <c r="AZ263" s="9">
        <v>33</v>
      </c>
      <c r="BA263" s="10">
        <v>121.44</v>
      </c>
      <c r="BB263" s="11">
        <v>42823.06</v>
      </c>
      <c r="BC263" s="11">
        <v>19576.259999999998</v>
      </c>
      <c r="BD263" s="11">
        <v>29364.38</v>
      </c>
      <c r="BE263" s="11">
        <v>17129.22</v>
      </c>
      <c r="BF263" s="11">
        <v>13458.68</v>
      </c>
      <c r="BG263" s="11">
        <v>18500</v>
      </c>
      <c r="BH263" s="11">
        <v>10000</v>
      </c>
      <c r="BI263" s="11">
        <v>7453</v>
      </c>
      <c r="BJ263" s="11">
        <v>11745</v>
      </c>
      <c r="BK263" s="11">
        <v>60889</v>
      </c>
      <c r="BL263" s="11">
        <v>47668</v>
      </c>
      <c r="BM263" s="11">
        <v>34859</v>
      </c>
      <c r="BN263" s="11">
        <v>23168</v>
      </c>
      <c r="BO263" s="9">
        <v>187000</v>
      </c>
      <c r="BP263" s="9">
        <v>8344</v>
      </c>
    </row>
    <row r="264" spans="1:68" x14ac:dyDescent="0.3">
      <c r="A264" s="7">
        <v>45554</v>
      </c>
      <c r="B264" s="7" t="str">
        <f t="shared" si="4"/>
        <v>SEPTEMBER</v>
      </c>
      <c r="C264" s="8">
        <f>MONTH(Data!$A264)</f>
        <v>9</v>
      </c>
      <c r="D264" s="9">
        <v>1182</v>
      </c>
      <c r="E264" s="9">
        <v>782</v>
      </c>
      <c r="F264" s="9">
        <v>425</v>
      </c>
      <c r="G264" s="9">
        <v>616</v>
      </c>
      <c r="H264" s="9">
        <v>141</v>
      </c>
      <c r="I264" s="9">
        <v>172</v>
      </c>
      <c r="J264" s="9">
        <v>540</v>
      </c>
      <c r="K264" s="9">
        <v>70</v>
      </c>
      <c r="L264" s="9">
        <v>381</v>
      </c>
      <c r="M264" s="9">
        <v>161</v>
      </c>
      <c r="N264" s="9">
        <v>102</v>
      </c>
      <c r="O264" s="9">
        <v>43</v>
      </c>
      <c r="P264" s="9">
        <v>36</v>
      </c>
      <c r="Q264" s="9">
        <v>170</v>
      </c>
      <c r="R264" s="9">
        <v>76</v>
      </c>
      <c r="S264" s="9">
        <v>58</v>
      </c>
      <c r="T264" s="9">
        <v>44</v>
      </c>
      <c r="U264" s="9">
        <v>111</v>
      </c>
      <c r="V264" s="9">
        <v>78</v>
      </c>
      <c r="W264" s="9">
        <v>15</v>
      </c>
      <c r="X264" s="9">
        <v>31</v>
      </c>
      <c r="Y264" s="9">
        <v>15</v>
      </c>
      <c r="Z264" s="9">
        <v>62</v>
      </c>
      <c r="AA264" s="9">
        <v>54</v>
      </c>
      <c r="AB264" s="9">
        <v>7</v>
      </c>
      <c r="AC264" s="9">
        <v>15</v>
      </c>
      <c r="AD264" s="9">
        <v>46</v>
      </c>
      <c r="AE264" s="9">
        <v>15</v>
      </c>
      <c r="AF264" s="9">
        <v>0</v>
      </c>
      <c r="AG264" s="9">
        <v>31</v>
      </c>
      <c r="AH264" s="9">
        <v>7</v>
      </c>
      <c r="AI264" s="9">
        <v>15</v>
      </c>
      <c r="AJ264" s="9">
        <v>7</v>
      </c>
      <c r="AK264" s="9">
        <v>70</v>
      </c>
      <c r="AL264" s="9">
        <v>39</v>
      </c>
      <c r="AM264" s="9">
        <v>31</v>
      </c>
      <c r="AN264" s="9">
        <v>15</v>
      </c>
      <c r="AO264" s="9">
        <v>7</v>
      </c>
      <c r="AP264" s="9">
        <v>31</v>
      </c>
      <c r="AQ264" s="9">
        <v>31</v>
      </c>
      <c r="AR264" s="9">
        <v>0</v>
      </c>
      <c r="AS264" s="9">
        <v>7</v>
      </c>
      <c r="AT264" s="9">
        <v>47</v>
      </c>
      <c r="AU264" s="9">
        <v>7</v>
      </c>
      <c r="AV264" s="9">
        <v>7</v>
      </c>
      <c r="AW264" s="9">
        <v>54</v>
      </c>
      <c r="AX264" s="9">
        <v>31</v>
      </c>
      <c r="AY264" s="9">
        <v>7</v>
      </c>
      <c r="AZ264" s="9">
        <v>0</v>
      </c>
      <c r="BA264" s="10">
        <v>119.62</v>
      </c>
      <c r="BB264" s="11">
        <v>30358.05</v>
      </c>
      <c r="BC264" s="11">
        <v>24286.44</v>
      </c>
      <c r="BD264" s="11">
        <v>19429.150000000001</v>
      </c>
      <c r="BE264" s="11">
        <v>13357.54</v>
      </c>
      <c r="BF264" s="11">
        <v>34001.019999999997</v>
      </c>
      <c r="BG264" s="11">
        <v>18500</v>
      </c>
      <c r="BH264" s="11">
        <v>10000</v>
      </c>
      <c r="BI264" s="11">
        <v>7453</v>
      </c>
      <c r="BJ264" s="11">
        <v>11745</v>
      </c>
      <c r="BK264" s="11">
        <v>60889</v>
      </c>
      <c r="BL264" s="11">
        <v>47668</v>
      </c>
      <c r="BM264" s="11">
        <v>34859</v>
      </c>
      <c r="BN264" s="11">
        <v>23168</v>
      </c>
      <c r="BO264" s="9">
        <v>187000</v>
      </c>
      <c r="BP264" s="9">
        <v>5115</v>
      </c>
    </row>
    <row r="265" spans="1:68" x14ac:dyDescent="0.3">
      <c r="A265" s="7">
        <v>45555</v>
      </c>
      <c r="B265" s="7" t="str">
        <f t="shared" si="4"/>
        <v>SEPTEMBER</v>
      </c>
      <c r="C265" s="8">
        <f>MONTH(Data!$A265)</f>
        <v>9</v>
      </c>
      <c r="D265" s="9">
        <v>1193</v>
      </c>
      <c r="E265" s="9">
        <v>816</v>
      </c>
      <c r="F265" s="9">
        <v>274</v>
      </c>
      <c r="G265" s="9">
        <v>836</v>
      </c>
      <c r="H265" s="9">
        <v>83</v>
      </c>
      <c r="I265" s="9">
        <v>228</v>
      </c>
      <c r="J265" s="9">
        <v>458</v>
      </c>
      <c r="K265" s="9">
        <v>130</v>
      </c>
      <c r="L265" s="9">
        <v>370</v>
      </c>
      <c r="M265" s="9">
        <v>229</v>
      </c>
      <c r="N265" s="9">
        <v>51</v>
      </c>
      <c r="O265" s="9">
        <v>88</v>
      </c>
      <c r="P265" s="9">
        <v>44</v>
      </c>
      <c r="Q265" s="9">
        <v>217</v>
      </c>
      <c r="R265" s="9">
        <v>77</v>
      </c>
      <c r="S265" s="9">
        <v>54</v>
      </c>
      <c r="T265" s="9">
        <v>63</v>
      </c>
      <c r="U265" s="9">
        <v>0</v>
      </c>
      <c r="V265" s="9">
        <v>89</v>
      </c>
      <c r="W265" s="9">
        <v>0</v>
      </c>
      <c r="X265" s="9">
        <v>40</v>
      </c>
      <c r="Y265" s="9">
        <v>0</v>
      </c>
      <c r="Z265" s="9">
        <v>52</v>
      </c>
      <c r="AA265" s="9">
        <v>40</v>
      </c>
      <c r="AB265" s="9">
        <v>0</v>
      </c>
      <c r="AC265" s="9">
        <v>24</v>
      </c>
      <c r="AD265" s="9">
        <v>40</v>
      </c>
      <c r="AE265" s="9">
        <v>16</v>
      </c>
      <c r="AF265" s="9">
        <v>0</v>
      </c>
      <c r="AG265" s="9">
        <v>24</v>
      </c>
      <c r="AH265" s="9">
        <v>16</v>
      </c>
      <c r="AI265" s="9">
        <v>24</v>
      </c>
      <c r="AJ265" s="9">
        <v>24</v>
      </c>
      <c r="AK265" s="9">
        <v>57</v>
      </c>
      <c r="AL265" s="9">
        <v>40</v>
      </c>
      <c r="AM265" s="9">
        <v>40</v>
      </c>
      <c r="AN265" s="9">
        <v>24</v>
      </c>
      <c r="AO265" s="9">
        <v>0</v>
      </c>
      <c r="AP265" s="9">
        <v>8</v>
      </c>
      <c r="AQ265" s="9">
        <v>24</v>
      </c>
      <c r="AR265" s="9">
        <v>57</v>
      </c>
      <c r="AS265" s="9">
        <v>16</v>
      </c>
      <c r="AT265" s="9">
        <v>65</v>
      </c>
      <c r="AU265" s="9">
        <v>16</v>
      </c>
      <c r="AV265" s="9">
        <v>0</v>
      </c>
      <c r="AW265" s="9">
        <v>48</v>
      </c>
      <c r="AX265" s="9">
        <v>16</v>
      </c>
      <c r="AY265" s="9">
        <v>16</v>
      </c>
      <c r="AZ265" s="9">
        <v>0</v>
      </c>
      <c r="BA265" s="10">
        <v>118.47</v>
      </c>
      <c r="BB265" s="11">
        <v>34692.14</v>
      </c>
      <c r="BC265" s="11">
        <v>19140.490000000002</v>
      </c>
      <c r="BD265" s="11">
        <v>21533.05</v>
      </c>
      <c r="BE265" s="11">
        <v>26318.17</v>
      </c>
      <c r="BF265" s="11">
        <v>17944.21</v>
      </c>
      <c r="BG265" s="11">
        <v>18500</v>
      </c>
      <c r="BH265" s="11">
        <v>10000</v>
      </c>
      <c r="BI265" s="11">
        <v>7453</v>
      </c>
      <c r="BJ265" s="11">
        <v>11745</v>
      </c>
      <c r="BK265" s="11">
        <v>60889</v>
      </c>
      <c r="BL265" s="11">
        <v>47668</v>
      </c>
      <c r="BM265" s="11">
        <v>34859</v>
      </c>
      <c r="BN265" s="11">
        <v>23168</v>
      </c>
      <c r="BO265" s="9">
        <v>187000</v>
      </c>
      <c r="BP265" s="9">
        <v>3085</v>
      </c>
    </row>
    <row r="266" spans="1:68" x14ac:dyDescent="0.3">
      <c r="A266" s="7">
        <v>45556</v>
      </c>
      <c r="B266" s="7" t="str">
        <f t="shared" si="4"/>
        <v>SEPTEMBER</v>
      </c>
      <c r="C266" s="8">
        <f>MONTH(Data!$A266)</f>
        <v>9</v>
      </c>
      <c r="D266" s="9">
        <v>1192</v>
      </c>
      <c r="E266" s="9">
        <v>851</v>
      </c>
      <c r="F266" s="9">
        <v>596</v>
      </c>
      <c r="G266" s="9">
        <v>346</v>
      </c>
      <c r="H266" s="9">
        <v>250</v>
      </c>
      <c r="I266" s="9">
        <v>348</v>
      </c>
      <c r="J266" s="9">
        <v>299</v>
      </c>
      <c r="K266" s="9">
        <v>204</v>
      </c>
      <c r="L266" s="9">
        <v>295</v>
      </c>
      <c r="M266" s="9">
        <v>184</v>
      </c>
      <c r="N266" s="9">
        <v>96</v>
      </c>
      <c r="O266" s="9">
        <v>73</v>
      </c>
      <c r="P266" s="9">
        <v>36</v>
      </c>
      <c r="Q266" s="9">
        <v>226</v>
      </c>
      <c r="R266" s="9">
        <v>144</v>
      </c>
      <c r="S266" s="9">
        <v>54</v>
      </c>
      <c r="T266" s="9">
        <v>31</v>
      </c>
      <c r="U266" s="9">
        <v>53</v>
      </c>
      <c r="V266" s="9">
        <v>34</v>
      </c>
      <c r="W266" s="9">
        <v>8</v>
      </c>
      <c r="X266" s="9">
        <v>25</v>
      </c>
      <c r="Y266" s="9">
        <v>25</v>
      </c>
      <c r="Z266" s="9">
        <v>67</v>
      </c>
      <c r="AA266" s="9">
        <v>76</v>
      </c>
      <c r="AB266" s="9">
        <v>17</v>
      </c>
      <c r="AC266" s="9">
        <v>0</v>
      </c>
      <c r="AD266" s="9">
        <v>51</v>
      </c>
      <c r="AE266" s="9">
        <v>17</v>
      </c>
      <c r="AF266" s="9">
        <v>0</v>
      </c>
      <c r="AG266" s="9">
        <v>34</v>
      </c>
      <c r="AH266" s="9">
        <v>0</v>
      </c>
      <c r="AI266" s="9">
        <v>8</v>
      </c>
      <c r="AJ266" s="9">
        <v>17</v>
      </c>
      <c r="AK266" s="9">
        <v>76</v>
      </c>
      <c r="AL266" s="9">
        <v>34</v>
      </c>
      <c r="AM266" s="9">
        <v>42</v>
      </c>
      <c r="AN266" s="9">
        <v>17</v>
      </c>
      <c r="AO266" s="9">
        <v>0</v>
      </c>
      <c r="AP266" s="9">
        <v>0</v>
      </c>
      <c r="AQ266" s="9">
        <v>8</v>
      </c>
      <c r="AR266" s="9">
        <v>85</v>
      </c>
      <c r="AS266" s="9">
        <v>8</v>
      </c>
      <c r="AT266" s="9">
        <v>51</v>
      </c>
      <c r="AU266" s="9">
        <v>42</v>
      </c>
      <c r="AV266" s="9">
        <v>8</v>
      </c>
      <c r="AW266" s="9">
        <v>51</v>
      </c>
      <c r="AX266" s="9">
        <v>25</v>
      </c>
      <c r="AY266" s="9">
        <v>25</v>
      </c>
      <c r="AZ266" s="9">
        <v>0</v>
      </c>
      <c r="BA266" s="10">
        <v>118.33</v>
      </c>
      <c r="BB266" s="11">
        <v>37910.29</v>
      </c>
      <c r="BC266" s="11">
        <v>18955.14</v>
      </c>
      <c r="BD266" s="11">
        <v>23693.93</v>
      </c>
      <c r="BE266" s="11">
        <v>29617.41</v>
      </c>
      <c r="BF266" s="11">
        <v>8292.8799999999992</v>
      </c>
      <c r="BG266" s="11">
        <v>18500</v>
      </c>
      <c r="BH266" s="11">
        <v>10000</v>
      </c>
      <c r="BI266" s="11">
        <v>7453</v>
      </c>
      <c r="BJ266" s="11">
        <v>11745</v>
      </c>
      <c r="BK266" s="11">
        <v>60889</v>
      </c>
      <c r="BL266" s="11">
        <v>47668</v>
      </c>
      <c r="BM266" s="11">
        <v>34859</v>
      </c>
      <c r="BN266" s="11">
        <v>23168</v>
      </c>
      <c r="BO266" s="9">
        <v>187000</v>
      </c>
      <c r="BP266" s="9">
        <v>7640</v>
      </c>
    </row>
    <row r="267" spans="1:68" x14ac:dyDescent="0.3">
      <c r="A267" s="7">
        <v>45557</v>
      </c>
      <c r="B267" s="7" t="str">
        <f t="shared" si="4"/>
        <v>SEPTEMBER</v>
      </c>
      <c r="C267" s="8">
        <f>MONTH(Data!$A267)</f>
        <v>9</v>
      </c>
      <c r="D267" s="9">
        <v>1175</v>
      </c>
      <c r="E267" s="9">
        <v>885</v>
      </c>
      <c r="F267" s="9">
        <v>470</v>
      </c>
      <c r="G267" s="9">
        <v>541</v>
      </c>
      <c r="H267" s="9">
        <v>164</v>
      </c>
      <c r="I267" s="9">
        <v>389</v>
      </c>
      <c r="J267" s="9">
        <v>337</v>
      </c>
      <c r="K267" s="9">
        <v>159</v>
      </c>
      <c r="L267" s="9">
        <v>342</v>
      </c>
      <c r="M267" s="9">
        <v>101</v>
      </c>
      <c r="N267" s="9">
        <v>50</v>
      </c>
      <c r="O267" s="9">
        <v>94</v>
      </c>
      <c r="P267" s="9">
        <v>21</v>
      </c>
      <c r="Q267" s="9">
        <v>169</v>
      </c>
      <c r="R267" s="9">
        <v>75</v>
      </c>
      <c r="S267" s="9">
        <v>44</v>
      </c>
      <c r="T267" s="9">
        <v>53</v>
      </c>
      <c r="U267" s="9">
        <v>226</v>
      </c>
      <c r="V267" s="9">
        <v>70</v>
      </c>
      <c r="W267" s="9">
        <v>17</v>
      </c>
      <c r="X267" s="9">
        <v>26</v>
      </c>
      <c r="Y267" s="9">
        <v>17</v>
      </c>
      <c r="Z267" s="9">
        <v>88</v>
      </c>
      <c r="AA267" s="9">
        <v>70</v>
      </c>
      <c r="AB267" s="9">
        <v>26</v>
      </c>
      <c r="AC267" s="9">
        <v>26</v>
      </c>
      <c r="AD267" s="9">
        <v>17</v>
      </c>
      <c r="AE267" s="9">
        <v>0</v>
      </c>
      <c r="AF267" s="9">
        <v>8</v>
      </c>
      <c r="AG267" s="9">
        <v>26</v>
      </c>
      <c r="AH267" s="9">
        <v>17</v>
      </c>
      <c r="AI267" s="9">
        <v>0</v>
      </c>
      <c r="AJ267" s="9">
        <v>0</v>
      </c>
      <c r="AK267" s="9">
        <v>53</v>
      </c>
      <c r="AL267" s="9">
        <v>17</v>
      </c>
      <c r="AM267" s="9">
        <v>8</v>
      </c>
      <c r="AN267" s="9">
        <v>17</v>
      </c>
      <c r="AO267" s="9">
        <v>8</v>
      </c>
      <c r="AP267" s="9">
        <v>0</v>
      </c>
      <c r="AQ267" s="9">
        <v>35</v>
      </c>
      <c r="AR267" s="9">
        <v>97</v>
      </c>
      <c r="AS267" s="9">
        <v>17</v>
      </c>
      <c r="AT267" s="9">
        <v>79</v>
      </c>
      <c r="AU267" s="9">
        <v>8</v>
      </c>
      <c r="AV267" s="9">
        <v>0</v>
      </c>
      <c r="AW267" s="9">
        <v>61</v>
      </c>
      <c r="AX267" s="9">
        <v>17</v>
      </c>
      <c r="AY267" s="9">
        <v>35</v>
      </c>
      <c r="AZ267" s="9">
        <v>25</v>
      </c>
      <c r="BA267" s="10">
        <v>118.88</v>
      </c>
      <c r="BB267" s="11">
        <v>35498.51</v>
      </c>
      <c r="BC267" s="11">
        <v>29582.09</v>
      </c>
      <c r="BD267" s="11">
        <v>13016.12</v>
      </c>
      <c r="BE267" s="11">
        <v>14199.4</v>
      </c>
      <c r="BF267" s="11">
        <v>26032.240000000002</v>
      </c>
      <c r="BG267" s="11">
        <v>18500</v>
      </c>
      <c r="BH267" s="11">
        <v>10000</v>
      </c>
      <c r="BI267" s="11">
        <v>7453</v>
      </c>
      <c r="BJ267" s="11">
        <v>11745</v>
      </c>
      <c r="BK267" s="11">
        <v>60889</v>
      </c>
      <c r="BL267" s="11">
        <v>47668</v>
      </c>
      <c r="BM267" s="11">
        <v>34859</v>
      </c>
      <c r="BN267" s="11">
        <v>23168</v>
      </c>
      <c r="BO267" s="9">
        <v>187000</v>
      </c>
      <c r="BP267" s="9">
        <v>917</v>
      </c>
    </row>
    <row r="268" spans="1:68" x14ac:dyDescent="0.3">
      <c r="A268" s="7">
        <v>45558</v>
      </c>
      <c r="B268" s="7" t="str">
        <f t="shared" si="4"/>
        <v>SEPTEMBER</v>
      </c>
      <c r="C268" s="8">
        <f>MONTH(Data!$A268)</f>
        <v>9</v>
      </c>
      <c r="D268" s="9">
        <v>1149</v>
      </c>
      <c r="E268" s="9">
        <v>913</v>
      </c>
      <c r="F268" s="9">
        <v>310</v>
      </c>
      <c r="G268" s="9">
        <v>782</v>
      </c>
      <c r="H268" s="9">
        <v>57</v>
      </c>
      <c r="I268" s="9">
        <v>319</v>
      </c>
      <c r="J268" s="9">
        <v>439</v>
      </c>
      <c r="K268" s="9">
        <v>155</v>
      </c>
      <c r="L268" s="9">
        <v>263</v>
      </c>
      <c r="M268" s="9">
        <v>85</v>
      </c>
      <c r="N268" s="9">
        <v>71</v>
      </c>
      <c r="O268" s="9">
        <v>85</v>
      </c>
      <c r="P268" s="9">
        <v>42</v>
      </c>
      <c r="Q268" s="9">
        <v>218</v>
      </c>
      <c r="R268" s="9">
        <v>148</v>
      </c>
      <c r="S268" s="9">
        <v>39</v>
      </c>
      <c r="T268" s="9">
        <v>52</v>
      </c>
      <c r="U268" s="9">
        <v>146</v>
      </c>
      <c r="V268" s="9">
        <v>82</v>
      </c>
      <c r="W268" s="9">
        <v>27</v>
      </c>
      <c r="X268" s="9">
        <v>54</v>
      </c>
      <c r="Y268" s="9">
        <v>9</v>
      </c>
      <c r="Z268" s="9">
        <v>127</v>
      </c>
      <c r="AA268" s="9">
        <v>54</v>
      </c>
      <c r="AB268" s="9">
        <v>9</v>
      </c>
      <c r="AC268" s="9">
        <v>9</v>
      </c>
      <c r="AD268" s="9">
        <v>54</v>
      </c>
      <c r="AE268" s="9">
        <v>0</v>
      </c>
      <c r="AF268" s="9">
        <v>9</v>
      </c>
      <c r="AG268" s="9">
        <v>18</v>
      </c>
      <c r="AH268" s="9">
        <v>0</v>
      </c>
      <c r="AI268" s="9">
        <v>18</v>
      </c>
      <c r="AJ268" s="9">
        <v>27</v>
      </c>
      <c r="AK268" s="9">
        <v>36</v>
      </c>
      <c r="AL268" s="9">
        <v>9</v>
      </c>
      <c r="AM268" s="9">
        <v>18</v>
      </c>
      <c r="AN268" s="9">
        <v>18</v>
      </c>
      <c r="AO268" s="9">
        <v>9</v>
      </c>
      <c r="AP268" s="9">
        <v>27</v>
      </c>
      <c r="AQ268" s="9">
        <v>18</v>
      </c>
      <c r="AR268" s="9">
        <v>73</v>
      </c>
      <c r="AS268" s="9">
        <v>9</v>
      </c>
      <c r="AT268" s="9">
        <v>63</v>
      </c>
      <c r="AU268" s="9">
        <v>18</v>
      </c>
      <c r="AV268" s="9">
        <v>0</v>
      </c>
      <c r="AW268" s="9">
        <v>27</v>
      </c>
      <c r="AX268" s="9">
        <v>9</v>
      </c>
      <c r="AY268" s="9">
        <v>36</v>
      </c>
      <c r="AZ268" s="9">
        <v>46</v>
      </c>
      <c r="BA268" s="10">
        <v>120.10000000000001</v>
      </c>
      <c r="BB268" s="11">
        <v>30911.87</v>
      </c>
      <c r="BC268" s="11">
        <v>17833.77</v>
      </c>
      <c r="BD268" s="11">
        <v>28534.04</v>
      </c>
      <c r="BE268" s="11">
        <v>16644.86</v>
      </c>
      <c r="BF268" s="11">
        <v>24967.279999999999</v>
      </c>
      <c r="BG268" s="11">
        <v>18500</v>
      </c>
      <c r="BH268" s="11">
        <v>10000</v>
      </c>
      <c r="BI268" s="11">
        <v>7453</v>
      </c>
      <c r="BJ268" s="11">
        <v>11745</v>
      </c>
      <c r="BK268" s="11">
        <v>60889</v>
      </c>
      <c r="BL268" s="11">
        <v>47668</v>
      </c>
      <c r="BM268" s="11">
        <v>34859</v>
      </c>
      <c r="BN268" s="11">
        <v>23168</v>
      </c>
      <c r="BO268" s="9">
        <v>187000</v>
      </c>
      <c r="BP268" s="9">
        <v>2265</v>
      </c>
    </row>
    <row r="269" spans="1:68" x14ac:dyDescent="0.3">
      <c r="A269" s="7">
        <v>45559</v>
      </c>
      <c r="B269" s="7" t="str">
        <f t="shared" si="4"/>
        <v>SEPTEMBER</v>
      </c>
      <c r="C269" s="8">
        <f>MONTH(Data!$A269)</f>
        <v>9</v>
      </c>
      <c r="D269" s="9">
        <v>1127</v>
      </c>
      <c r="E269" s="9">
        <v>942</v>
      </c>
      <c r="F269" s="9">
        <v>518</v>
      </c>
      <c r="G269" s="9">
        <v>519</v>
      </c>
      <c r="H269" s="9">
        <v>90</v>
      </c>
      <c r="I269" s="9">
        <v>254</v>
      </c>
      <c r="J269" s="9">
        <v>585</v>
      </c>
      <c r="K269" s="9">
        <v>103</v>
      </c>
      <c r="L269" s="9">
        <v>370</v>
      </c>
      <c r="M269" s="9">
        <v>41</v>
      </c>
      <c r="N269" s="9">
        <v>97</v>
      </c>
      <c r="O269" s="9">
        <v>55</v>
      </c>
      <c r="P269" s="9">
        <v>27</v>
      </c>
      <c r="Q269" s="9">
        <v>192</v>
      </c>
      <c r="R269" s="9">
        <v>128</v>
      </c>
      <c r="S269" s="9">
        <v>34</v>
      </c>
      <c r="T269" s="9">
        <v>42</v>
      </c>
      <c r="U269" s="9">
        <v>141</v>
      </c>
      <c r="V269" s="9">
        <v>47</v>
      </c>
      <c r="W269" s="9">
        <v>18</v>
      </c>
      <c r="X269" s="9">
        <v>47</v>
      </c>
      <c r="Y269" s="9">
        <v>18</v>
      </c>
      <c r="Z269" s="9">
        <v>103</v>
      </c>
      <c r="AA269" s="9">
        <v>65</v>
      </c>
      <c r="AB269" s="9">
        <v>9</v>
      </c>
      <c r="AC269" s="9">
        <v>18</v>
      </c>
      <c r="AD269" s="9">
        <v>56</v>
      </c>
      <c r="AE269" s="9">
        <v>28</v>
      </c>
      <c r="AF269" s="9">
        <v>0</v>
      </c>
      <c r="AG269" s="9">
        <v>47</v>
      </c>
      <c r="AH269" s="9">
        <v>18</v>
      </c>
      <c r="AI269" s="9">
        <v>0</v>
      </c>
      <c r="AJ269" s="9">
        <v>0</v>
      </c>
      <c r="AK269" s="9">
        <v>47</v>
      </c>
      <c r="AL269" s="9">
        <v>47</v>
      </c>
      <c r="AM269" s="9">
        <v>9</v>
      </c>
      <c r="AN269" s="9">
        <v>0</v>
      </c>
      <c r="AO269" s="9">
        <v>0</v>
      </c>
      <c r="AP269" s="9">
        <v>0</v>
      </c>
      <c r="AQ269" s="9">
        <v>9</v>
      </c>
      <c r="AR269" s="9">
        <v>84</v>
      </c>
      <c r="AS269" s="9">
        <v>9</v>
      </c>
      <c r="AT269" s="9">
        <v>65</v>
      </c>
      <c r="AU269" s="9">
        <v>37</v>
      </c>
      <c r="AV269" s="9">
        <v>0</v>
      </c>
      <c r="AW269" s="9">
        <v>47</v>
      </c>
      <c r="AX269" s="9">
        <v>9</v>
      </c>
      <c r="AY269" s="9">
        <v>18</v>
      </c>
      <c r="AZ269" s="9">
        <v>87</v>
      </c>
      <c r="BA269" s="10">
        <v>121.86</v>
      </c>
      <c r="BB269" s="11">
        <v>33629.06</v>
      </c>
      <c r="BC269" s="11">
        <v>30025.94</v>
      </c>
      <c r="BD269" s="11">
        <v>26422.83</v>
      </c>
      <c r="BE269" s="11">
        <v>14412.45</v>
      </c>
      <c r="BF269" s="11">
        <v>15613.49</v>
      </c>
      <c r="BG269" s="11">
        <v>18500</v>
      </c>
      <c r="BH269" s="11">
        <v>10000</v>
      </c>
      <c r="BI269" s="11">
        <v>7453</v>
      </c>
      <c r="BJ269" s="11">
        <v>17915</v>
      </c>
      <c r="BK269" s="11">
        <v>60889</v>
      </c>
      <c r="BL269" s="11">
        <v>47668</v>
      </c>
      <c r="BM269" s="11">
        <v>34859</v>
      </c>
      <c r="BN269" s="11">
        <v>23168</v>
      </c>
      <c r="BO269" s="9">
        <v>187000</v>
      </c>
      <c r="BP269" s="9">
        <v>4422</v>
      </c>
    </row>
    <row r="270" spans="1:68" x14ac:dyDescent="0.3">
      <c r="A270" s="7">
        <v>45560</v>
      </c>
      <c r="B270" s="7" t="str">
        <f t="shared" si="4"/>
        <v>SEPTEMBER</v>
      </c>
      <c r="C270" s="8">
        <f>MONTH(Data!$A270)</f>
        <v>9</v>
      </c>
      <c r="D270" s="9">
        <v>1123</v>
      </c>
      <c r="E270" s="9">
        <v>955</v>
      </c>
      <c r="F270" s="9">
        <v>303</v>
      </c>
      <c r="G270" s="9">
        <v>641</v>
      </c>
      <c r="H270" s="9">
        <v>179</v>
      </c>
      <c r="I270" s="9">
        <v>382</v>
      </c>
      <c r="J270" s="9">
        <v>440</v>
      </c>
      <c r="K270" s="9">
        <v>133</v>
      </c>
      <c r="L270" s="9">
        <v>327</v>
      </c>
      <c r="M270" s="9">
        <v>48</v>
      </c>
      <c r="N270" s="9">
        <v>55</v>
      </c>
      <c r="O270" s="9">
        <v>104</v>
      </c>
      <c r="P270" s="9">
        <v>27</v>
      </c>
      <c r="Q270" s="9">
        <v>230</v>
      </c>
      <c r="R270" s="9">
        <v>76</v>
      </c>
      <c r="S270" s="9">
        <v>46</v>
      </c>
      <c r="T270" s="9">
        <v>34</v>
      </c>
      <c r="U270" s="9">
        <v>176</v>
      </c>
      <c r="V270" s="9">
        <v>76</v>
      </c>
      <c r="W270" s="9">
        <v>0</v>
      </c>
      <c r="X270" s="9">
        <v>28</v>
      </c>
      <c r="Y270" s="9">
        <v>9</v>
      </c>
      <c r="Z270" s="9">
        <v>143</v>
      </c>
      <c r="AA270" s="9">
        <v>47</v>
      </c>
      <c r="AB270" s="9">
        <v>28</v>
      </c>
      <c r="AC270" s="9">
        <v>9</v>
      </c>
      <c r="AD270" s="9">
        <v>38</v>
      </c>
      <c r="AE270" s="9">
        <v>19</v>
      </c>
      <c r="AF270" s="9">
        <v>9</v>
      </c>
      <c r="AG270" s="9">
        <v>38</v>
      </c>
      <c r="AH270" s="9">
        <v>0</v>
      </c>
      <c r="AI270" s="9">
        <v>0</v>
      </c>
      <c r="AJ270" s="9">
        <v>19</v>
      </c>
      <c r="AK270" s="9">
        <v>57</v>
      </c>
      <c r="AL270" s="9">
        <v>47</v>
      </c>
      <c r="AM270" s="9">
        <v>9</v>
      </c>
      <c r="AN270" s="9">
        <v>9</v>
      </c>
      <c r="AO270" s="9">
        <v>9</v>
      </c>
      <c r="AP270" s="9">
        <v>19</v>
      </c>
      <c r="AQ270" s="9">
        <v>19</v>
      </c>
      <c r="AR270" s="9">
        <v>85</v>
      </c>
      <c r="AS270" s="9">
        <v>9</v>
      </c>
      <c r="AT270" s="9">
        <v>38</v>
      </c>
      <c r="AU270" s="9">
        <v>19</v>
      </c>
      <c r="AV270" s="9">
        <v>0</v>
      </c>
      <c r="AW270" s="9">
        <v>66</v>
      </c>
      <c r="AX270" s="9">
        <v>28</v>
      </c>
      <c r="AY270" s="9">
        <v>28</v>
      </c>
      <c r="AZ270" s="9">
        <v>50</v>
      </c>
      <c r="BA270" s="10">
        <v>123.75999999999999</v>
      </c>
      <c r="BB270" s="11">
        <v>40213.72</v>
      </c>
      <c r="BC270" s="11">
        <v>15841.77</v>
      </c>
      <c r="BD270" s="11">
        <v>29246.34</v>
      </c>
      <c r="BE270" s="11">
        <v>10967.38</v>
      </c>
      <c r="BF270" s="11">
        <v>25590.55</v>
      </c>
      <c r="BG270" s="11">
        <v>18500</v>
      </c>
      <c r="BH270" s="11">
        <v>10000</v>
      </c>
      <c r="BI270" s="11">
        <v>7453</v>
      </c>
      <c r="BJ270" s="11">
        <v>17915</v>
      </c>
      <c r="BK270" s="11">
        <v>60889</v>
      </c>
      <c r="BL270" s="11">
        <v>47668</v>
      </c>
      <c r="BM270" s="11">
        <v>34859</v>
      </c>
      <c r="BN270" s="11">
        <v>23168</v>
      </c>
      <c r="BO270" s="9">
        <v>187000</v>
      </c>
      <c r="BP270" s="9">
        <v>5411</v>
      </c>
    </row>
    <row r="271" spans="1:68" x14ac:dyDescent="0.3">
      <c r="A271" s="7">
        <v>45561</v>
      </c>
      <c r="B271" s="7" t="str">
        <f t="shared" si="4"/>
        <v>SEPTEMBER</v>
      </c>
      <c r="C271" s="8">
        <f>MONTH(Data!$A271)</f>
        <v>9</v>
      </c>
      <c r="D271" s="9">
        <v>1125</v>
      </c>
      <c r="E271" s="9">
        <v>967</v>
      </c>
      <c r="F271" s="9">
        <v>303</v>
      </c>
      <c r="G271" s="9">
        <v>665</v>
      </c>
      <c r="H271" s="9">
        <v>157</v>
      </c>
      <c r="I271" s="9">
        <v>203</v>
      </c>
      <c r="J271" s="9">
        <v>697</v>
      </c>
      <c r="K271" s="9">
        <v>67</v>
      </c>
      <c r="L271" s="9">
        <v>237</v>
      </c>
      <c r="M271" s="9">
        <v>48</v>
      </c>
      <c r="N271" s="9">
        <v>90</v>
      </c>
      <c r="O271" s="9">
        <v>90</v>
      </c>
      <c r="P271" s="9">
        <v>62</v>
      </c>
      <c r="Q271" s="9">
        <v>153</v>
      </c>
      <c r="R271" s="9">
        <v>64</v>
      </c>
      <c r="S271" s="9">
        <v>47</v>
      </c>
      <c r="T271" s="9">
        <v>59</v>
      </c>
      <c r="U271" s="9">
        <v>275</v>
      </c>
      <c r="V271" s="9">
        <v>87</v>
      </c>
      <c r="W271" s="9">
        <v>19</v>
      </c>
      <c r="X271" s="9">
        <v>58</v>
      </c>
      <c r="Y271" s="9">
        <v>29</v>
      </c>
      <c r="Z271" s="9">
        <v>37</v>
      </c>
      <c r="AA271" s="9">
        <v>77</v>
      </c>
      <c r="AB271" s="9">
        <v>29</v>
      </c>
      <c r="AC271" s="9">
        <v>0</v>
      </c>
      <c r="AD271" s="9">
        <v>29</v>
      </c>
      <c r="AE271" s="9">
        <v>29</v>
      </c>
      <c r="AF271" s="9">
        <v>0</v>
      </c>
      <c r="AG271" s="9">
        <v>38</v>
      </c>
      <c r="AH271" s="9">
        <v>9</v>
      </c>
      <c r="AI271" s="9">
        <v>9</v>
      </c>
      <c r="AJ271" s="9">
        <v>9</v>
      </c>
      <c r="AK271" s="9">
        <v>38</v>
      </c>
      <c r="AL271" s="9">
        <v>38</v>
      </c>
      <c r="AM271" s="9">
        <v>38</v>
      </c>
      <c r="AN271" s="9">
        <v>19</v>
      </c>
      <c r="AO271" s="9">
        <v>0</v>
      </c>
      <c r="AP271" s="9">
        <v>29</v>
      </c>
      <c r="AQ271" s="9">
        <v>38</v>
      </c>
      <c r="AR271" s="9">
        <v>106</v>
      </c>
      <c r="AS271" s="9">
        <v>29</v>
      </c>
      <c r="AT271" s="9">
        <v>87</v>
      </c>
      <c r="AU271" s="9">
        <v>29</v>
      </c>
      <c r="AV271" s="9">
        <v>9</v>
      </c>
      <c r="AW271" s="9">
        <v>19</v>
      </c>
      <c r="AX271" s="9">
        <v>29</v>
      </c>
      <c r="AY271" s="9">
        <v>0</v>
      </c>
      <c r="AZ271" s="9">
        <v>0</v>
      </c>
      <c r="BA271" s="10">
        <v>125.33</v>
      </c>
      <c r="BB271" s="11">
        <v>35889.919999999998</v>
      </c>
      <c r="BC271" s="11">
        <v>16088.58</v>
      </c>
      <c r="BD271" s="11">
        <v>28464.42</v>
      </c>
      <c r="BE271" s="11">
        <v>30939.58</v>
      </c>
      <c r="BF271" s="11">
        <v>12375.83</v>
      </c>
      <c r="BG271" s="11">
        <v>18500</v>
      </c>
      <c r="BH271" s="11">
        <v>10000</v>
      </c>
      <c r="BI271" s="11">
        <v>8119</v>
      </c>
      <c r="BJ271" s="11">
        <v>17915</v>
      </c>
      <c r="BK271" s="11">
        <v>60889</v>
      </c>
      <c r="BL271" s="11">
        <v>47668</v>
      </c>
      <c r="BM271" s="11">
        <v>34859</v>
      </c>
      <c r="BN271" s="11">
        <v>23168</v>
      </c>
      <c r="BO271" s="9">
        <v>187000</v>
      </c>
      <c r="BP271" s="9">
        <v>439</v>
      </c>
    </row>
    <row r="272" spans="1:68" x14ac:dyDescent="0.3">
      <c r="A272" s="7">
        <v>45562</v>
      </c>
      <c r="B272" s="7" t="str">
        <f t="shared" si="4"/>
        <v>SEPTEMBER</v>
      </c>
      <c r="C272" s="8">
        <f>MONTH(Data!$A272)</f>
        <v>9</v>
      </c>
      <c r="D272" s="9">
        <v>1145</v>
      </c>
      <c r="E272" s="9">
        <v>972</v>
      </c>
      <c r="F272" s="9">
        <v>480</v>
      </c>
      <c r="G272" s="9">
        <v>528</v>
      </c>
      <c r="H272" s="9">
        <v>137</v>
      </c>
      <c r="I272" s="9">
        <v>379</v>
      </c>
      <c r="J272" s="9">
        <v>516</v>
      </c>
      <c r="K272" s="9">
        <v>77</v>
      </c>
      <c r="L272" s="9">
        <v>347</v>
      </c>
      <c r="M272" s="9">
        <v>205</v>
      </c>
      <c r="N272" s="9">
        <v>56</v>
      </c>
      <c r="O272" s="9">
        <v>63</v>
      </c>
      <c r="P272" s="9">
        <v>42</v>
      </c>
      <c r="Q272" s="9">
        <v>226</v>
      </c>
      <c r="R272" s="9">
        <v>82</v>
      </c>
      <c r="S272" s="9">
        <v>47</v>
      </c>
      <c r="T272" s="9">
        <v>52</v>
      </c>
      <c r="U272" s="9">
        <v>25</v>
      </c>
      <c r="V272" s="9">
        <v>126</v>
      </c>
      <c r="W272" s="9">
        <v>29</v>
      </c>
      <c r="X272" s="9">
        <v>29</v>
      </c>
      <c r="Y272" s="9">
        <v>9</v>
      </c>
      <c r="Z272" s="9">
        <v>97</v>
      </c>
      <c r="AA272" s="9">
        <v>48</v>
      </c>
      <c r="AB272" s="9">
        <v>19</v>
      </c>
      <c r="AC272" s="9">
        <v>19</v>
      </c>
      <c r="AD272" s="9">
        <v>19</v>
      </c>
      <c r="AE272" s="9">
        <v>0</v>
      </c>
      <c r="AF272" s="9">
        <v>9</v>
      </c>
      <c r="AG272" s="9">
        <v>38</v>
      </c>
      <c r="AH272" s="9">
        <v>9</v>
      </c>
      <c r="AI272" s="9">
        <v>9</v>
      </c>
      <c r="AJ272" s="9">
        <v>9</v>
      </c>
      <c r="AK272" s="9">
        <v>97</v>
      </c>
      <c r="AL272" s="9">
        <v>38</v>
      </c>
      <c r="AM272" s="9">
        <v>48</v>
      </c>
      <c r="AN272" s="9">
        <v>0</v>
      </c>
      <c r="AO272" s="9">
        <v>9</v>
      </c>
      <c r="AP272" s="9">
        <v>9</v>
      </c>
      <c r="AQ272" s="9">
        <v>19</v>
      </c>
      <c r="AR272" s="9">
        <v>106</v>
      </c>
      <c r="AS272" s="9">
        <v>29</v>
      </c>
      <c r="AT272" s="9">
        <v>38</v>
      </c>
      <c r="AU272" s="9">
        <v>38</v>
      </c>
      <c r="AV272" s="9">
        <v>0</v>
      </c>
      <c r="AW272" s="9">
        <v>29</v>
      </c>
      <c r="AX272" s="9">
        <v>29</v>
      </c>
      <c r="AY272" s="9">
        <v>9</v>
      </c>
      <c r="AZ272" s="9">
        <v>5</v>
      </c>
      <c r="BA272" s="10">
        <v>125.91000000000001</v>
      </c>
      <c r="BB272" s="11">
        <v>41361.78</v>
      </c>
      <c r="BC272" s="11">
        <v>16294.04</v>
      </c>
      <c r="BD272" s="11">
        <v>18800.810000000001</v>
      </c>
      <c r="BE272" s="11">
        <v>25067.75</v>
      </c>
      <c r="BF272" s="11">
        <v>23814.36</v>
      </c>
      <c r="BG272" s="11">
        <v>18500</v>
      </c>
      <c r="BH272" s="11">
        <v>10000</v>
      </c>
      <c r="BI272" s="11">
        <v>8119</v>
      </c>
      <c r="BJ272" s="11">
        <v>17915</v>
      </c>
      <c r="BK272" s="11">
        <v>60889</v>
      </c>
      <c r="BL272" s="11">
        <v>47668</v>
      </c>
      <c r="BM272" s="11">
        <v>34859</v>
      </c>
      <c r="BN272" s="11">
        <v>23168</v>
      </c>
      <c r="BO272" s="9">
        <v>187000</v>
      </c>
      <c r="BP272" s="9">
        <v>2410</v>
      </c>
    </row>
    <row r="273" spans="1:68" x14ac:dyDescent="0.3">
      <c r="A273" s="7">
        <v>45563</v>
      </c>
      <c r="B273" s="7" t="str">
        <f t="shared" si="4"/>
        <v>SEPTEMBER</v>
      </c>
      <c r="C273" s="8">
        <f>MONTH(Data!$A273)</f>
        <v>9</v>
      </c>
      <c r="D273" s="9">
        <v>1170</v>
      </c>
      <c r="E273" s="9">
        <v>972</v>
      </c>
      <c r="F273" s="9">
        <v>269</v>
      </c>
      <c r="G273" s="9">
        <v>609</v>
      </c>
      <c r="H273" s="9">
        <v>292</v>
      </c>
      <c r="I273" s="9">
        <v>417</v>
      </c>
      <c r="J273" s="9">
        <v>497</v>
      </c>
      <c r="K273" s="9">
        <v>58</v>
      </c>
      <c r="L273" s="9">
        <v>326</v>
      </c>
      <c r="M273" s="9">
        <v>43</v>
      </c>
      <c r="N273" s="9">
        <v>108</v>
      </c>
      <c r="O273" s="9">
        <v>58</v>
      </c>
      <c r="P273" s="9">
        <v>50</v>
      </c>
      <c r="Q273" s="9">
        <v>200</v>
      </c>
      <c r="R273" s="9">
        <v>71</v>
      </c>
      <c r="S273" s="9">
        <v>62</v>
      </c>
      <c r="T273" s="9">
        <v>26</v>
      </c>
      <c r="U273" s="9">
        <v>226</v>
      </c>
      <c r="V273" s="9">
        <v>58</v>
      </c>
      <c r="W273" s="9">
        <v>19</v>
      </c>
      <c r="X273" s="9">
        <v>48</v>
      </c>
      <c r="Y273" s="9">
        <v>9</v>
      </c>
      <c r="Z273" s="9">
        <v>87</v>
      </c>
      <c r="AA273" s="9">
        <v>87</v>
      </c>
      <c r="AB273" s="9">
        <v>0</v>
      </c>
      <c r="AC273" s="9">
        <v>9</v>
      </c>
      <c r="AD273" s="9">
        <v>48</v>
      </c>
      <c r="AE273" s="9">
        <v>0</v>
      </c>
      <c r="AF273" s="9">
        <v>0</v>
      </c>
      <c r="AG273" s="9">
        <v>38</v>
      </c>
      <c r="AH273" s="9">
        <v>9</v>
      </c>
      <c r="AI273" s="9">
        <v>29</v>
      </c>
      <c r="AJ273" s="9">
        <v>19</v>
      </c>
      <c r="AK273" s="9">
        <v>48</v>
      </c>
      <c r="AL273" s="9">
        <v>58</v>
      </c>
      <c r="AM273" s="9">
        <v>48</v>
      </c>
      <c r="AN273" s="9">
        <v>0</v>
      </c>
      <c r="AO273" s="9">
        <v>0</v>
      </c>
      <c r="AP273" s="9">
        <v>19</v>
      </c>
      <c r="AQ273" s="9">
        <v>38</v>
      </c>
      <c r="AR273" s="9">
        <v>87</v>
      </c>
      <c r="AS273" s="9">
        <v>19</v>
      </c>
      <c r="AT273" s="9">
        <v>68</v>
      </c>
      <c r="AU273" s="9">
        <v>19</v>
      </c>
      <c r="AV273" s="9">
        <v>9</v>
      </c>
      <c r="AW273" s="9">
        <v>58</v>
      </c>
      <c r="AX273" s="9">
        <v>0</v>
      </c>
      <c r="AY273" s="9">
        <v>9</v>
      </c>
      <c r="AZ273" s="9">
        <v>32</v>
      </c>
      <c r="BA273" s="10">
        <v>125.91999999999999</v>
      </c>
      <c r="BB273" s="11">
        <v>32736.639999999999</v>
      </c>
      <c r="BC273" s="11">
        <v>26441.14</v>
      </c>
      <c r="BD273" s="11">
        <v>15109.22</v>
      </c>
      <c r="BE273" s="11">
        <v>16368.32</v>
      </c>
      <c r="BF273" s="11">
        <v>35254.85</v>
      </c>
      <c r="BG273" s="11">
        <v>18500</v>
      </c>
      <c r="BH273" s="11">
        <v>10000</v>
      </c>
      <c r="BI273" s="11">
        <v>8119</v>
      </c>
      <c r="BJ273" s="11">
        <v>17915</v>
      </c>
      <c r="BK273" s="11">
        <v>60889</v>
      </c>
      <c r="BL273" s="11">
        <v>47668</v>
      </c>
      <c r="BM273" s="11">
        <v>34859</v>
      </c>
      <c r="BN273" s="11">
        <v>23168</v>
      </c>
      <c r="BO273" s="9">
        <v>187000</v>
      </c>
      <c r="BP273" s="9">
        <v>2293</v>
      </c>
    </row>
    <row r="274" spans="1:68" x14ac:dyDescent="0.3">
      <c r="A274" s="7">
        <v>45564</v>
      </c>
      <c r="B274" s="7" t="str">
        <f t="shared" si="4"/>
        <v>SEPTEMBER</v>
      </c>
      <c r="C274" s="8">
        <f>MONTH(Data!$A274)</f>
        <v>9</v>
      </c>
      <c r="D274" s="9">
        <v>1184</v>
      </c>
      <c r="E274" s="9">
        <v>966</v>
      </c>
      <c r="F274" s="9">
        <v>438</v>
      </c>
      <c r="G274" s="9">
        <v>450</v>
      </c>
      <c r="H274" s="9">
        <v>296</v>
      </c>
      <c r="I274" s="9">
        <v>415</v>
      </c>
      <c r="J274" s="9">
        <v>387</v>
      </c>
      <c r="K274" s="9">
        <v>164</v>
      </c>
      <c r="L274" s="9">
        <v>396</v>
      </c>
      <c r="M274" s="9">
        <v>198</v>
      </c>
      <c r="N274" s="9">
        <v>95</v>
      </c>
      <c r="O274" s="9">
        <v>73</v>
      </c>
      <c r="P274" s="9">
        <v>29</v>
      </c>
      <c r="Q274" s="9">
        <v>175</v>
      </c>
      <c r="R274" s="9">
        <v>49</v>
      </c>
      <c r="S274" s="9">
        <v>49</v>
      </c>
      <c r="T274" s="9">
        <v>31</v>
      </c>
      <c r="U274" s="9">
        <v>89</v>
      </c>
      <c r="V274" s="9">
        <v>115</v>
      </c>
      <c r="W274" s="9">
        <v>9</v>
      </c>
      <c r="X274" s="9">
        <v>67</v>
      </c>
      <c r="Y274" s="9">
        <v>28</v>
      </c>
      <c r="Z274" s="9">
        <v>106</v>
      </c>
      <c r="AA274" s="9">
        <v>57</v>
      </c>
      <c r="AB274" s="9">
        <v>19</v>
      </c>
      <c r="AC274" s="9">
        <v>19</v>
      </c>
      <c r="AD274" s="9">
        <v>38</v>
      </c>
      <c r="AE274" s="9">
        <v>9</v>
      </c>
      <c r="AF274" s="9">
        <v>0</v>
      </c>
      <c r="AG274" s="9">
        <v>38</v>
      </c>
      <c r="AH274" s="9">
        <v>19</v>
      </c>
      <c r="AI274" s="9">
        <v>9</v>
      </c>
      <c r="AJ274" s="9">
        <v>19</v>
      </c>
      <c r="AK274" s="9">
        <v>86</v>
      </c>
      <c r="AL274" s="9">
        <v>48</v>
      </c>
      <c r="AM274" s="9">
        <v>28</v>
      </c>
      <c r="AN274" s="9">
        <v>0</v>
      </c>
      <c r="AO274" s="9">
        <v>9</v>
      </c>
      <c r="AP274" s="9">
        <v>19</v>
      </c>
      <c r="AQ274" s="9">
        <v>19</v>
      </c>
      <c r="AR274" s="9">
        <v>0</v>
      </c>
      <c r="AS274" s="9">
        <v>9</v>
      </c>
      <c r="AT274" s="9">
        <v>49</v>
      </c>
      <c r="AU274" s="9">
        <v>19</v>
      </c>
      <c r="AV274" s="9">
        <v>0</v>
      </c>
      <c r="AW274" s="9">
        <v>67</v>
      </c>
      <c r="AX274" s="9">
        <v>38</v>
      </c>
      <c r="AY274" s="9">
        <v>19</v>
      </c>
      <c r="AZ274" s="9">
        <v>4</v>
      </c>
      <c r="BA274" s="10">
        <v>125</v>
      </c>
      <c r="BB274" s="11">
        <v>44068.56</v>
      </c>
      <c r="BC274" s="11">
        <v>31477.54</v>
      </c>
      <c r="BD274" s="11">
        <v>17627.419999999998</v>
      </c>
      <c r="BE274" s="11">
        <v>26441.14</v>
      </c>
      <c r="BF274" s="11">
        <v>6295.51</v>
      </c>
      <c r="BG274" s="11">
        <v>18500</v>
      </c>
      <c r="BH274" s="11">
        <v>10000</v>
      </c>
      <c r="BI274" s="11">
        <v>8119</v>
      </c>
      <c r="BJ274" s="11">
        <v>17915</v>
      </c>
      <c r="BK274" s="11">
        <v>60889</v>
      </c>
      <c r="BL274" s="11">
        <v>47668</v>
      </c>
      <c r="BM274" s="11">
        <v>34859</v>
      </c>
      <c r="BN274" s="11">
        <v>23168</v>
      </c>
      <c r="BO274" s="9">
        <v>187000</v>
      </c>
      <c r="BP274" s="9">
        <v>8423</v>
      </c>
    </row>
    <row r="275" spans="1:68" x14ac:dyDescent="0.3">
      <c r="A275" s="7">
        <v>45565</v>
      </c>
      <c r="B275" s="7" t="str">
        <f t="shared" si="4"/>
        <v>SEPTEMBER</v>
      </c>
      <c r="C275" s="8">
        <f>MONTH(Data!$A275)</f>
        <v>9</v>
      </c>
      <c r="D275" s="9">
        <v>1184</v>
      </c>
      <c r="E275" s="9">
        <v>961</v>
      </c>
      <c r="F275" s="9">
        <v>414</v>
      </c>
      <c r="G275" s="9">
        <v>474</v>
      </c>
      <c r="H275" s="9">
        <v>296</v>
      </c>
      <c r="I275" s="9">
        <v>211</v>
      </c>
      <c r="J275" s="9">
        <v>635</v>
      </c>
      <c r="K275" s="9">
        <v>115</v>
      </c>
      <c r="L275" s="9">
        <v>308</v>
      </c>
      <c r="M275" s="9">
        <v>58</v>
      </c>
      <c r="N275" s="9">
        <v>95</v>
      </c>
      <c r="O275" s="9">
        <v>58</v>
      </c>
      <c r="P275" s="9">
        <v>36</v>
      </c>
      <c r="Q275" s="9">
        <v>184</v>
      </c>
      <c r="R275" s="9">
        <v>31</v>
      </c>
      <c r="S275" s="9">
        <v>67</v>
      </c>
      <c r="T275" s="9">
        <v>62</v>
      </c>
      <c r="U275" s="9">
        <v>285</v>
      </c>
      <c r="V275" s="9">
        <v>67</v>
      </c>
      <c r="W275" s="9">
        <v>19</v>
      </c>
      <c r="X275" s="9">
        <v>57</v>
      </c>
      <c r="Y275" s="9">
        <v>0</v>
      </c>
      <c r="Z275" s="9">
        <v>78</v>
      </c>
      <c r="AA275" s="9">
        <v>76</v>
      </c>
      <c r="AB275" s="9">
        <v>19</v>
      </c>
      <c r="AC275" s="9">
        <v>19</v>
      </c>
      <c r="AD275" s="9">
        <v>19</v>
      </c>
      <c r="AE275" s="9">
        <v>0</v>
      </c>
      <c r="AF275" s="9">
        <v>0</v>
      </c>
      <c r="AG275" s="9">
        <v>48</v>
      </c>
      <c r="AH275" s="9">
        <v>9</v>
      </c>
      <c r="AI275" s="9">
        <v>28</v>
      </c>
      <c r="AJ275" s="9">
        <v>28</v>
      </c>
      <c r="AK275" s="9">
        <v>96</v>
      </c>
      <c r="AL275" s="9">
        <v>38</v>
      </c>
      <c r="AM275" s="9">
        <v>38</v>
      </c>
      <c r="AN275" s="9">
        <v>28</v>
      </c>
      <c r="AO275" s="9">
        <v>9</v>
      </c>
      <c r="AP275" s="9">
        <v>28</v>
      </c>
      <c r="AQ275" s="9">
        <v>19</v>
      </c>
      <c r="AR275" s="9">
        <v>67</v>
      </c>
      <c r="AS275" s="9">
        <v>19</v>
      </c>
      <c r="AT275" s="9">
        <v>48</v>
      </c>
      <c r="AU275" s="9">
        <v>9</v>
      </c>
      <c r="AV275" s="9">
        <v>0</v>
      </c>
      <c r="AW275" s="9">
        <v>19</v>
      </c>
      <c r="AX275" s="9">
        <v>38</v>
      </c>
      <c r="AY275" s="9">
        <v>38</v>
      </c>
      <c r="AZ275" s="9">
        <v>0</v>
      </c>
      <c r="BA275" s="10">
        <v>124.84000000000002</v>
      </c>
      <c r="BB275" s="11">
        <v>37500</v>
      </c>
      <c r="BC275" s="11">
        <v>18750</v>
      </c>
      <c r="BD275" s="11">
        <v>30000</v>
      </c>
      <c r="BE275" s="11">
        <v>12500</v>
      </c>
      <c r="BF275" s="11">
        <v>26250</v>
      </c>
      <c r="BG275" s="11">
        <v>18500</v>
      </c>
      <c r="BH275" s="11">
        <v>10000</v>
      </c>
      <c r="BI275" s="11">
        <v>8119</v>
      </c>
      <c r="BJ275" s="11">
        <v>17915</v>
      </c>
      <c r="BK275" s="11">
        <v>60889</v>
      </c>
      <c r="BL275" s="11">
        <v>47668</v>
      </c>
      <c r="BM275" s="11">
        <v>34859</v>
      </c>
      <c r="BN275" s="11">
        <v>23168</v>
      </c>
      <c r="BO275" s="9">
        <v>187000</v>
      </c>
      <c r="BP275" s="9">
        <v>6146</v>
      </c>
    </row>
    <row r="276" spans="1:68" x14ac:dyDescent="0.3">
      <c r="A276" s="7">
        <v>45566</v>
      </c>
      <c r="B276" s="7" t="str">
        <f t="shared" si="4"/>
        <v>OCTOBER</v>
      </c>
      <c r="C276" s="8">
        <f>MONTH(Data!$A276)</f>
        <v>10</v>
      </c>
      <c r="D276" s="9">
        <v>1177</v>
      </c>
      <c r="E276" s="9">
        <v>846</v>
      </c>
      <c r="F276" s="9">
        <v>541</v>
      </c>
      <c r="G276" s="9">
        <v>448</v>
      </c>
      <c r="H276" s="9">
        <v>188</v>
      </c>
      <c r="I276" s="9">
        <v>194</v>
      </c>
      <c r="J276" s="9">
        <v>543</v>
      </c>
      <c r="K276" s="9">
        <v>109</v>
      </c>
      <c r="L276" s="9">
        <v>321</v>
      </c>
      <c r="M276" s="9">
        <v>211</v>
      </c>
      <c r="N276" s="9">
        <v>87</v>
      </c>
      <c r="O276" s="9">
        <v>72</v>
      </c>
      <c r="P276" s="9">
        <v>29</v>
      </c>
      <c r="Q276" s="9">
        <v>174</v>
      </c>
      <c r="R276" s="9">
        <v>111</v>
      </c>
      <c r="S276" s="9">
        <v>53</v>
      </c>
      <c r="T276" s="9">
        <v>49</v>
      </c>
      <c r="U276" s="9">
        <v>70</v>
      </c>
      <c r="V276" s="9">
        <v>101</v>
      </c>
      <c r="W276" s="9">
        <v>0</v>
      </c>
      <c r="X276" s="9">
        <v>59</v>
      </c>
      <c r="Y276" s="9">
        <v>16</v>
      </c>
      <c r="Z276" s="9">
        <v>89</v>
      </c>
      <c r="AA276" s="9">
        <v>50</v>
      </c>
      <c r="AB276" s="9">
        <v>25</v>
      </c>
      <c r="AC276" s="9">
        <v>25</v>
      </c>
      <c r="AD276" s="9">
        <v>33</v>
      </c>
      <c r="AE276" s="9">
        <v>8</v>
      </c>
      <c r="AF276" s="9">
        <v>0</v>
      </c>
      <c r="AG276" s="9">
        <v>33</v>
      </c>
      <c r="AH276" s="9">
        <v>0</v>
      </c>
      <c r="AI276" s="9">
        <v>16</v>
      </c>
      <c r="AJ276" s="9">
        <v>8</v>
      </c>
      <c r="AK276" s="9">
        <v>59</v>
      </c>
      <c r="AL276" s="9">
        <v>25</v>
      </c>
      <c r="AM276" s="9">
        <v>8</v>
      </c>
      <c r="AN276" s="9">
        <v>0</v>
      </c>
      <c r="AO276" s="9">
        <v>8</v>
      </c>
      <c r="AP276" s="9">
        <v>16</v>
      </c>
      <c r="AQ276" s="9">
        <v>33</v>
      </c>
      <c r="AR276" s="9">
        <v>59</v>
      </c>
      <c r="AS276" s="9">
        <v>25</v>
      </c>
      <c r="AT276" s="9">
        <v>25</v>
      </c>
      <c r="AU276" s="9">
        <v>25</v>
      </c>
      <c r="AV276" s="9">
        <v>0</v>
      </c>
      <c r="AW276" s="9">
        <v>59</v>
      </c>
      <c r="AX276" s="9">
        <v>33</v>
      </c>
      <c r="AY276" s="9">
        <v>8</v>
      </c>
      <c r="AZ276" s="9">
        <v>0</v>
      </c>
      <c r="BA276" s="10">
        <v>100</v>
      </c>
      <c r="BB276" s="11">
        <v>32458.29</v>
      </c>
      <c r="BC276" s="11">
        <v>17477.54</v>
      </c>
      <c r="BD276" s="11">
        <v>12483.96</v>
      </c>
      <c r="BE276" s="11">
        <v>28713.11</v>
      </c>
      <c r="BF276" s="11">
        <v>33706.69</v>
      </c>
      <c r="BG276" s="11">
        <v>18500</v>
      </c>
      <c r="BH276" s="11">
        <v>8750</v>
      </c>
      <c r="BI276" s="11">
        <v>8119</v>
      </c>
      <c r="BJ276" s="11">
        <v>17915</v>
      </c>
      <c r="BK276" s="11">
        <v>64151</v>
      </c>
      <c r="BL276" s="11">
        <v>49709</v>
      </c>
      <c r="BM276" s="11">
        <v>39758</v>
      </c>
      <c r="BN276" s="11">
        <v>24250</v>
      </c>
      <c r="BO276" s="9">
        <v>195000</v>
      </c>
      <c r="BP276" s="9">
        <v>4480</v>
      </c>
    </row>
    <row r="277" spans="1:68" x14ac:dyDescent="0.3">
      <c r="A277" s="7">
        <v>45567</v>
      </c>
      <c r="B277" s="7" t="str">
        <f t="shared" si="4"/>
        <v>OCTOBER</v>
      </c>
      <c r="C277" s="8">
        <f>MONTH(Data!$A277)</f>
        <v>10</v>
      </c>
      <c r="D277" s="9">
        <v>1158</v>
      </c>
      <c r="E277" s="9">
        <v>821</v>
      </c>
      <c r="F277" s="9">
        <v>590</v>
      </c>
      <c r="G277" s="9">
        <v>430</v>
      </c>
      <c r="H277" s="9">
        <v>138</v>
      </c>
      <c r="I277" s="9">
        <v>213</v>
      </c>
      <c r="J277" s="9">
        <v>436</v>
      </c>
      <c r="K277" s="9">
        <v>172</v>
      </c>
      <c r="L277" s="9">
        <v>351</v>
      </c>
      <c r="M277" s="9">
        <v>143</v>
      </c>
      <c r="N277" s="9">
        <v>78</v>
      </c>
      <c r="O277" s="9">
        <v>78</v>
      </c>
      <c r="P277" s="9">
        <v>57</v>
      </c>
      <c r="Q277" s="9">
        <v>167</v>
      </c>
      <c r="R277" s="9">
        <v>96</v>
      </c>
      <c r="S277" s="9">
        <v>30</v>
      </c>
      <c r="T277" s="9">
        <v>61</v>
      </c>
      <c r="U277" s="9">
        <v>97</v>
      </c>
      <c r="V277" s="9">
        <v>82</v>
      </c>
      <c r="W277" s="9">
        <v>16</v>
      </c>
      <c r="X277" s="9">
        <v>24</v>
      </c>
      <c r="Y277" s="9">
        <v>8</v>
      </c>
      <c r="Z277" s="9">
        <v>131</v>
      </c>
      <c r="AA277" s="9">
        <v>41</v>
      </c>
      <c r="AB277" s="9">
        <v>8</v>
      </c>
      <c r="AC277" s="9">
        <v>8</v>
      </c>
      <c r="AD277" s="9">
        <v>16</v>
      </c>
      <c r="AE277" s="9">
        <v>8</v>
      </c>
      <c r="AF277" s="9">
        <v>0</v>
      </c>
      <c r="AG277" s="9">
        <v>16</v>
      </c>
      <c r="AH277" s="9">
        <v>8</v>
      </c>
      <c r="AI277" s="9">
        <v>0</v>
      </c>
      <c r="AJ277" s="9">
        <v>24</v>
      </c>
      <c r="AK277" s="9">
        <v>82</v>
      </c>
      <c r="AL277" s="9">
        <v>57</v>
      </c>
      <c r="AM277" s="9">
        <v>41</v>
      </c>
      <c r="AN277" s="9">
        <v>8</v>
      </c>
      <c r="AO277" s="9">
        <v>0</v>
      </c>
      <c r="AP277" s="9">
        <v>0</v>
      </c>
      <c r="AQ277" s="9">
        <v>16</v>
      </c>
      <c r="AR277" s="9">
        <v>90</v>
      </c>
      <c r="AS277" s="9">
        <v>16</v>
      </c>
      <c r="AT277" s="9">
        <v>65</v>
      </c>
      <c r="AU277" s="9">
        <v>16</v>
      </c>
      <c r="AV277" s="9">
        <v>0</v>
      </c>
      <c r="AW277" s="9">
        <v>16</v>
      </c>
      <c r="AX277" s="9">
        <v>8</v>
      </c>
      <c r="AY277" s="9">
        <v>16</v>
      </c>
      <c r="AZ277" s="9">
        <v>0</v>
      </c>
      <c r="BA277" s="10">
        <v>97.456000000000003</v>
      </c>
      <c r="BB277" s="11">
        <v>37500</v>
      </c>
      <c r="BC277" s="11">
        <v>18750</v>
      </c>
      <c r="BD277" s="11">
        <v>30000</v>
      </c>
      <c r="BE277" s="11">
        <v>12500</v>
      </c>
      <c r="BF277" s="11">
        <v>26250</v>
      </c>
      <c r="BG277" s="11">
        <v>18500</v>
      </c>
      <c r="BH277" s="11">
        <v>8750</v>
      </c>
      <c r="BI277" s="11">
        <v>8119</v>
      </c>
      <c r="BJ277" s="11">
        <v>17915</v>
      </c>
      <c r="BK277" s="11">
        <v>64151</v>
      </c>
      <c r="BL277" s="11">
        <v>49709</v>
      </c>
      <c r="BM277" s="11">
        <v>39758</v>
      </c>
      <c r="BN277" s="11">
        <v>24250</v>
      </c>
      <c r="BO277" s="9">
        <v>195000</v>
      </c>
      <c r="BP277" s="9">
        <v>413</v>
      </c>
    </row>
    <row r="278" spans="1:68" x14ac:dyDescent="0.3">
      <c r="A278" s="7">
        <v>45568</v>
      </c>
      <c r="B278" s="7" t="str">
        <f t="shared" si="4"/>
        <v>OCTOBER</v>
      </c>
      <c r="C278" s="8">
        <f>MONTH(Data!$A278)</f>
        <v>10</v>
      </c>
      <c r="D278" s="9">
        <v>1133</v>
      </c>
      <c r="E278" s="9">
        <v>799</v>
      </c>
      <c r="F278" s="9">
        <v>475</v>
      </c>
      <c r="G278" s="9">
        <v>534</v>
      </c>
      <c r="H278" s="9">
        <v>124</v>
      </c>
      <c r="I278" s="9">
        <v>335</v>
      </c>
      <c r="J278" s="9">
        <v>425</v>
      </c>
      <c r="K278" s="9">
        <v>39</v>
      </c>
      <c r="L278" s="9">
        <v>358</v>
      </c>
      <c r="M278" s="9">
        <v>112</v>
      </c>
      <c r="N278" s="9">
        <v>56</v>
      </c>
      <c r="O278" s="9">
        <v>84</v>
      </c>
      <c r="P278" s="9">
        <v>14</v>
      </c>
      <c r="Q278" s="9">
        <v>198</v>
      </c>
      <c r="R278" s="9">
        <v>90</v>
      </c>
      <c r="S278" s="9">
        <v>64</v>
      </c>
      <c r="T278" s="9">
        <v>43</v>
      </c>
      <c r="U278" s="9">
        <v>114</v>
      </c>
      <c r="V278" s="9">
        <v>71</v>
      </c>
      <c r="W278" s="9">
        <v>7</v>
      </c>
      <c r="X278" s="9">
        <v>39</v>
      </c>
      <c r="Y278" s="9">
        <v>23</v>
      </c>
      <c r="Z278" s="9">
        <v>103</v>
      </c>
      <c r="AA278" s="9">
        <v>63</v>
      </c>
      <c r="AB278" s="9">
        <v>15</v>
      </c>
      <c r="AC278" s="9">
        <v>15</v>
      </c>
      <c r="AD278" s="9">
        <v>31</v>
      </c>
      <c r="AE278" s="9">
        <v>23</v>
      </c>
      <c r="AF278" s="9">
        <v>0</v>
      </c>
      <c r="AG278" s="9">
        <v>7</v>
      </c>
      <c r="AH278" s="9">
        <v>15</v>
      </c>
      <c r="AI278" s="9">
        <v>23</v>
      </c>
      <c r="AJ278" s="9">
        <v>23</v>
      </c>
      <c r="AK278" s="9">
        <v>47</v>
      </c>
      <c r="AL278" s="9">
        <v>23</v>
      </c>
      <c r="AM278" s="9">
        <v>31</v>
      </c>
      <c r="AN278" s="9">
        <v>15</v>
      </c>
      <c r="AO278" s="9">
        <v>0</v>
      </c>
      <c r="AP278" s="9">
        <v>7</v>
      </c>
      <c r="AQ278" s="9">
        <v>15</v>
      </c>
      <c r="AR278" s="9">
        <v>71</v>
      </c>
      <c r="AS278" s="9">
        <v>15</v>
      </c>
      <c r="AT278" s="9">
        <v>23</v>
      </c>
      <c r="AU278" s="9">
        <v>31</v>
      </c>
      <c r="AV278" s="9">
        <v>7</v>
      </c>
      <c r="AW278" s="9">
        <v>7</v>
      </c>
      <c r="AX278" s="9">
        <v>0</v>
      </c>
      <c r="AY278" s="9">
        <v>31</v>
      </c>
      <c r="AZ278" s="9">
        <v>18</v>
      </c>
      <c r="BA278" s="10">
        <v>92.904000000000025</v>
      </c>
      <c r="BB278" s="11">
        <v>40200.720000000001</v>
      </c>
      <c r="BC278" s="11">
        <v>28018.68</v>
      </c>
      <c r="BD278" s="11">
        <v>18273.05</v>
      </c>
      <c r="BE278" s="11">
        <v>14618.44</v>
      </c>
      <c r="BF278" s="11">
        <v>20709.46</v>
      </c>
      <c r="BG278" s="11">
        <v>18500</v>
      </c>
      <c r="BH278" s="11">
        <v>8750</v>
      </c>
      <c r="BI278" s="11">
        <v>8119</v>
      </c>
      <c r="BJ278" s="11">
        <v>17915</v>
      </c>
      <c r="BK278" s="11">
        <v>64151</v>
      </c>
      <c r="BL278" s="11">
        <v>49709</v>
      </c>
      <c r="BM278" s="11">
        <v>39758</v>
      </c>
      <c r="BN278" s="11">
        <v>24250</v>
      </c>
      <c r="BO278" s="9">
        <v>195000</v>
      </c>
      <c r="BP278" s="9">
        <v>5940</v>
      </c>
    </row>
    <row r="279" spans="1:68" x14ac:dyDescent="0.3">
      <c r="A279" s="7">
        <v>45569</v>
      </c>
      <c r="B279" s="7" t="str">
        <f t="shared" si="4"/>
        <v>OCTOBER</v>
      </c>
      <c r="C279" s="8">
        <f>MONTH(Data!$A279)</f>
        <v>10</v>
      </c>
      <c r="D279" s="9">
        <v>1108</v>
      </c>
      <c r="E279" s="9">
        <v>771</v>
      </c>
      <c r="F279" s="9">
        <v>343</v>
      </c>
      <c r="G279" s="9">
        <v>544</v>
      </c>
      <c r="H279" s="9">
        <v>221</v>
      </c>
      <c r="I279" s="9">
        <v>185</v>
      </c>
      <c r="J279" s="9">
        <v>432</v>
      </c>
      <c r="K279" s="9">
        <v>154</v>
      </c>
      <c r="L279" s="9">
        <v>267</v>
      </c>
      <c r="M279" s="9">
        <v>171</v>
      </c>
      <c r="N279" s="9">
        <v>103</v>
      </c>
      <c r="O279" s="9">
        <v>54</v>
      </c>
      <c r="P279" s="9">
        <v>68</v>
      </c>
      <c r="Q279" s="9">
        <v>231</v>
      </c>
      <c r="R279" s="9">
        <v>67</v>
      </c>
      <c r="S279" s="9">
        <v>37</v>
      </c>
      <c r="T279" s="9">
        <v>37</v>
      </c>
      <c r="U279" s="9">
        <v>73</v>
      </c>
      <c r="V279" s="9">
        <v>30</v>
      </c>
      <c r="W279" s="9">
        <v>7</v>
      </c>
      <c r="X279" s="9">
        <v>30</v>
      </c>
      <c r="Y279" s="9">
        <v>15</v>
      </c>
      <c r="Z279" s="9">
        <v>77</v>
      </c>
      <c r="AA279" s="9">
        <v>53</v>
      </c>
      <c r="AB279" s="9">
        <v>7</v>
      </c>
      <c r="AC279" s="9">
        <v>0</v>
      </c>
      <c r="AD279" s="9">
        <v>38</v>
      </c>
      <c r="AE279" s="9">
        <v>23</v>
      </c>
      <c r="AF279" s="9">
        <v>0</v>
      </c>
      <c r="AG279" s="9">
        <v>38</v>
      </c>
      <c r="AH279" s="9">
        <v>7</v>
      </c>
      <c r="AI279" s="9">
        <v>7</v>
      </c>
      <c r="AJ279" s="9">
        <v>7</v>
      </c>
      <c r="AK279" s="9">
        <v>30</v>
      </c>
      <c r="AL279" s="9">
        <v>46</v>
      </c>
      <c r="AM279" s="9">
        <v>15</v>
      </c>
      <c r="AN279" s="9">
        <v>23</v>
      </c>
      <c r="AO279" s="9">
        <v>7</v>
      </c>
      <c r="AP279" s="9">
        <v>7</v>
      </c>
      <c r="AQ279" s="9">
        <v>7</v>
      </c>
      <c r="AR279" s="9">
        <v>84</v>
      </c>
      <c r="AS279" s="9">
        <v>7</v>
      </c>
      <c r="AT279" s="9">
        <v>53</v>
      </c>
      <c r="AU279" s="9">
        <v>23</v>
      </c>
      <c r="AV279" s="9">
        <v>0</v>
      </c>
      <c r="AW279" s="9">
        <v>46</v>
      </c>
      <c r="AX279" s="9">
        <v>7</v>
      </c>
      <c r="AY279" s="9">
        <v>30</v>
      </c>
      <c r="AZ279" s="9">
        <v>47</v>
      </c>
      <c r="BA279" s="10">
        <v>89.231999999999999</v>
      </c>
      <c r="BB279" s="11">
        <v>34839.440000000002</v>
      </c>
      <c r="BC279" s="11">
        <v>29032.87</v>
      </c>
      <c r="BD279" s="11">
        <v>12774.46</v>
      </c>
      <c r="BE279" s="11">
        <v>23226.3</v>
      </c>
      <c r="BF279" s="11">
        <v>16258.41</v>
      </c>
      <c r="BG279" s="11">
        <v>18500</v>
      </c>
      <c r="BH279" s="11">
        <v>8750</v>
      </c>
      <c r="BI279" s="11">
        <v>8119</v>
      </c>
      <c r="BJ279" s="11">
        <v>17915</v>
      </c>
      <c r="BK279" s="11">
        <v>64151</v>
      </c>
      <c r="BL279" s="11">
        <v>49709</v>
      </c>
      <c r="BM279" s="11">
        <v>39758</v>
      </c>
      <c r="BN279" s="11">
        <v>24250</v>
      </c>
      <c r="BO279" s="9">
        <v>195000</v>
      </c>
      <c r="BP279" s="9">
        <v>7884</v>
      </c>
    </row>
    <row r="280" spans="1:68" x14ac:dyDescent="0.3">
      <c r="A280" s="7">
        <v>45570</v>
      </c>
      <c r="B280" s="7" t="str">
        <f t="shared" si="4"/>
        <v>OCTOBER</v>
      </c>
      <c r="C280" s="8">
        <f>MONTH(Data!$A280)</f>
        <v>10</v>
      </c>
      <c r="D280" s="9">
        <v>1091</v>
      </c>
      <c r="E280" s="9">
        <v>733</v>
      </c>
      <c r="F280" s="9">
        <v>305</v>
      </c>
      <c r="G280" s="9">
        <v>645</v>
      </c>
      <c r="H280" s="9">
        <v>141</v>
      </c>
      <c r="I280" s="9">
        <v>205</v>
      </c>
      <c r="J280" s="9">
        <v>433</v>
      </c>
      <c r="K280" s="9">
        <v>95</v>
      </c>
      <c r="L280" s="9">
        <v>372</v>
      </c>
      <c r="M280" s="9">
        <v>40</v>
      </c>
      <c r="N280" s="9">
        <v>81</v>
      </c>
      <c r="O280" s="9">
        <v>74</v>
      </c>
      <c r="P280" s="9">
        <v>40</v>
      </c>
      <c r="Q280" s="9">
        <v>178</v>
      </c>
      <c r="R280" s="9">
        <v>41</v>
      </c>
      <c r="S280" s="9">
        <v>41</v>
      </c>
      <c r="T280" s="9">
        <v>33</v>
      </c>
      <c r="U280" s="9">
        <v>191</v>
      </c>
      <c r="V280" s="9">
        <v>87</v>
      </c>
      <c r="W280" s="9">
        <v>21</v>
      </c>
      <c r="X280" s="9">
        <v>43</v>
      </c>
      <c r="Y280" s="9">
        <v>21</v>
      </c>
      <c r="Z280" s="9">
        <v>11</v>
      </c>
      <c r="AA280" s="9">
        <v>36</v>
      </c>
      <c r="AB280" s="9">
        <v>21</v>
      </c>
      <c r="AC280" s="9">
        <v>14</v>
      </c>
      <c r="AD280" s="9">
        <v>29</v>
      </c>
      <c r="AE280" s="9">
        <v>7</v>
      </c>
      <c r="AF280" s="9">
        <v>7</v>
      </c>
      <c r="AG280" s="9">
        <v>21</v>
      </c>
      <c r="AH280" s="9">
        <v>21</v>
      </c>
      <c r="AI280" s="9">
        <v>21</v>
      </c>
      <c r="AJ280" s="9">
        <v>21</v>
      </c>
      <c r="AK280" s="9">
        <v>58</v>
      </c>
      <c r="AL280" s="9">
        <v>7</v>
      </c>
      <c r="AM280" s="9">
        <v>14</v>
      </c>
      <c r="AN280" s="9">
        <v>0</v>
      </c>
      <c r="AO280" s="9">
        <v>7</v>
      </c>
      <c r="AP280" s="9">
        <v>7</v>
      </c>
      <c r="AQ280" s="9">
        <v>21</v>
      </c>
      <c r="AR280" s="9">
        <v>73</v>
      </c>
      <c r="AS280" s="9">
        <v>21</v>
      </c>
      <c r="AT280" s="9">
        <v>58</v>
      </c>
      <c r="AU280" s="9">
        <v>29</v>
      </c>
      <c r="AV280" s="9">
        <v>0</v>
      </c>
      <c r="AW280" s="9">
        <v>14</v>
      </c>
      <c r="AX280" s="9">
        <v>14</v>
      </c>
      <c r="AY280" s="9">
        <v>29</v>
      </c>
      <c r="AZ280" s="9">
        <v>0</v>
      </c>
      <c r="BA280" s="10">
        <v>86.232000000000014</v>
      </c>
      <c r="BB280" s="11">
        <v>31230.080000000002</v>
      </c>
      <c r="BC280" s="11">
        <v>20076.48</v>
      </c>
      <c r="BD280" s="11">
        <v>27884</v>
      </c>
      <c r="BE280" s="11">
        <v>26768.639999999999</v>
      </c>
      <c r="BF280" s="11">
        <v>5576.8</v>
      </c>
      <c r="BG280" s="11">
        <v>18500</v>
      </c>
      <c r="BH280" s="11">
        <v>8750</v>
      </c>
      <c r="BI280" s="11">
        <v>8119</v>
      </c>
      <c r="BJ280" s="11">
        <v>17915</v>
      </c>
      <c r="BK280" s="11">
        <v>64151</v>
      </c>
      <c r="BL280" s="11">
        <v>49709</v>
      </c>
      <c r="BM280" s="11">
        <v>39758</v>
      </c>
      <c r="BN280" s="11">
        <v>24250</v>
      </c>
      <c r="BO280" s="9">
        <v>195000</v>
      </c>
      <c r="BP280" s="9">
        <v>8619</v>
      </c>
    </row>
    <row r="281" spans="1:68" x14ac:dyDescent="0.3">
      <c r="A281" s="7">
        <v>45571</v>
      </c>
      <c r="B281" s="7" t="str">
        <f t="shared" si="4"/>
        <v>OCTOBER</v>
      </c>
      <c r="C281" s="8">
        <f>MONTH(Data!$A281)</f>
        <v>10</v>
      </c>
      <c r="D281" s="9">
        <v>1085</v>
      </c>
      <c r="E281" s="9">
        <v>699</v>
      </c>
      <c r="F281" s="9">
        <v>444</v>
      </c>
      <c r="G281" s="9">
        <v>381</v>
      </c>
      <c r="H281" s="9">
        <v>260</v>
      </c>
      <c r="I281" s="9">
        <v>167</v>
      </c>
      <c r="J281" s="9">
        <v>449</v>
      </c>
      <c r="K281" s="9">
        <v>83</v>
      </c>
      <c r="L281" s="9">
        <v>309</v>
      </c>
      <c r="M281" s="9">
        <v>161</v>
      </c>
      <c r="N281" s="9">
        <v>73</v>
      </c>
      <c r="O281" s="9">
        <v>100</v>
      </c>
      <c r="P281" s="9">
        <v>60</v>
      </c>
      <c r="Q281" s="9">
        <v>189</v>
      </c>
      <c r="R281" s="9">
        <v>82</v>
      </c>
      <c r="S281" s="9">
        <v>41</v>
      </c>
      <c r="T281" s="9">
        <v>53</v>
      </c>
      <c r="U281" s="9">
        <v>17</v>
      </c>
      <c r="V281" s="9">
        <v>69</v>
      </c>
      <c r="W281" s="9">
        <v>6</v>
      </c>
      <c r="X281" s="9">
        <v>41</v>
      </c>
      <c r="Y281" s="9">
        <v>20</v>
      </c>
      <c r="Z281" s="9">
        <v>41</v>
      </c>
      <c r="AA281" s="9">
        <v>41</v>
      </c>
      <c r="AB281" s="9">
        <v>20</v>
      </c>
      <c r="AC281" s="9">
        <v>0</v>
      </c>
      <c r="AD281" s="9">
        <v>20</v>
      </c>
      <c r="AE281" s="9">
        <v>6</v>
      </c>
      <c r="AF281" s="9">
        <v>6</v>
      </c>
      <c r="AG281" s="9">
        <v>13</v>
      </c>
      <c r="AH281" s="9">
        <v>20</v>
      </c>
      <c r="AI281" s="9">
        <v>13</v>
      </c>
      <c r="AJ281" s="9">
        <v>6</v>
      </c>
      <c r="AK281" s="9">
        <v>48</v>
      </c>
      <c r="AL281" s="9">
        <v>27</v>
      </c>
      <c r="AM281" s="9">
        <v>20</v>
      </c>
      <c r="AN281" s="9">
        <v>13</v>
      </c>
      <c r="AO281" s="9">
        <v>6</v>
      </c>
      <c r="AP281" s="9">
        <v>27</v>
      </c>
      <c r="AQ281" s="9">
        <v>20</v>
      </c>
      <c r="AR281" s="9">
        <v>69</v>
      </c>
      <c r="AS281" s="9">
        <v>6</v>
      </c>
      <c r="AT281" s="9">
        <v>34</v>
      </c>
      <c r="AU281" s="9">
        <v>13</v>
      </c>
      <c r="AV281" s="9">
        <v>0</v>
      </c>
      <c r="AW281" s="9">
        <v>13</v>
      </c>
      <c r="AX281" s="9">
        <v>27</v>
      </c>
      <c r="AY281" s="9">
        <v>6</v>
      </c>
      <c r="AZ281" s="9">
        <v>48</v>
      </c>
      <c r="BA281" s="10">
        <v>84.304000000000016</v>
      </c>
      <c r="BB281" s="11">
        <v>34490.800000000003</v>
      </c>
      <c r="BC281" s="11">
        <v>18323.240000000002</v>
      </c>
      <c r="BD281" s="11">
        <v>21556.75</v>
      </c>
      <c r="BE281" s="11">
        <v>26945.93</v>
      </c>
      <c r="BF281" s="11">
        <v>6467.02</v>
      </c>
      <c r="BG281" s="11">
        <v>18500</v>
      </c>
      <c r="BH281" s="11">
        <v>8750</v>
      </c>
      <c r="BI281" s="11">
        <v>8119</v>
      </c>
      <c r="BJ281" s="11">
        <v>17923</v>
      </c>
      <c r="BK281" s="11">
        <v>64151</v>
      </c>
      <c r="BL281" s="11">
        <v>49709</v>
      </c>
      <c r="BM281" s="11">
        <v>39758</v>
      </c>
      <c r="BN281" s="11">
        <v>24250</v>
      </c>
      <c r="BO281" s="9">
        <v>195000</v>
      </c>
      <c r="BP281" s="9">
        <v>1404</v>
      </c>
    </row>
    <row r="282" spans="1:68" x14ac:dyDescent="0.3">
      <c r="A282" s="7">
        <v>45572</v>
      </c>
      <c r="B282" s="7" t="str">
        <f t="shared" si="4"/>
        <v>OCTOBER</v>
      </c>
      <c r="C282" s="8">
        <f>MONTH(Data!$A282)</f>
        <v>10</v>
      </c>
      <c r="D282" s="9">
        <v>1086</v>
      </c>
      <c r="E282" s="9">
        <v>662</v>
      </c>
      <c r="F282" s="9">
        <v>217</v>
      </c>
      <c r="G282" s="9">
        <v>631</v>
      </c>
      <c r="H282" s="9">
        <v>238</v>
      </c>
      <c r="I282" s="9">
        <v>145</v>
      </c>
      <c r="J282" s="9">
        <v>359</v>
      </c>
      <c r="K282" s="9">
        <v>158</v>
      </c>
      <c r="L282" s="9">
        <v>350</v>
      </c>
      <c r="M282" s="9">
        <v>235</v>
      </c>
      <c r="N282" s="9">
        <v>94</v>
      </c>
      <c r="O282" s="9">
        <v>47</v>
      </c>
      <c r="P282" s="9">
        <v>26</v>
      </c>
      <c r="Q282" s="9">
        <v>189</v>
      </c>
      <c r="R282" s="9">
        <v>24</v>
      </c>
      <c r="S282" s="9">
        <v>37</v>
      </c>
      <c r="T282" s="9">
        <v>37</v>
      </c>
      <c r="U282" s="9">
        <v>47</v>
      </c>
      <c r="V282" s="9">
        <v>59</v>
      </c>
      <c r="W282" s="9">
        <v>19</v>
      </c>
      <c r="X282" s="9">
        <v>33</v>
      </c>
      <c r="Y282" s="9">
        <v>19</v>
      </c>
      <c r="Z282" s="9">
        <v>16</v>
      </c>
      <c r="AA282" s="9">
        <v>52</v>
      </c>
      <c r="AB282" s="9">
        <v>0</v>
      </c>
      <c r="AC282" s="9">
        <v>13</v>
      </c>
      <c r="AD282" s="9">
        <v>26</v>
      </c>
      <c r="AE282" s="9">
        <v>6</v>
      </c>
      <c r="AF282" s="9">
        <v>6</v>
      </c>
      <c r="AG282" s="9">
        <v>33</v>
      </c>
      <c r="AH282" s="9">
        <v>19</v>
      </c>
      <c r="AI282" s="9">
        <v>19</v>
      </c>
      <c r="AJ282" s="9">
        <v>13</v>
      </c>
      <c r="AK282" s="9">
        <v>52</v>
      </c>
      <c r="AL282" s="9">
        <v>26</v>
      </c>
      <c r="AM282" s="9">
        <v>6</v>
      </c>
      <c r="AN282" s="9">
        <v>19</v>
      </c>
      <c r="AO282" s="9">
        <v>0</v>
      </c>
      <c r="AP282" s="9">
        <v>0</v>
      </c>
      <c r="AQ282" s="9">
        <v>19</v>
      </c>
      <c r="AR282" s="9">
        <v>52</v>
      </c>
      <c r="AS282" s="9">
        <v>19</v>
      </c>
      <c r="AT282" s="9">
        <v>52</v>
      </c>
      <c r="AU282" s="9">
        <v>33</v>
      </c>
      <c r="AV282" s="9">
        <v>6</v>
      </c>
      <c r="AW282" s="9">
        <v>26</v>
      </c>
      <c r="AX282" s="9">
        <v>6</v>
      </c>
      <c r="AY282" s="9">
        <v>13</v>
      </c>
      <c r="AZ282" s="9">
        <v>0</v>
      </c>
      <c r="BA282" s="10">
        <v>83.728000000000009</v>
      </c>
      <c r="BB282" s="11">
        <v>30562.080000000002</v>
      </c>
      <c r="BC282" s="11">
        <v>22131.16</v>
      </c>
      <c r="BD282" s="11">
        <v>20023.43</v>
      </c>
      <c r="BE282" s="11">
        <v>16861.84</v>
      </c>
      <c r="BF282" s="11">
        <v>15807.97</v>
      </c>
      <c r="BG282" s="11">
        <v>18500</v>
      </c>
      <c r="BH282" s="11">
        <v>8750</v>
      </c>
      <c r="BI282" s="11">
        <v>8119</v>
      </c>
      <c r="BJ282" s="11">
        <v>17923</v>
      </c>
      <c r="BK282" s="11">
        <v>64151</v>
      </c>
      <c r="BL282" s="11">
        <v>49709</v>
      </c>
      <c r="BM282" s="11">
        <v>39758</v>
      </c>
      <c r="BN282" s="11">
        <v>24250</v>
      </c>
      <c r="BO282" s="9">
        <v>195000</v>
      </c>
      <c r="BP282" s="9">
        <v>1962</v>
      </c>
    </row>
    <row r="283" spans="1:68" x14ac:dyDescent="0.3">
      <c r="A283" s="7">
        <v>45573</v>
      </c>
      <c r="B283" s="7" t="str">
        <f t="shared" si="4"/>
        <v>OCTOBER</v>
      </c>
      <c r="C283" s="8">
        <f>MONTH(Data!$A283)</f>
        <v>10</v>
      </c>
      <c r="D283" s="9">
        <v>1103</v>
      </c>
      <c r="E283" s="9">
        <v>633</v>
      </c>
      <c r="F283" s="9">
        <v>529</v>
      </c>
      <c r="G283" s="9">
        <v>464</v>
      </c>
      <c r="H283" s="9">
        <v>110</v>
      </c>
      <c r="I283" s="9">
        <v>145</v>
      </c>
      <c r="J283" s="9">
        <v>419</v>
      </c>
      <c r="K283" s="9">
        <v>69</v>
      </c>
      <c r="L283" s="9">
        <v>348</v>
      </c>
      <c r="M283" s="9">
        <v>95</v>
      </c>
      <c r="N283" s="9">
        <v>82</v>
      </c>
      <c r="O283" s="9">
        <v>54</v>
      </c>
      <c r="P283" s="9">
        <v>34</v>
      </c>
      <c r="Q283" s="9">
        <v>213</v>
      </c>
      <c r="R283" s="9">
        <v>138</v>
      </c>
      <c r="S283" s="9">
        <v>50</v>
      </c>
      <c r="T283" s="9">
        <v>50</v>
      </c>
      <c r="U283" s="9">
        <v>39</v>
      </c>
      <c r="V283" s="9">
        <v>82</v>
      </c>
      <c r="W283" s="9">
        <v>12</v>
      </c>
      <c r="X283" s="9">
        <v>25</v>
      </c>
      <c r="Y283" s="9">
        <v>18</v>
      </c>
      <c r="Z283" s="9">
        <v>33</v>
      </c>
      <c r="AA283" s="9">
        <v>37</v>
      </c>
      <c r="AB283" s="9">
        <v>12</v>
      </c>
      <c r="AC283" s="9">
        <v>0</v>
      </c>
      <c r="AD283" s="9">
        <v>31</v>
      </c>
      <c r="AE283" s="9">
        <v>12</v>
      </c>
      <c r="AF283" s="9">
        <v>6</v>
      </c>
      <c r="AG283" s="9">
        <v>12</v>
      </c>
      <c r="AH283" s="9">
        <v>12</v>
      </c>
      <c r="AI283" s="9">
        <v>0</v>
      </c>
      <c r="AJ283" s="9">
        <v>12</v>
      </c>
      <c r="AK283" s="9">
        <v>31</v>
      </c>
      <c r="AL283" s="9">
        <v>44</v>
      </c>
      <c r="AM283" s="9">
        <v>12</v>
      </c>
      <c r="AN283" s="9">
        <v>12</v>
      </c>
      <c r="AO283" s="9">
        <v>6</v>
      </c>
      <c r="AP283" s="9">
        <v>0</v>
      </c>
      <c r="AQ283" s="9">
        <v>25</v>
      </c>
      <c r="AR283" s="9">
        <v>69</v>
      </c>
      <c r="AS283" s="9">
        <v>18</v>
      </c>
      <c r="AT283" s="9">
        <v>31</v>
      </c>
      <c r="AU283" s="9">
        <v>25</v>
      </c>
      <c r="AV283" s="9">
        <v>6</v>
      </c>
      <c r="AW283" s="9">
        <v>25</v>
      </c>
      <c r="AX283" s="9">
        <v>25</v>
      </c>
      <c r="AY283" s="9">
        <v>0</v>
      </c>
      <c r="AZ283" s="9">
        <v>0</v>
      </c>
      <c r="BA283" s="10">
        <v>83.584000000000003</v>
      </c>
      <c r="BB283" s="11">
        <v>29304.01</v>
      </c>
      <c r="BC283" s="11">
        <v>26164.29</v>
      </c>
      <c r="BD283" s="11">
        <v>10465.719999999999</v>
      </c>
      <c r="BE283" s="11">
        <v>21978.01</v>
      </c>
      <c r="BF283" s="11">
        <v>16745.150000000001</v>
      </c>
      <c r="BG283" s="11">
        <v>18500</v>
      </c>
      <c r="BH283" s="11">
        <v>8750</v>
      </c>
      <c r="BI283" s="11">
        <v>8119</v>
      </c>
      <c r="BJ283" s="11">
        <v>17923</v>
      </c>
      <c r="BK283" s="11">
        <v>64151</v>
      </c>
      <c r="BL283" s="11">
        <v>49709</v>
      </c>
      <c r="BM283" s="11">
        <v>39758</v>
      </c>
      <c r="BN283" s="11">
        <v>24250</v>
      </c>
      <c r="BO283" s="9">
        <v>195000</v>
      </c>
      <c r="BP283" s="9">
        <v>2274</v>
      </c>
    </row>
    <row r="284" spans="1:68" x14ac:dyDescent="0.3">
      <c r="A284" s="7">
        <v>45574</v>
      </c>
      <c r="B284" s="7" t="str">
        <f t="shared" si="4"/>
        <v>OCTOBER</v>
      </c>
      <c r="C284" s="8">
        <f>MONTH(Data!$A284)</f>
        <v>10</v>
      </c>
      <c r="D284" s="9">
        <v>1127</v>
      </c>
      <c r="E284" s="9">
        <v>614</v>
      </c>
      <c r="F284" s="9">
        <v>552</v>
      </c>
      <c r="G284" s="9">
        <v>294</v>
      </c>
      <c r="H284" s="9">
        <v>281</v>
      </c>
      <c r="I284" s="9">
        <v>184</v>
      </c>
      <c r="J284" s="9">
        <v>302</v>
      </c>
      <c r="K284" s="9">
        <v>128</v>
      </c>
      <c r="L284" s="9">
        <v>300</v>
      </c>
      <c r="M284" s="9">
        <v>76</v>
      </c>
      <c r="N284" s="9">
        <v>62</v>
      </c>
      <c r="O284" s="9">
        <v>69</v>
      </c>
      <c r="P284" s="9">
        <v>27</v>
      </c>
      <c r="Q284" s="9">
        <v>209</v>
      </c>
      <c r="R284" s="9">
        <v>145</v>
      </c>
      <c r="S284" s="9">
        <v>47</v>
      </c>
      <c r="T284" s="9">
        <v>21</v>
      </c>
      <c r="U284" s="9">
        <v>171</v>
      </c>
      <c r="V284" s="9">
        <v>85</v>
      </c>
      <c r="W284" s="9">
        <v>0</v>
      </c>
      <c r="X284" s="9">
        <v>42</v>
      </c>
      <c r="Y284" s="9">
        <v>0</v>
      </c>
      <c r="Z284" s="9">
        <v>28</v>
      </c>
      <c r="AA284" s="9">
        <v>49</v>
      </c>
      <c r="AB284" s="9">
        <v>6</v>
      </c>
      <c r="AC284" s="9">
        <v>18</v>
      </c>
      <c r="AD284" s="9">
        <v>30</v>
      </c>
      <c r="AE284" s="9">
        <v>0</v>
      </c>
      <c r="AF284" s="9">
        <v>0</v>
      </c>
      <c r="AG284" s="9">
        <v>6</v>
      </c>
      <c r="AH284" s="9">
        <v>6</v>
      </c>
      <c r="AI284" s="9">
        <v>6</v>
      </c>
      <c r="AJ284" s="9">
        <v>0</v>
      </c>
      <c r="AK284" s="9">
        <v>55</v>
      </c>
      <c r="AL284" s="9">
        <v>24</v>
      </c>
      <c r="AM284" s="9">
        <v>18</v>
      </c>
      <c r="AN284" s="9">
        <v>18</v>
      </c>
      <c r="AO284" s="9">
        <v>6</v>
      </c>
      <c r="AP284" s="9">
        <v>6</v>
      </c>
      <c r="AQ284" s="9">
        <v>18</v>
      </c>
      <c r="AR284" s="9">
        <v>61</v>
      </c>
      <c r="AS284" s="9">
        <v>12</v>
      </c>
      <c r="AT284" s="9">
        <v>36</v>
      </c>
      <c r="AU284" s="9">
        <v>12</v>
      </c>
      <c r="AV284" s="9">
        <v>0</v>
      </c>
      <c r="AW284" s="9">
        <v>36</v>
      </c>
      <c r="AX284" s="9">
        <v>12</v>
      </c>
      <c r="AY284" s="9">
        <v>24</v>
      </c>
      <c r="AZ284" s="9">
        <v>0</v>
      </c>
      <c r="BA284" s="10">
        <v>85.176000000000002</v>
      </c>
      <c r="BB284" s="11">
        <v>30297.89</v>
      </c>
      <c r="BC284" s="11">
        <v>16716.080000000002</v>
      </c>
      <c r="BD284" s="11">
        <v>16716.080000000002</v>
      </c>
      <c r="BE284" s="11">
        <v>22984.61</v>
      </c>
      <c r="BF284" s="11">
        <v>17760.830000000002</v>
      </c>
      <c r="BG284" s="11">
        <v>18500</v>
      </c>
      <c r="BH284" s="11">
        <v>8750</v>
      </c>
      <c r="BI284" s="11">
        <v>8119</v>
      </c>
      <c r="BJ284" s="11">
        <v>17923</v>
      </c>
      <c r="BK284" s="11">
        <v>64151</v>
      </c>
      <c r="BL284" s="11">
        <v>49709</v>
      </c>
      <c r="BM284" s="11">
        <v>39758</v>
      </c>
      <c r="BN284" s="11">
        <v>24250</v>
      </c>
      <c r="BO284" s="9">
        <v>195000</v>
      </c>
      <c r="BP284" s="9">
        <v>668</v>
      </c>
    </row>
    <row r="285" spans="1:68" x14ac:dyDescent="0.3">
      <c r="A285" s="7">
        <v>45575</v>
      </c>
      <c r="B285" s="7" t="str">
        <f t="shared" si="4"/>
        <v>OCTOBER</v>
      </c>
      <c r="C285" s="8">
        <f>MONTH(Data!$A285)</f>
        <v>10</v>
      </c>
      <c r="D285" s="9">
        <v>1141</v>
      </c>
      <c r="E285" s="9">
        <v>599</v>
      </c>
      <c r="F285" s="9">
        <v>456</v>
      </c>
      <c r="G285" s="9">
        <v>571</v>
      </c>
      <c r="H285" s="9">
        <v>114</v>
      </c>
      <c r="I285" s="9">
        <v>215</v>
      </c>
      <c r="J285" s="9">
        <v>295</v>
      </c>
      <c r="K285" s="9">
        <v>89</v>
      </c>
      <c r="L285" s="9">
        <v>367</v>
      </c>
      <c r="M285" s="9">
        <v>63</v>
      </c>
      <c r="N285" s="9">
        <v>49</v>
      </c>
      <c r="O285" s="9">
        <v>49</v>
      </c>
      <c r="P285" s="9">
        <v>42</v>
      </c>
      <c r="Q285" s="9">
        <v>216</v>
      </c>
      <c r="R285" s="9">
        <v>39</v>
      </c>
      <c r="S285" s="9">
        <v>65</v>
      </c>
      <c r="T285" s="9">
        <v>39</v>
      </c>
      <c r="U285" s="9">
        <v>212</v>
      </c>
      <c r="V285" s="9">
        <v>23</v>
      </c>
      <c r="W285" s="9">
        <v>17</v>
      </c>
      <c r="X285" s="9">
        <v>29</v>
      </c>
      <c r="Y285" s="9">
        <v>11</v>
      </c>
      <c r="Z285" s="9">
        <v>77</v>
      </c>
      <c r="AA285" s="9">
        <v>53</v>
      </c>
      <c r="AB285" s="9">
        <v>0</v>
      </c>
      <c r="AC285" s="9">
        <v>0</v>
      </c>
      <c r="AD285" s="9">
        <v>11</v>
      </c>
      <c r="AE285" s="9">
        <v>5</v>
      </c>
      <c r="AF285" s="9">
        <v>5</v>
      </c>
      <c r="AG285" s="9">
        <v>29</v>
      </c>
      <c r="AH285" s="9">
        <v>0</v>
      </c>
      <c r="AI285" s="9">
        <v>17</v>
      </c>
      <c r="AJ285" s="9">
        <v>0</v>
      </c>
      <c r="AK285" s="9">
        <v>47</v>
      </c>
      <c r="AL285" s="9">
        <v>41</v>
      </c>
      <c r="AM285" s="9">
        <v>5</v>
      </c>
      <c r="AN285" s="9">
        <v>5</v>
      </c>
      <c r="AO285" s="9">
        <v>0</v>
      </c>
      <c r="AP285" s="9">
        <v>23</v>
      </c>
      <c r="AQ285" s="9">
        <v>17</v>
      </c>
      <c r="AR285" s="9">
        <v>53</v>
      </c>
      <c r="AS285" s="9">
        <v>11</v>
      </c>
      <c r="AT285" s="9">
        <v>35</v>
      </c>
      <c r="AU285" s="9">
        <v>5</v>
      </c>
      <c r="AV285" s="9">
        <v>5</v>
      </c>
      <c r="AW285" s="9">
        <v>5</v>
      </c>
      <c r="AX285" s="9">
        <v>11</v>
      </c>
      <c r="AY285" s="9">
        <v>0</v>
      </c>
      <c r="AZ285" s="9">
        <v>59</v>
      </c>
      <c r="BA285" s="10">
        <v>89.143999999999991</v>
      </c>
      <c r="BB285" s="11">
        <v>31941.72</v>
      </c>
      <c r="BC285" s="11">
        <v>18100.310000000001</v>
      </c>
      <c r="BD285" s="11">
        <v>10647.24</v>
      </c>
      <c r="BE285" s="11">
        <v>21294.48</v>
      </c>
      <c r="BF285" s="11">
        <v>24488.65</v>
      </c>
      <c r="BG285" s="11">
        <v>18500</v>
      </c>
      <c r="BH285" s="11">
        <v>8750</v>
      </c>
      <c r="BI285" s="11">
        <v>8119</v>
      </c>
      <c r="BJ285" s="11">
        <v>17923</v>
      </c>
      <c r="BK285" s="11">
        <v>64151</v>
      </c>
      <c r="BL285" s="11">
        <v>49709</v>
      </c>
      <c r="BM285" s="11">
        <v>39758</v>
      </c>
      <c r="BN285" s="11">
        <v>24250</v>
      </c>
      <c r="BO285" s="9">
        <v>195000</v>
      </c>
      <c r="BP285" s="9">
        <v>7570</v>
      </c>
    </row>
    <row r="286" spans="1:68" x14ac:dyDescent="0.3">
      <c r="A286" s="7">
        <v>45576</v>
      </c>
      <c r="B286" s="7" t="str">
        <f t="shared" si="4"/>
        <v>OCTOBER</v>
      </c>
      <c r="C286" s="8">
        <f>MONTH(Data!$A286)</f>
        <v>10</v>
      </c>
      <c r="D286" s="9">
        <v>1141</v>
      </c>
      <c r="E286" s="9">
        <v>591</v>
      </c>
      <c r="F286" s="9">
        <v>319</v>
      </c>
      <c r="G286" s="9">
        <v>571</v>
      </c>
      <c r="H286" s="9">
        <v>251</v>
      </c>
      <c r="I286" s="9">
        <v>248</v>
      </c>
      <c r="J286" s="9">
        <v>196</v>
      </c>
      <c r="K286" s="9">
        <v>147</v>
      </c>
      <c r="L286" s="9">
        <v>304</v>
      </c>
      <c r="M286" s="9">
        <v>176</v>
      </c>
      <c r="N286" s="9">
        <v>49</v>
      </c>
      <c r="O286" s="9">
        <v>42</v>
      </c>
      <c r="P286" s="9">
        <v>42</v>
      </c>
      <c r="Q286" s="9">
        <v>190</v>
      </c>
      <c r="R286" s="9">
        <v>47</v>
      </c>
      <c r="S286" s="9">
        <v>47</v>
      </c>
      <c r="T286" s="9">
        <v>56</v>
      </c>
      <c r="U286" s="9">
        <v>188</v>
      </c>
      <c r="V286" s="9">
        <v>82</v>
      </c>
      <c r="W286" s="9">
        <v>17</v>
      </c>
      <c r="X286" s="9">
        <v>17</v>
      </c>
      <c r="Y286" s="9">
        <v>0</v>
      </c>
      <c r="Z286" s="9">
        <v>11</v>
      </c>
      <c r="AA286" s="9">
        <v>47</v>
      </c>
      <c r="AB286" s="9">
        <v>17</v>
      </c>
      <c r="AC286" s="9">
        <v>11</v>
      </c>
      <c r="AD286" s="9">
        <v>35</v>
      </c>
      <c r="AE286" s="9">
        <v>17</v>
      </c>
      <c r="AF286" s="9">
        <v>5</v>
      </c>
      <c r="AG286" s="9">
        <v>17</v>
      </c>
      <c r="AH286" s="9">
        <v>17</v>
      </c>
      <c r="AI286" s="9">
        <v>5</v>
      </c>
      <c r="AJ286" s="9">
        <v>0</v>
      </c>
      <c r="AK286" s="9">
        <v>53</v>
      </c>
      <c r="AL286" s="9">
        <v>35</v>
      </c>
      <c r="AM286" s="9">
        <v>29</v>
      </c>
      <c r="AN286" s="9">
        <v>11</v>
      </c>
      <c r="AO286" s="9">
        <v>0</v>
      </c>
      <c r="AP286" s="9">
        <v>23</v>
      </c>
      <c r="AQ286" s="9">
        <v>17</v>
      </c>
      <c r="AR286" s="9">
        <v>41</v>
      </c>
      <c r="AS286" s="9">
        <v>5</v>
      </c>
      <c r="AT286" s="9">
        <v>17</v>
      </c>
      <c r="AU286" s="9">
        <v>5</v>
      </c>
      <c r="AV286" s="9">
        <v>5</v>
      </c>
      <c r="AW286" s="9">
        <v>35</v>
      </c>
      <c r="AX286" s="9">
        <v>17</v>
      </c>
      <c r="AY286" s="9">
        <v>0</v>
      </c>
      <c r="AZ286" s="9">
        <v>0</v>
      </c>
      <c r="BA286" s="10">
        <v>92.288000000000011</v>
      </c>
      <c r="BB286" s="11">
        <v>38997.120000000003</v>
      </c>
      <c r="BC286" s="11">
        <v>27855.09</v>
      </c>
      <c r="BD286" s="11">
        <v>17827.259999999998</v>
      </c>
      <c r="BE286" s="11">
        <v>15598.85</v>
      </c>
      <c r="BF286" s="11">
        <v>11142.03</v>
      </c>
      <c r="BG286" s="11">
        <v>18500</v>
      </c>
      <c r="BH286" s="11">
        <v>8750</v>
      </c>
      <c r="BI286" s="11">
        <v>8119</v>
      </c>
      <c r="BJ286" s="11">
        <v>17923</v>
      </c>
      <c r="BK286" s="11">
        <v>64151</v>
      </c>
      <c r="BL286" s="11">
        <v>49709</v>
      </c>
      <c r="BM286" s="11">
        <v>39758</v>
      </c>
      <c r="BN286" s="11">
        <v>24250</v>
      </c>
      <c r="BO286" s="9">
        <v>195000</v>
      </c>
      <c r="BP286" s="9">
        <v>5265</v>
      </c>
    </row>
    <row r="287" spans="1:68" x14ac:dyDescent="0.3">
      <c r="A287" s="7">
        <v>45577</v>
      </c>
      <c r="B287" s="7" t="str">
        <f t="shared" si="4"/>
        <v>OCTOBER</v>
      </c>
      <c r="C287" s="8">
        <f>MONTH(Data!$A287)</f>
        <v>10</v>
      </c>
      <c r="D287" s="9">
        <v>1136</v>
      </c>
      <c r="E287" s="9">
        <v>587</v>
      </c>
      <c r="F287" s="9">
        <v>499</v>
      </c>
      <c r="G287" s="9">
        <v>535</v>
      </c>
      <c r="H287" s="9">
        <v>102</v>
      </c>
      <c r="I287" s="9">
        <v>228</v>
      </c>
      <c r="J287" s="9">
        <v>271</v>
      </c>
      <c r="K287" s="9">
        <v>88</v>
      </c>
      <c r="L287" s="9">
        <v>260</v>
      </c>
      <c r="M287" s="9">
        <v>147</v>
      </c>
      <c r="N287" s="9">
        <v>91</v>
      </c>
      <c r="O287" s="9">
        <v>70</v>
      </c>
      <c r="P287" s="9">
        <v>49</v>
      </c>
      <c r="Q287" s="9">
        <v>220</v>
      </c>
      <c r="R287" s="9">
        <v>116</v>
      </c>
      <c r="S287" s="9">
        <v>43</v>
      </c>
      <c r="T287" s="9">
        <v>51</v>
      </c>
      <c r="U287" s="9">
        <v>89</v>
      </c>
      <c r="V287" s="9">
        <v>58</v>
      </c>
      <c r="W287" s="9">
        <v>5</v>
      </c>
      <c r="X287" s="9">
        <v>17</v>
      </c>
      <c r="Y287" s="9">
        <v>17</v>
      </c>
      <c r="Z287" s="9">
        <v>46</v>
      </c>
      <c r="AA287" s="9">
        <v>29</v>
      </c>
      <c r="AB287" s="9">
        <v>0</v>
      </c>
      <c r="AC287" s="9">
        <v>17</v>
      </c>
      <c r="AD287" s="9">
        <v>17</v>
      </c>
      <c r="AE287" s="9">
        <v>17</v>
      </c>
      <c r="AF287" s="9">
        <v>5</v>
      </c>
      <c r="AG287" s="9">
        <v>5</v>
      </c>
      <c r="AH287" s="9">
        <v>5</v>
      </c>
      <c r="AI287" s="9">
        <v>11</v>
      </c>
      <c r="AJ287" s="9">
        <v>11</v>
      </c>
      <c r="AK287" s="9">
        <v>23</v>
      </c>
      <c r="AL287" s="9">
        <v>41</v>
      </c>
      <c r="AM287" s="9">
        <v>29</v>
      </c>
      <c r="AN287" s="9">
        <v>17</v>
      </c>
      <c r="AO287" s="9">
        <v>5</v>
      </c>
      <c r="AP287" s="9">
        <v>5</v>
      </c>
      <c r="AQ287" s="9">
        <v>5</v>
      </c>
      <c r="AR287" s="9">
        <v>41</v>
      </c>
      <c r="AS287" s="9">
        <v>5</v>
      </c>
      <c r="AT287" s="9">
        <v>46</v>
      </c>
      <c r="AU287" s="9">
        <v>5</v>
      </c>
      <c r="AV287" s="9">
        <v>5</v>
      </c>
      <c r="AW287" s="9">
        <v>29</v>
      </c>
      <c r="AX287" s="9">
        <v>17</v>
      </c>
      <c r="AY287" s="9">
        <v>23</v>
      </c>
      <c r="AZ287" s="9">
        <v>31</v>
      </c>
      <c r="BA287" s="10">
        <v>93.216000000000008</v>
      </c>
      <c r="BB287" s="11">
        <v>31146.16</v>
      </c>
      <c r="BC287" s="11">
        <v>19610.54</v>
      </c>
      <c r="BD287" s="11">
        <v>26531.91</v>
      </c>
      <c r="BE287" s="11">
        <v>10382.049999999999</v>
      </c>
      <c r="BF287" s="11">
        <v>27685.47</v>
      </c>
      <c r="BG287" s="11">
        <v>18500</v>
      </c>
      <c r="BH287" s="11">
        <v>8750</v>
      </c>
      <c r="BI287" s="11">
        <v>8119</v>
      </c>
      <c r="BJ287" s="11">
        <v>17923</v>
      </c>
      <c r="BK287" s="11">
        <v>64151</v>
      </c>
      <c r="BL287" s="11">
        <v>49709</v>
      </c>
      <c r="BM287" s="11">
        <v>39758</v>
      </c>
      <c r="BN287" s="11">
        <v>24250</v>
      </c>
      <c r="BO287" s="9">
        <v>195000</v>
      </c>
      <c r="BP287" s="9">
        <v>7245</v>
      </c>
    </row>
    <row r="288" spans="1:68" x14ac:dyDescent="0.3">
      <c r="A288" s="7">
        <v>45578</v>
      </c>
      <c r="B288" s="7" t="str">
        <f t="shared" si="4"/>
        <v>OCTOBER</v>
      </c>
      <c r="C288" s="8">
        <f>MONTH(Data!$A288)</f>
        <v>10</v>
      </c>
      <c r="D288" s="9">
        <v>1121</v>
      </c>
      <c r="E288" s="9">
        <v>588</v>
      </c>
      <c r="F288" s="9">
        <v>358</v>
      </c>
      <c r="G288" s="9">
        <v>629</v>
      </c>
      <c r="H288" s="9">
        <v>134</v>
      </c>
      <c r="I288" s="9">
        <v>235</v>
      </c>
      <c r="J288" s="9">
        <v>254</v>
      </c>
      <c r="K288" s="9">
        <v>99</v>
      </c>
      <c r="L288" s="9">
        <v>347</v>
      </c>
      <c r="M288" s="9">
        <v>236</v>
      </c>
      <c r="N288" s="9">
        <v>48</v>
      </c>
      <c r="O288" s="9">
        <v>97</v>
      </c>
      <c r="P288" s="9">
        <v>34</v>
      </c>
      <c r="Q288" s="9">
        <v>178</v>
      </c>
      <c r="R288" s="9">
        <v>76</v>
      </c>
      <c r="S288" s="9">
        <v>63</v>
      </c>
      <c r="T288" s="9">
        <v>42</v>
      </c>
      <c r="U288" s="9">
        <v>0</v>
      </c>
      <c r="V288" s="9">
        <v>82</v>
      </c>
      <c r="W288" s="9">
        <v>5</v>
      </c>
      <c r="X288" s="9">
        <v>17</v>
      </c>
      <c r="Y288" s="9">
        <v>17</v>
      </c>
      <c r="Z288" s="9">
        <v>78</v>
      </c>
      <c r="AA288" s="9">
        <v>47</v>
      </c>
      <c r="AB288" s="9">
        <v>5</v>
      </c>
      <c r="AC288" s="9">
        <v>0</v>
      </c>
      <c r="AD288" s="9">
        <v>17</v>
      </c>
      <c r="AE288" s="9">
        <v>5</v>
      </c>
      <c r="AF288" s="9">
        <v>5</v>
      </c>
      <c r="AG288" s="9">
        <v>23</v>
      </c>
      <c r="AH288" s="9">
        <v>0</v>
      </c>
      <c r="AI288" s="9">
        <v>0</v>
      </c>
      <c r="AJ288" s="9">
        <v>0</v>
      </c>
      <c r="AK288" s="9">
        <v>35</v>
      </c>
      <c r="AL288" s="9">
        <v>29</v>
      </c>
      <c r="AM288" s="9">
        <v>29</v>
      </c>
      <c r="AN288" s="9">
        <v>0</v>
      </c>
      <c r="AO288" s="9">
        <v>5</v>
      </c>
      <c r="AP288" s="9">
        <v>17</v>
      </c>
      <c r="AQ288" s="9">
        <v>17</v>
      </c>
      <c r="AR288" s="9">
        <v>47</v>
      </c>
      <c r="AS288" s="9">
        <v>11</v>
      </c>
      <c r="AT288" s="9">
        <v>17</v>
      </c>
      <c r="AU288" s="9">
        <v>5</v>
      </c>
      <c r="AV288" s="9">
        <v>0</v>
      </c>
      <c r="AW288" s="9">
        <v>41</v>
      </c>
      <c r="AX288" s="9">
        <v>23</v>
      </c>
      <c r="AY288" s="9">
        <v>11</v>
      </c>
      <c r="AZ288" s="9">
        <v>0</v>
      </c>
      <c r="BA288" s="10">
        <v>92.592000000000013</v>
      </c>
      <c r="BB288" s="11">
        <v>40775.06</v>
      </c>
      <c r="BC288" s="11">
        <v>22135.03</v>
      </c>
      <c r="BD288" s="11">
        <v>12815.02</v>
      </c>
      <c r="BE288" s="11">
        <v>15145.02</v>
      </c>
      <c r="BF288" s="11">
        <v>25630.04</v>
      </c>
      <c r="BG288" s="11">
        <v>18500</v>
      </c>
      <c r="BH288" s="11">
        <v>8750</v>
      </c>
      <c r="BI288" s="11">
        <v>8119</v>
      </c>
      <c r="BJ288" s="11">
        <v>17923</v>
      </c>
      <c r="BK288" s="11">
        <v>64151</v>
      </c>
      <c r="BL288" s="11">
        <v>49709</v>
      </c>
      <c r="BM288" s="11">
        <v>39758</v>
      </c>
      <c r="BN288" s="11">
        <v>24250</v>
      </c>
      <c r="BO288" s="9">
        <v>195000</v>
      </c>
      <c r="BP288" s="9">
        <v>1492</v>
      </c>
    </row>
    <row r="289" spans="1:68" x14ac:dyDescent="0.3">
      <c r="A289" s="7">
        <v>45579</v>
      </c>
      <c r="B289" s="7" t="str">
        <f t="shared" si="4"/>
        <v>OCTOBER</v>
      </c>
      <c r="C289" s="8">
        <f>MONTH(Data!$A289)</f>
        <v>10</v>
      </c>
      <c r="D289" s="9">
        <v>1096</v>
      </c>
      <c r="E289" s="9">
        <v>601</v>
      </c>
      <c r="F289" s="9">
        <v>394</v>
      </c>
      <c r="G289" s="9">
        <v>516</v>
      </c>
      <c r="H289" s="9">
        <v>186</v>
      </c>
      <c r="I289" s="9">
        <v>132</v>
      </c>
      <c r="J289" s="9">
        <v>391</v>
      </c>
      <c r="K289" s="9">
        <v>78</v>
      </c>
      <c r="L289" s="9">
        <v>251</v>
      </c>
      <c r="M289" s="9">
        <v>54</v>
      </c>
      <c r="N289" s="9">
        <v>47</v>
      </c>
      <c r="O289" s="9">
        <v>95</v>
      </c>
      <c r="P289" s="9">
        <v>40</v>
      </c>
      <c r="Q289" s="9">
        <v>174</v>
      </c>
      <c r="R289" s="9">
        <v>137</v>
      </c>
      <c r="S289" s="9">
        <v>37</v>
      </c>
      <c r="T289" s="9">
        <v>24</v>
      </c>
      <c r="U289" s="9">
        <v>237</v>
      </c>
      <c r="V289" s="9">
        <v>84</v>
      </c>
      <c r="W289" s="9">
        <v>6</v>
      </c>
      <c r="X289" s="9">
        <v>36</v>
      </c>
      <c r="Y289" s="9">
        <v>18</v>
      </c>
      <c r="Z289" s="9">
        <v>42</v>
      </c>
      <c r="AA289" s="9">
        <v>48</v>
      </c>
      <c r="AB289" s="9">
        <v>18</v>
      </c>
      <c r="AC289" s="9">
        <v>18</v>
      </c>
      <c r="AD289" s="9">
        <v>30</v>
      </c>
      <c r="AE289" s="9">
        <v>18</v>
      </c>
      <c r="AF289" s="9">
        <v>0</v>
      </c>
      <c r="AG289" s="9">
        <v>24</v>
      </c>
      <c r="AH289" s="9">
        <v>12</v>
      </c>
      <c r="AI289" s="9">
        <v>0</v>
      </c>
      <c r="AJ289" s="9">
        <v>12</v>
      </c>
      <c r="AK289" s="9">
        <v>24</v>
      </c>
      <c r="AL289" s="9">
        <v>12</v>
      </c>
      <c r="AM289" s="9">
        <v>12</v>
      </c>
      <c r="AN289" s="9">
        <v>0</v>
      </c>
      <c r="AO289" s="9">
        <v>6</v>
      </c>
      <c r="AP289" s="9">
        <v>24</v>
      </c>
      <c r="AQ289" s="9">
        <v>24</v>
      </c>
      <c r="AR289" s="9">
        <v>0</v>
      </c>
      <c r="AS289" s="9">
        <v>12</v>
      </c>
      <c r="AT289" s="9">
        <v>37</v>
      </c>
      <c r="AU289" s="9">
        <v>30</v>
      </c>
      <c r="AV289" s="9">
        <v>6</v>
      </c>
      <c r="AW289" s="9">
        <v>24</v>
      </c>
      <c r="AX289" s="9">
        <v>18</v>
      </c>
      <c r="AY289" s="9">
        <v>6</v>
      </c>
      <c r="AZ289" s="9">
        <v>0</v>
      </c>
      <c r="BA289" s="10">
        <v>90.296000000000006</v>
      </c>
      <c r="BB289" s="11">
        <v>30090.77</v>
      </c>
      <c r="BC289" s="11">
        <v>15045.38</v>
      </c>
      <c r="BD289" s="11">
        <v>28933.43</v>
      </c>
      <c r="BE289" s="11">
        <v>13888.05</v>
      </c>
      <c r="BF289" s="11">
        <v>27776.09</v>
      </c>
      <c r="BG289" s="11">
        <v>18500</v>
      </c>
      <c r="BH289" s="11">
        <v>8750</v>
      </c>
      <c r="BI289" s="11">
        <v>8119</v>
      </c>
      <c r="BJ289" s="11">
        <v>17923</v>
      </c>
      <c r="BK289" s="11">
        <v>64151</v>
      </c>
      <c r="BL289" s="11">
        <v>49709</v>
      </c>
      <c r="BM289" s="11">
        <v>39758</v>
      </c>
      <c r="BN289" s="11">
        <v>24250</v>
      </c>
      <c r="BO289" s="9">
        <v>195000</v>
      </c>
      <c r="BP289" s="9">
        <v>7318</v>
      </c>
    </row>
    <row r="290" spans="1:68" x14ac:dyDescent="0.3">
      <c r="A290" s="7">
        <v>45580</v>
      </c>
      <c r="B290" s="7" t="str">
        <f t="shared" si="4"/>
        <v>OCTOBER</v>
      </c>
      <c r="C290" s="8">
        <f>MONTH(Data!$A290)</f>
        <v>10</v>
      </c>
      <c r="D290" s="9">
        <v>1067</v>
      </c>
      <c r="E290" s="9">
        <v>628</v>
      </c>
      <c r="F290" s="9">
        <v>256</v>
      </c>
      <c r="G290" s="9">
        <v>726</v>
      </c>
      <c r="H290" s="9">
        <v>85</v>
      </c>
      <c r="I290" s="9">
        <v>263</v>
      </c>
      <c r="J290" s="9">
        <v>221</v>
      </c>
      <c r="K290" s="9">
        <v>144</v>
      </c>
      <c r="L290" s="9">
        <v>291</v>
      </c>
      <c r="M290" s="9">
        <v>165</v>
      </c>
      <c r="N290" s="9">
        <v>92</v>
      </c>
      <c r="O290" s="9">
        <v>72</v>
      </c>
      <c r="P290" s="9">
        <v>52</v>
      </c>
      <c r="Q290" s="9">
        <v>141</v>
      </c>
      <c r="R290" s="9">
        <v>125</v>
      </c>
      <c r="S290" s="9">
        <v>44</v>
      </c>
      <c r="T290" s="9">
        <v>60</v>
      </c>
      <c r="U290" s="9">
        <v>25</v>
      </c>
      <c r="V290" s="9">
        <v>37</v>
      </c>
      <c r="W290" s="9">
        <v>12</v>
      </c>
      <c r="X290" s="9">
        <v>31</v>
      </c>
      <c r="Y290" s="9">
        <v>6</v>
      </c>
      <c r="Z290" s="9">
        <v>3</v>
      </c>
      <c r="AA290" s="9">
        <v>50</v>
      </c>
      <c r="AB290" s="9">
        <v>12</v>
      </c>
      <c r="AC290" s="9">
        <v>6</v>
      </c>
      <c r="AD290" s="9">
        <v>25</v>
      </c>
      <c r="AE290" s="9">
        <v>18</v>
      </c>
      <c r="AF290" s="9">
        <v>6</v>
      </c>
      <c r="AG290" s="9">
        <v>18</v>
      </c>
      <c r="AH290" s="9">
        <v>18</v>
      </c>
      <c r="AI290" s="9">
        <v>18</v>
      </c>
      <c r="AJ290" s="9">
        <v>0</v>
      </c>
      <c r="AK290" s="9">
        <v>37</v>
      </c>
      <c r="AL290" s="9">
        <v>43</v>
      </c>
      <c r="AM290" s="9">
        <v>25</v>
      </c>
      <c r="AN290" s="9">
        <v>6</v>
      </c>
      <c r="AO290" s="9">
        <v>6</v>
      </c>
      <c r="AP290" s="9">
        <v>6</v>
      </c>
      <c r="AQ290" s="9">
        <v>18</v>
      </c>
      <c r="AR290" s="9">
        <v>56</v>
      </c>
      <c r="AS290" s="9">
        <v>12</v>
      </c>
      <c r="AT290" s="9">
        <v>56</v>
      </c>
      <c r="AU290" s="9">
        <v>18</v>
      </c>
      <c r="AV290" s="9">
        <v>6</v>
      </c>
      <c r="AW290" s="9">
        <v>43</v>
      </c>
      <c r="AX290" s="9">
        <v>18</v>
      </c>
      <c r="AY290" s="9">
        <v>18</v>
      </c>
      <c r="AZ290" s="9">
        <v>0</v>
      </c>
      <c r="BA290" s="10">
        <v>86.376000000000005</v>
      </c>
      <c r="BB290" s="11">
        <v>28217.26</v>
      </c>
      <c r="BC290" s="11">
        <v>24831.19</v>
      </c>
      <c r="BD290" s="11">
        <v>24831.19</v>
      </c>
      <c r="BE290" s="11">
        <v>20316.419999999998</v>
      </c>
      <c r="BF290" s="11">
        <v>14672.97</v>
      </c>
      <c r="BG290" s="11">
        <v>15000</v>
      </c>
      <c r="BH290" s="11">
        <v>8750</v>
      </c>
      <c r="BI290" s="11">
        <v>8119</v>
      </c>
      <c r="BJ290" s="11">
        <v>12923</v>
      </c>
      <c r="BK290" s="11">
        <v>64151</v>
      </c>
      <c r="BL290" s="11">
        <v>49709</v>
      </c>
      <c r="BM290" s="11">
        <v>39758</v>
      </c>
      <c r="BN290" s="11">
        <v>24250</v>
      </c>
      <c r="BO290" s="9">
        <v>195000</v>
      </c>
      <c r="BP290" s="9">
        <v>3099</v>
      </c>
    </row>
    <row r="291" spans="1:68" x14ac:dyDescent="0.3">
      <c r="A291" s="7">
        <v>45581</v>
      </c>
      <c r="B291" s="7" t="str">
        <f t="shared" si="4"/>
        <v>OCTOBER</v>
      </c>
      <c r="C291" s="8">
        <f>MONTH(Data!$A291)</f>
        <v>10</v>
      </c>
      <c r="D291" s="9">
        <v>1052</v>
      </c>
      <c r="E291" s="9">
        <v>659</v>
      </c>
      <c r="F291" s="9">
        <v>336</v>
      </c>
      <c r="G291" s="9">
        <v>622</v>
      </c>
      <c r="H291" s="9">
        <v>94</v>
      </c>
      <c r="I291" s="9">
        <v>336</v>
      </c>
      <c r="J291" s="9">
        <v>284</v>
      </c>
      <c r="K291" s="9">
        <v>39</v>
      </c>
      <c r="L291" s="9">
        <v>332</v>
      </c>
      <c r="M291" s="9">
        <v>189</v>
      </c>
      <c r="N291" s="9">
        <v>71</v>
      </c>
      <c r="O291" s="9">
        <v>32</v>
      </c>
      <c r="P291" s="9">
        <v>19</v>
      </c>
      <c r="Q291" s="9">
        <v>171</v>
      </c>
      <c r="R291" s="9">
        <v>47</v>
      </c>
      <c r="S291" s="9">
        <v>31</v>
      </c>
      <c r="T291" s="9">
        <v>23</v>
      </c>
      <c r="U291" s="9">
        <v>137</v>
      </c>
      <c r="V291" s="9">
        <v>32</v>
      </c>
      <c r="W291" s="9">
        <v>6</v>
      </c>
      <c r="X291" s="9">
        <v>19</v>
      </c>
      <c r="Y291" s="9">
        <v>0</v>
      </c>
      <c r="Z291" s="9">
        <v>33</v>
      </c>
      <c r="AA291" s="9">
        <v>46</v>
      </c>
      <c r="AB291" s="9">
        <v>19</v>
      </c>
      <c r="AC291" s="9">
        <v>0</v>
      </c>
      <c r="AD291" s="9">
        <v>13</v>
      </c>
      <c r="AE291" s="9">
        <v>6</v>
      </c>
      <c r="AF291" s="9">
        <v>6</v>
      </c>
      <c r="AG291" s="9">
        <v>32</v>
      </c>
      <c r="AH291" s="9">
        <v>0</v>
      </c>
      <c r="AI291" s="9">
        <v>19</v>
      </c>
      <c r="AJ291" s="9">
        <v>19</v>
      </c>
      <c r="AK291" s="9">
        <v>59</v>
      </c>
      <c r="AL291" s="9">
        <v>39</v>
      </c>
      <c r="AM291" s="9">
        <v>13</v>
      </c>
      <c r="AN291" s="9">
        <v>13</v>
      </c>
      <c r="AO291" s="9">
        <v>0</v>
      </c>
      <c r="AP291" s="9">
        <v>26</v>
      </c>
      <c r="AQ291" s="9">
        <v>26</v>
      </c>
      <c r="AR291" s="9">
        <v>65</v>
      </c>
      <c r="AS291" s="9">
        <v>6</v>
      </c>
      <c r="AT291" s="9">
        <v>59</v>
      </c>
      <c r="AU291" s="9">
        <v>26</v>
      </c>
      <c r="AV291" s="9">
        <v>6</v>
      </c>
      <c r="AW291" s="9">
        <v>39</v>
      </c>
      <c r="AX291" s="9">
        <v>19</v>
      </c>
      <c r="AY291" s="9">
        <v>13</v>
      </c>
      <c r="AZ291" s="9">
        <v>0</v>
      </c>
      <c r="BA291" s="10">
        <v>83.72</v>
      </c>
      <c r="BB291" s="11">
        <v>32389.73</v>
      </c>
      <c r="BC291" s="11">
        <v>15115.21</v>
      </c>
      <c r="BD291" s="11">
        <v>24832.13</v>
      </c>
      <c r="BE291" s="11">
        <v>15115.21</v>
      </c>
      <c r="BF291" s="11">
        <v>20513.5</v>
      </c>
      <c r="BG291" s="11">
        <v>15000</v>
      </c>
      <c r="BH291" s="11">
        <v>8750</v>
      </c>
      <c r="BI291" s="11">
        <v>8119</v>
      </c>
      <c r="BJ291" s="11">
        <v>12923</v>
      </c>
      <c r="BK291" s="11">
        <v>64151</v>
      </c>
      <c r="BL291" s="11">
        <v>49709</v>
      </c>
      <c r="BM291" s="11">
        <v>39758</v>
      </c>
      <c r="BN291" s="11">
        <v>24250</v>
      </c>
      <c r="BO291" s="9">
        <v>195000</v>
      </c>
      <c r="BP291" s="9">
        <v>5613</v>
      </c>
    </row>
    <row r="292" spans="1:68" x14ac:dyDescent="0.3">
      <c r="A292" s="7">
        <v>45582</v>
      </c>
      <c r="B292" s="7" t="str">
        <f t="shared" si="4"/>
        <v>OCTOBER</v>
      </c>
      <c r="C292" s="8">
        <f>MONTH(Data!$A292)</f>
        <v>10</v>
      </c>
      <c r="D292" s="9">
        <v>1042</v>
      </c>
      <c r="E292" s="9">
        <v>692</v>
      </c>
      <c r="F292" s="9">
        <v>510</v>
      </c>
      <c r="G292" s="9">
        <v>303</v>
      </c>
      <c r="H292" s="9">
        <v>229</v>
      </c>
      <c r="I292" s="9">
        <v>242</v>
      </c>
      <c r="J292" s="9">
        <v>409</v>
      </c>
      <c r="K292" s="9">
        <v>41</v>
      </c>
      <c r="L292" s="9">
        <v>277</v>
      </c>
      <c r="M292" s="9">
        <v>83</v>
      </c>
      <c r="N292" s="9">
        <v>58</v>
      </c>
      <c r="O292" s="9">
        <v>77</v>
      </c>
      <c r="P292" s="9">
        <v>51</v>
      </c>
      <c r="Q292" s="9">
        <v>182</v>
      </c>
      <c r="R292" s="9">
        <v>102</v>
      </c>
      <c r="S292" s="9">
        <v>51</v>
      </c>
      <c r="T292" s="9">
        <v>51</v>
      </c>
      <c r="U292" s="9">
        <v>110</v>
      </c>
      <c r="V292" s="9">
        <v>76</v>
      </c>
      <c r="W292" s="9">
        <v>0</v>
      </c>
      <c r="X292" s="9">
        <v>41</v>
      </c>
      <c r="Y292" s="9">
        <v>0</v>
      </c>
      <c r="Z292" s="9">
        <v>41</v>
      </c>
      <c r="AA292" s="9">
        <v>62</v>
      </c>
      <c r="AB292" s="9">
        <v>13</v>
      </c>
      <c r="AC292" s="9">
        <v>20</v>
      </c>
      <c r="AD292" s="9">
        <v>27</v>
      </c>
      <c r="AE292" s="9">
        <v>6</v>
      </c>
      <c r="AF292" s="9">
        <v>6</v>
      </c>
      <c r="AG292" s="9">
        <v>20</v>
      </c>
      <c r="AH292" s="9">
        <v>6</v>
      </c>
      <c r="AI292" s="9">
        <v>0</v>
      </c>
      <c r="AJ292" s="9">
        <v>20</v>
      </c>
      <c r="AK292" s="9">
        <v>34</v>
      </c>
      <c r="AL292" s="9">
        <v>20</v>
      </c>
      <c r="AM292" s="9">
        <v>6</v>
      </c>
      <c r="AN292" s="9">
        <v>13</v>
      </c>
      <c r="AO292" s="9">
        <v>0</v>
      </c>
      <c r="AP292" s="9">
        <v>20</v>
      </c>
      <c r="AQ292" s="9">
        <v>20</v>
      </c>
      <c r="AR292" s="9">
        <v>76</v>
      </c>
      <c r="AS292" s="9">
        <v>6</v>
      </c>
      <c r="AT292" s="9">
        <v>62</v>
      </c>
      <c r="AU292" s="9">
        <v>6</v>
      </c>
      <c r="AV292" s="9">
        <v>0</v>
      </c>
      <c r="AW292" s="9">
        <v>13</v>
      </c>
      <c r="AX292" s="9">
        <v>20</v>
      </c>
      <c r="AY292" s="9">
        <v>20</v>
      </c>
      <c r="AZ292" s="9">
        <v>38</v>
      </c>
      <c r="BA292" s="10">
        <v>83.28</v>
      </c>
      <c r="BB292" s="11">
        <v>35579.839999999997</v>
      </c>
      <c r="BC292" s="11">
        <v>17789.919999999998</v>
      </c>
      <c r="BD292" s="11">
        <v>16743.45</v>
      </c>
      <c r="BE292" s="11">
        <v>18836.39</v>
      </c>
      <c r="BF292" s="11">
        <v>15696.99</v>
      </c>
      <c r="BG292" s="11">
        <v>15000</v>
      </c>
      <c r="BH292" s="11">
        <v>8750</v>
      </c>
      <c r="BI292" s="11">
        <v>6132</v>
      </c>
      <c r="BJ292" s="11">
        <v>12923</v>
      </c>
      <c r="BK292" s="11">
        <v>64151</v>
      </c>
      <c r="BL292" s="11">
        <v>49709</v>
      </c>
      <c r="BM292" s="11">
        <v>39758</v>
      </c>
      <c r="BN292" s="11">
        <v>24250</v>
      </c>
      <c r="BO292" s="9">
        <v>195000</v>
      </c>
      <c r="BP292" s="9">
        <v>2959</v>
      </c>
    </row>
    <row r="293" spans="1:68" x14ac:dyDescent="0.3">
      <c r="A293" s="7">
        <v>45583</v>
      </c>
      <c r="B293" s="7" t="str">
        <f t="shared" si="4"/>
        <v>OCTOBER</v>
      </c>
      <c r="C293" s="8">
        <f>MONTH(Data!$A293)</f>
        <v>10</v>
      </c>
      <c r="D293" s="9">
        <v>1038</v>
      </c>
      <c r="E293" s="9">
        <v>712</v>
      </c>
      <c r="F293" s="9">
        <v>487</v>
      </c>
      <c r="G293" s="9">
        <v>479</v>
      </c>
      <c r="H293" s="9">
        <v>72</v>
      </c>
      <c r="I293" s="9">
        <v>377</v>
      </c>
      <c r="J293" s="9">
        <v>179</v>
      </c>
      <c r="K293" s="9">
        <v>156</v>
      </c>
      <c r="L293" s="9">
        <v>283</v>
      </c>
      <c r="M293" s="9">
        <v>109</v>
      </c>
      <c r="N293" s="9">
        <v>64</v>
      </c>
      <c r="O293" s="9">
        <v>77</v>
      </c>
      <c r="P293" s="9">
        <v>51</v>
      </c>
      <c r="Q293" s="9">
        <v>149</v>
      </c>
      <c r="R293" s="9">
        <v>35</v>
      </c>
      <c r="S293" s="9">
        <v>51</v>
      </c>
      <c r="T293" s="9">
        <v>27</v>
      </c>
      <c r="U293" s="9">
        <v>192</v>
      </c>
      <c r="V293" s="9">
        <v>99</v>
      </c>
      <c r="W293" s="9">
        <v>0</v>
      </c>
      <c r="X293" s="9">
        <v>21</v>
      </c>
      <c r="Y293" s="9">
        <v>21</v>
      </c>
      <c r="Z293" s="9">
        <v>8</v>
      </c>
      <c r="AA293" s="9">
        <v>42</v>
      </c>
      <c r="AB293" s="9">
        <v>7</v>
      </c>
      <c r="AC293" s="9">
        <v>7</v>
      </c>
      <c r="AD293" s="9">
        <v>28</v>
      </c>
      <c r="AE293" s="9">
        <v>14</v>
      </c>
      <c r="AF293" s="9">
        <v>0</v>
      </c>
      <c r="AG293" s="9">
        <v>7</v>
      </c>
      <c r="AH293" s="9">
        <v>21</v>
      </c>
      <c r="AI293" s="9">
        <v>14</v>
      </c>
      <c r="AJ293" s="9">
        <v>7</v>
      </c>
      <c r="AK293" s="9">
        <v>71</v>
      </c>
      <c r="AL293" s="9">
        <v>35</v>
      </c>
      <c r="AM293" s="9">
        <v>35</v>
      </c>
      <c r="AN293" s="9">
        <v>7</v>
      </c>
      <c r="AO293" s="9">
        <v>7</v>
      </c>
      <c r="AP293" s="9">
        <v>28</v>
      </c>
      <c r="AQ293" s="9">
        <v>7</v>
      </c>
      <c r="AR293" s="9">
        <v>64</v>
      </c>
      <c r="AS293" s="9">
        <v>7</v>
      </c>
      <c r="AT293" s="9">
        <v>64</v>
      </c>
      <c r="AU293" s="9">
        <v>35</v>
      </c>
      <c r="AV293" s="9">
        <v>0</v>
      </c>
      <c r="AW293" s="9">
        <v>35</v>
      </c>
      <c r="AX293" s="9">
        <v>14</v>
      </c>
      <c r="AY293" s="9">
        <v>7</v>
      </c>
      <c r="AZ293" s="9">
        <v>0</v>
      </c>
      <c r="BA293" s="10">
        <v>84.304000000000002</v>
      </c>
      <c r="BB293" s="11">
        <v>32271.63</v>
      </c>
      <c r="BC293" s="11">
        <v>17697.34</v>
      </c>
      <c r="BD293" s="11">
        <v>24984.49</v>
      </c>
      <c r="BE293" s="11">
        <v>11451.22</v>
      </c>
      <c r="BF293" s="11">
        <v>17697.34</v>
      </c>
      <c r="BG293" s="11">
        <v>15000</v>
      </c>
      <c r="BH293" s="11">
        <v>8750</v>
      </c>
      <c r="BI293" s="11">
        <v>6132</v>
      </c>
      <c r="BJ293" s="11">
        <v>12923</v>
      </c>
      <c r="BK293" s="11">
        <v>64151</v>
      </c>
      <c r="BL293" s="11">
        <v>49709</v>
      </c>
      <c r="BM293" s="11">
        <v>39758</v>
      </c>
      <c r="BN293" s="11">
        <v>24250</v>
      </c>
      <c r="BO293" s="9">
        <v>195000</v>
      </c>
      <c r="BP293" s="9">
        <v>7812</v>
      </c>
    </row>
    <row r="294" spans="1:68" x14ac:dyDescent="0.3">
      <c r="A294" s="7">
        <v>45584</v>
      </c>
      <c r="B294" s="7" t="str">
        <f t="shared" si="4"/>
        <v>OCTOBER</v>
      </c>
      <c r="C294" s="8">
        <f>MONTH(Data!$A294)</f>
        <v>10</v>
      </c>
      <c r="D294" s="9">
        <v>1050</v>
      </c>
      <c r="E294" s="9">
        <v>722</v>
      </c>
      <c r="F294" s="9">
        <v>462</v>
      </c>
      <c r="G294" s="9">
        <v>462</v>
      </c>
      <c r="H294" s="9">
        <v>126</v>
      </c>
      <c r="I294" s="9">
        <v>216</v>
      </c>
      <c r="J294" s="9">
        <v>377</v>
      </c>
      <c r="K294" s="9">
        <v>129</v>
      </c>
      <c r="L294" s="9">
        <v>266</v>
      </c>
      <c r="M294" s="9">
        <v>195</v>
      </c>
      <c r="N294" s="9">
        <v>97</v>
      </c>
      <c r="O294" s="9">
        <v>91</v>
      </c>
      <c r="P294" s="9">
        <v>45</v>
      </c>
      <c r="Q294" s="9">
        <v>135</v>
      </c>
      <c r="R294" s="9">
        <v>107</v>
      </c>
      <c r="S294" s="9">
        <v>27</v>
      </c>
      <c r="T294" s="9">
        <v>31</v>
      </c>
      <c r="U294" s="9">
        <v>56</v>
      </c>
      <c r="V294" s="9">
        <v>28</v>
      </c>
      <c r="W294" s="9">
        <v>0</v>
      </c>
      <c r="X294" s="9">
        <v>36</v>
      </c>
      <c r="Y294" s="9">
        <v>21</v>
      </c>
      <c r="Z294" s="9">
        <v>101</v>
      </c>
      <c r="AA294" s="9">
        <v>36</v>
      </c>
      <c r="AB294" s="9">
        <v>14</v>
      </c>
      <c r="AC294" s="9">
        <v>14</v>
      </c>
      <c r="AD294" s="9">
        <v>14</v>
      </c>
      <c r="AE294" s="9">
        <v>14</v>
      </c>
      <c r="AF294" s="9">
        <v>0</v>
      </c>
      <c r="AG294" s="9">
        <v>14</v>
      </c>
      <c r="AH294" s="9">
        <v>7</v>
      </c>
      <c r="AI294" s="9">
        <v>21</v>
      </c>
      <c r="AJ294" s="9">
        <v>21</v>
      </c>
      <c r="AK294" s="9">
        <v>43</v>
      </c>
      <c r="AL294" s="9">
        <v>14</v>
      </c>
      <c r="AM294" s="9">
        <v>7</v>
      </c>
      <c r="AN294" s="9">
        <v>0</v>
      </c>
      <c r="AO294" s="9">
        <v>7</v>
      </c>
      <c r="AP294" s="9">
        <v>28</v>
      </c>
      <c r="AQ294" s="9">
        <v>7</v>
      </c>
      <c r="AR294" s="9">
        <v>79</v>
      </c>
      <c r="AS294" s="9">
        <v>21</v>
      </c>
      <c r="AT294" s="9">
        <v>50</v>
      </c>
      <c r="AU294" s="9">
        <v>28</v>
      </c>
      <c r="AV294" s="9">
        <v>0</v>
      </c>
      <c r="AW294" s="9">
        <v>14</v>
      </c>
      <c r="AX294" s="9">
        <v>7</v>
      </c>
      <c r="AY294" s="9">
        <v>21</v>
      </c>
      <c r="AZ294" s="9">
        <v>55</v>
      </c>
      <c r="BA294" s="10">
        <v>87.936000000000007</v>
      </c>
      <c r="BB294" s="11">
        <v>28449.73</v>
      </c>
      <c r="BC294" s="11">
        <v>15805.4</v>
      </c>
      <c r="BD294" s="11">
        <v>25288.65</v>
      </c>
      <c r="BE294" s="11">
        <v>15805.4</v>
      </c>
      <c r="BF294" s="11">
        <v>20020.18</v>
      </c>
      <c r="BG294" s="11">
        <v>15000</v>
      </c>
      <c r="BH294" s="11">
        <v>8750</v>
      </c>
      <c r="BI294" s="11">
        <v>6132</v>
      </c>
      <c r="BJ294" s="11">
        <v>12923</v>
      </c>
      <c r="BK294" s="11">
        <v>64151</v>
      </c>
      <c r="BL294" s="11">
        <v>49709</v>
      </c>
      <c r="BM294" s="11">
        <v>39758</v>
      </c>
      <c r="BN294" s="11">
        <v>24250</v>
      </c>
      <c r="BO294" s="9">
        <v>195000</v>
      </c>
      <c r="BP294" s="9">
        <v>6170</v>
      </c>
    </row>
    <row r="295" spans="1:68" x14ac:dyDescent="0.3">
      <c r="A295" s="7">
        <v>45585</v>
      </c>
      <c r="B295" s="7" t="str">
        <f t="shared" si="4"/>
        <v>OCTOBER</v>
      </c>
      <c r="C295" s="8">
        <f>MONTH(Data!$A295)</f>
        <v>10</v>
      </c>
      <c r="D295" s="9">
        <v>1074</v>
      </c>
      <c r="E295" s="9">
        <v>721</v>
      </c>
      <c r="F295" s="9">
        <v>386</v>
      </c>
      <c r="G295" s="9">
        <v>538</v>
      </c>
      <c r="H295" s="9">
        <v>150</v>
      </c>
      <c r="I295" s="9">
        <v>273</v>
      </c>
      <c r="J295" s="9">
        <v>275</v>
      </c>
      <c r="K295" s="9">
        <v>173</v>
      </c>
      <c r="L295" s="9">
        <v>246</v>
      </c>
      <c r="M295" s="9">
        <v>39</v>
      </c>
      <c r="N295" s="9">
        <v>93</v>
      </c>
      <c r="O295" s="9">
        <v>46</v>
      </c>
      <c r="P295" s="9">
        <v>46</v>
      </c>
      <c r="Q295" s="9">
        <v>163</v>
      </c>
      <c r="R295" s="9">
        <v>114</v>
      </c>
      <c r="S295" s="9">
        <v>48</v>
      </c>
      <c r="T295" s="9">
        <v>53</v>
      </c>
      <c r="U295" s="9">
        <v>226</v>
      </c>
      <c r="V295" s="9">
        <v>64</v>
      </c>
      <c r="W295" s="9">
        <v>7</v>
      </c>
      <c r="X295" s="9">
        <v>43</v>
      </c>
      <c r="Y295" s="9">
        <v>21</v>
      </c>
      <c r="Z295" s="9">
        <v>86</v>
      </c>
      <c r="AA295" s="9">
        <v>57</v>
      </c>
      <c r="AB295" s="9">
        <v>0</v>
      </c>
      <c r="AC295" s="9">
        <v>7</v>
      </c>
      <c r="AD295" s="9">
        <v>36</v>
      </c>
      <c r="AE295" s="9">
        <v>21</v>
      </c>
      <c r="AF295" s="9">
        <v>7</v>
      </c>
      <c r="AG295" s="9">
        <v>21</v>
      </c>
      <c r="AH295" s="9">
        <v>7</v>
      </c>
      <c r="AI295" s="9">
        <v>0</v>
      </c>
      <c r="AJ295" s="9">
        <v>7</v>
      </c>
      <c r="AK295" s="9">
        <v>50</v>
      </c>
      <c r="AL295" s="9">
        <v>50</v>
      </c>
      <c r="AM295" s="9">
        <v>21</v>
      </c>
      <c r="AN295" s="9">
        <v>21</v>
      </c>
      <c r="AO295" s="9">
        <v>7</v>
      </c>
      <c r="AP295" s="9">
        <v>0</v>
      </c>
      <c r="AQ295" s="9">
        <v>7</v>
      </c>
      <c r="AR295" s="9">
        <v>72</v>
      </c>
      <c r="AS295" s="9">
        <v>7</v>
      </c>
      <c r="AT295" s="9">
        <v>21</v>
      </c>
      <c r="AU295" s="9">
        <v>21</v>
      </c>
      <c r="AV295" s="9">
        <v>7</v>
      </c>
      <c r="AW295" s="9">
        <v>21</v>
      </c>
      <c r="AX295" s="9">
        <v>0</v>
      </c>
      <c r="AY295" s="9">
        <v>7</v>
      </c>
      <c r="AZ295" s="9">
        <v>25</v>
      </c>
      <c r="BA295" s="10">
        <v>89.575999999999993</v>
      </c>
      <c r="BB295" s="11">
        <v>34076.1</v>
      </c>
      <c r="BC295" s="11">
        <v>27480.73</v>
      </c>
      <c r="BD295" s="11">
        <v>10992.29</v>
      </c>
      <c r="BE295" s="11">
        <v>8793.83</v>
      </c>
      <c r="BF295" s="11">
        <v>28579.96</v>
      </c>
      <c r="BG295" s="11">
        <v>15000</v>
      </c>
      <c r="BH295" s="11">
        <v>8750</v>
      </c>
      <c r="BI295" s="11">
        <v>6132</v>
      </c>
      <c r="BJ295" s="11">
        <v>12923</v>
      </c>
      <c r="BK295" s="11">
        <v>64151</v>
      </c>
      <c r="BL295" s="11">
        <v>49709</v>
      </c>
      <c r="BM295" s="11">
        <v>39758</v>
      </c>
      <c r="BN295" s="11">
        <v>24250</v>
      </c>
      <c r="BO295" s="9">
        <v>195000</v>
      </c>
      <c r="BP295" s="9">
        <v>2896</v>
      </c>
    </row>
    <row r="296" spans="1:68" x14ac:dyDescent="0.3">
      <c r="A296" s="7">
        <v>45586</v>
      </c>
      <c r="B296" s="7" t="str">
        <f t="shared" si="4"/>
        <v>OCTOBER</v>
      </c>
      <c r="C296" s="8">
        <f>MONTH(Data!$A296)</f>
        <v>10</v>
      </c>
      <c r="D296" s="9">
        <v>1090</v>
      </c>
      <c r="E296" s="9">
        <v>710</v>
      </c>
      <c r="F296" s="9">
        <v>468</v>
      </c>
      <c r="G296" s="9">
        <v>481</v>
      </c>
      <c r="H296" s="9">
        <v>141</v>
      </c>
      <c r="I296" s="9">
        <v>177</v>
      </c>
      <c r="J296" s="9">
        <v>391</v>
      </c>
      <c r="K296" s="9">
        <v>142</v>
      </c>
      <c r="L296" s="9">
        <v>270</v>
      </c>
      <c r="M296" s="9">
        <v>74</v>
      </c>
      <c r="N296" s="9">
        <v>87</v>
      </c>
      <c r="O296" s="9">
        <v>54</v>
      </c>
      <c r="P296" s="9">
        <v>27</v>
      </c>
      <c r="Q296" s="9">
        <v>140</v>
      </c>
      <c r="R296" s="9">
        <v>144</v>
      </c>
      <c r="S296" s="9">
        <v>33</v>
      </c>
      <c r="T296" s="9">
        <v>49</v>
      </c>
      <c r="U296" s="9">
        <v>212</v>
      </c>
      <c r="V296" s="9">
        <v>56</v>
      </c>
      <c r="W296" s="9">
        <v>21</v>
      </c>
      <c r="X296" s="9">
        <v>42</v>
      </c>
      <c r="Y296" s="9">
        <v>14</v>
      </c>
      <c r="Z296" s="9">
        <v>71</v>
      </c>
      <c r="AA296" s="9">
        <v>63</v>
      </c>
      <c r="AB296" s="9">
        <v>7</v>
      </c>
      <c r="AC296" s="9">
        <v>0</v>
      </c>
      <c r="AD296" s="9">
        <v>21</v>
      </c>
      <c r="AE296" s="9">
        <v>14</v>
      </c>
      <c r="AF296" s="9">
        <v>0</v>
      </c>
      <c r="AG296" s="9">
        <v>21</v>
      </c>
      <c r="AH296" s="9">
        <v>21</v>
      </c>
      <c r="AI296" s="9">
        <v>7</v>
      </c>
      <c r="AJ296" s="9">
        <v>0</v>
      </c>
      <c r="AK296" s="9">
        <v>42</v>
      </c>
      <c r="AL296" s="9">
        <v>28</v>
      </c>
      <c r="AM296" s="9">
        <v>28</v>
      </c>
      <c r="AN296" s="9">
        <v>14</v>
      </c>
      <c r="AO296" s="9">
        <v>7</v>
      </c>
      <c r="AP296" s="9">
        <v>21</v>
      </c>
      <c r="AQ296" s="9">
        <v>21</v>
      </c>
      <c r="AR296" s="9">
        <v>49</v>
      </c>
      <c r="AS296" s="9">
        <v>7</v>
      </c>
      <c r="AT296" s="9">
        <v>42</v>
      </c>
      <c r="AU296" s="9">
        <v>28</v>
      </c>
      <c r="AV296" s="9">
        <v>0</v>
      </c>
      <c r="AW296" s="9">
        <v>14</v>
      </c>
      <c r="AX296" s="9">
        <v>14</v>
      </c>
      <c r="AY296" s="9">
        <v>21</v>
      </c>
      <c r="AZ296" s="9">
        <v>16</v>
      </c>
      <c r="BA296" s="10">
        <v>89.415999999999997</v>
      </c>
      <c r="BB296" s="11">
        <v>39189.1</v>
      </c>
      <c r="BC296" s="11">
        <v>14555.95</v>
      </c>
      <c r="BD296" s="11">
        <v>27992.21</v>
      </c>
      <c r="BE296" s="11">
        <v>26872.53</v>
      </c>
      <c r="BF296" s="11">
        <v>3359.07</v>
      </c>
      <c r="BG296" s="11">
        <v>15000</v>
      </c>
      <c r="BH296" s="11">
        <v>8750</v>
      </c>
      <c r="BI296" s="11">
        <v>6132</v>
      </c>
      <c r="BJ296" s="11">
        <v>12923</v>
      </c>
      <c r="BK296" s="11">
        <v>64151</v>
      </c>
      <c r="BL296" s="11">
        <v>49709</v>
      </c>
      <c r="BM296" s="11">
        <v>39758</v>
      </c>
      <c r="BN296" s="11">
        <v>24250</v>
      </c>
      <c r="BO296" s="9">
        <v>195000</v>
      </c>
      <c r="BP296" s="9">
        <v>4126</v>
      </c>
    </row>
    <row r="297" spans="1:68" x14ac:dyDescent="0.3">
      <c r="A297" s="7">
        <v>45587</v>
      </c>
      <c r="B297" s="7" t="str">
        <f t="shared" si="4"/>
        <v>OCTOBER</v>
      </c>
      <c r="C297" s="8">
        <f>MONTH(Data!$A297)</f>
        <v>10</v>
      </c>
      <c r="D297" s="9">
        <v>1092</v>
      </c>
      <c r="E297" s="9">
        <v>682</v>
      </c>
      <c r="F297" s="9">
        <v>480</v>
      </c>
      <c r="G297" s="9">
        <v>350</v>
      </c>
      <c r="H297" s="9">
        <v>262</v>
      </c>
      <c r="I297" s="9">
        <v>306</v>
      </c>
      <c r="J297" s="9">
        <v>233</v>
      </c>
      <c r="K297" s="9">
        <v>143</v>
      </c>
      <c r="L297" s="9">
        <v>291</v>
      </c>
      <c r="M297" s="9">
        <v>176</v>
      </c>
      <c r="N297" s="9">
        <v>88</v>
      </c>
      <c r="O297" s="9">
        <v>81</v>
      </c>
      <c r="P297" s="9">
        <v>47</v>
      </c>
      <c r="Q297" s="9">
        <v>203</v>
      </c>
      <c r="R297" s="9">
        <v>41</v>
      </c>
      <c r="S297" s="9">
        <v>49</v>
      </c>
      <c r="T297" s="9">
        <v>62</v>
      </c>
      <c r="U297" s="9">
        <v>54</v>
      </c>
      <c r="V297" s="9">
        <v>95</v>
      </c>
      <c r="W297" s="9">
        <v>20</v>
      </c>
      <c r="X297" s="9">
        <v>47</v>
      </c>
      <c r="Y297" s="9">
        <v>0</v>
      </c>
      <c r="Z297" s="9">
        <v>68</v>
      </c>
      <c r="AA297" s="9">
        <v>54</v>
      </c>
      <c r="AB297" s="9">
        <v>0</v>
      </c>
      <c r="AC297" s="9">
        <v>20</v>
      </c>
      <c r="AD297" s="9">
        <v>27</v>
      </c>
      <c r="AE297" s="9">
        <v>0</v>
      </c>
      <c r="AF297" s="9">
        <v>0</v>
      </c>
      <c r="AG297" s="9">
        <v>34</v>
      </c>
      <c r="AH297" s="9">
        <v>13</v>
      </c>
      <c r="AI297" s="9">
        <v>6</v>
      </c>
      <c r="AJ297" s="9">
        <v>0</v>
      </c>
      <c r="AK297" s="9">
        <v>47</v>
      </c>
      <c r="AL297" s="9">
        <v>27</v>
      </c>
      <c r="AM297" s="9">
        <v>6</v>
      </c>
      <c r="AN297" s="9">
        <v>13</v>
      </c>
      <c r="AO297" s="9">
        <v>6</v>
      </c>
      <c r="AP297" s="9">
        <v>27</v>
      </c>
      <c r="AQ297" s="9">
        <v>13</v>
      </c>
      <c r="AR297" s="9">
        <v>0</v>
      </c>
      <c r="AS297" s="9">
        <v>20</v>
      </c>
      <c r="AT297" s="9">
        <v>51</v>
      </c>
      <c r="AU297" s="9">
        <v>27</v>
      </c>
      <c r="AV297" s="9">
        <v>0</v>
      </c>
      <c r="AW297" s="9">
        <v>40</v>
      </c>
      <c r="AX297" s="9">
        <v>13</v>
      </c>
      <c r="AY297" s="9">
        <v>6</v>
      </c>
      <c r="AZ297" s="9">
        <v>2</v>
      </c>
      <c r="BA297" s="10">
        <v>86.88</v>
      </c>
      <c r="BB297" s="11">
        <v>33534.339999999997</v>
      </c>
      <c r="BC297" s="11">
        <v>22356.23</v>
      </c>
      <c r="BD297" s="11">
        <v>13413.74</v>
      </c>
      <c r="BE297" s="11">
        <v>24591.85</v>
      </c>
      <c r="BF297" s="11">
        <v>17884.98</v>
      </c>
      <c r="BG297" s="11">
        <v>15000</v>
      </c>
      <c r="BH297" s="11">
        <v>8750</v>
      </c>
      <c r="BI297" s="11">
        <v>6132</v>
      </c>
      <c r="BJ297" s="11">
        <v>10728</v>
      </c>
      <c r="BK297" s="11">
        <v>64151</v>
      </c>
      <c r="BL297" s="11">
        <v>49709</v>
      </c>
      <c r="BM297" s="11">
        <v>39758</v>
      </c>
      <c r="BN297" s="11">
        <v>24250</v>
      </c>
      <c r="BO297" s="9">
        <v>195000</v>
      </c>
      <c r="BP297" s="9">
        <v>7771</v>
      </c>
    </row>
    <row r="298" spans="1:68" x14ac:dyDescent="0.3">
      <c r="A298" s="7">
        <v>45588</v>
      </c>
      <c r="B298" s="7" t="str">
        <f t="shared" si="4"/>
        <v>OCTOBER</v>
      </c>
      <c r="C298" s="8">
        <f>MONTH(Data!$A298)</f>
        <v>10</v>
      </c>
      <c r="D298" s="9">
        <v>1084</v>
      </c>
      <c r="E298" s="9">
        <v>650</v>
      </c>
      <c r="F298" s="9">
        <v>346</v>
      </c>
      <c r="G298" s="9">
        <v>522</v>
      </c>
      <c r="H298" s="9">
        <v>216</v>
      </c>
      <c r="I298" s="9">
        <v>234</v>
      </c>
      <c r="J298" s="9">
        <v>299</v>
      </c>
      <c r="K298" s="9">
        <v>117</v>
      </c>
      <c r="L298" s="9">
        <v>289</v>
      </c>
      <c r="M298" s="9">
        <v>228</v>
      </c>
      <c r="N298" s="9">
        <v>73</v>
      </c>
      <c r="O298" s="9">
        <v>53</v>
      </c>
      <c r="P298" s="9">
        <v>47</v>
      </c>
      <c r="Q298" s="9">
        <v>210</v>
      </c>
      <c r="R298" s="9">
        <v>115</v>
      </c>
      <c r="S298" s="9">
        <v>41</v>
      </c>
      <c r="T298" s="9">
        <v>28</v>
      </c>
      <c r="U298" s="9">
        <v>0</v>
      </c>
      <c r="V298" s="9">
        <v>39</v>
      </c>
      <c r="W298" s="9">
        <v>13</v>
      </c>
      <c r="X298" s="9">
        <v>19</v>
      </c>
      <c r="Y298" s="9">
        <v>6</v>
      </c>
      <c r="Z298" s="9">
        <v>78</v>
      </c>
      <c r="AA298" s="9">
        <v>52</v>
      </c>
      <c r="AB298" s="9">
        <v>6</v>
      </c>
      <c r="AC298" s="9">
        <v>19</v>
      </c>
      <c r="AD298" s="9">
        <v>13</v>
      </c>
      <c r="AE298" s="9">
        <v>13</v>
      </c>
      <c r="AF298" s="9">
        <v>6</v>
      </c>
      <c r="AG298" s="9">
        <v>26</v>
      </c>
      <c r="AH298" s="9">
        <v>19</v>
      </c>
      <c r="AI298" s="9">
        <v>13</v>
      </c>
      <c r="AJ298" s="9">
        <v>13</v>
      </c>
      <c r="AK298" s="9">
        <v>26</v>
      </c>
      <c r="AL298" s="9">
        <v>19</v>
      </c>
      <c r="AM298" s="9">
        <v>32</v>
      </c>
      <c r="AN298" s="9">
        <v>13</v>
      </c>
      <c r="AO298" s="9">
        <v>0</v>
      </c>
      <c r="AP298" s="9">
        <v>26</v>
      </c>
      <c r="AQ298" s="9">
        <v>26</v>
      </c>
      <c r="AR298" s="9">
        <v>65</v>
      </c>
      <c r="AS298" s="9">
        <v>6</v>
      </c>
      <c r="AT298" s="9">
        <v>26</v>
      </c>
      <c r="AU298" s="9">
        <v>19</v>
      </c>
      <c r="AV298" s="9">
        <v>6</v>
      </c>
      <c r="AW298" s="9">
        <v>6</v>
      </c>
      <c r="AX298" s="9">
        <v>19</v>
      </c>
      <c r="AY298" s="9">
        <v>26</v>
      </c>
      <c r="AZ298" s="9">
        <v>0</v>
      </c>
      <c r="BA298" s="10">
        <v>83.031999999999996</v>
      </c>
      <c r="BB298" s="11">
        <v>32577.83</v>
      </c>
      <c r="BC298" s="11">
        <v>21718.55</v>
      </c>
      <c r="BD298" s="11">
        <v>22804.48</v>
      </c>
      <c r="BE298" s="11">
        <v>19546.7</v>
      </c>
      <c r="BF298" s="11">
        <v>11945.2</v>
      </c>
      <c r="BG298" s="11">
        <v>15000</v>
      </c>
      <c r="BH298" s="11">
        <v>8750</v>
      </c>
      <c r="BI298" s="11">
        <v>6132</v>
      </c>
      <c r="BJ298" s="11">
        <v>10728</v>
      </c>
      <c r="BK298" s="11">
        <v>64151</v>
      </c>
      <c r="BL298" s="11">
        <v>49709</v>
      </c>
      <c r="BM298" s="11">
        <v>39758</v>
      </c>
      <c r="BN298" s="11">
        <v>24250</v>
      </c>
      <c r="BO298" s="9">
        <v>195000</v>
      </c>
      <c r="BP298" s="9">
        <v>2973</v>
      </c>
    </row>
    <row r="299" spans="1:68" x14ac:dyDescent="0.3">
      <c r="A299" s="7">
        <v>45589</v>
      </c>
      <c r="B299" s="7" t="str">
        <f t="shared" si="4"/>
        <v>OCTOBER</v>
      </c>
      <c r="C299" s="8">
        <f>MONTH(Data!$A299)</f>
        <v>10</v>
      </c>
      <c r="D299" s="9">
        <v>1067</v>
      </c>
      <c r="E299" s="9">
        <v>615</v>
      </c>
      <c r="F299" s="9">
        <v>213</v>
      </c>
      <c r="G299" s="9">
        <v>790</v>
      </c>
      <c r="H299" s="9">
        <v>64</v>
      </c>
      <c r="I299" s="9">
        <v>184</v>
      </c>
      <c r="J299" s="9">
        <v>315</v>
      </c>
      <c r="K299" s="9">
        <v>116</v>
      </c>
      <c r="L299" s="9">
        <v>277</v>
      </c>
      <c r="M299" s="9">
        <v>66</v>
      </c>
      <c r="N299" s="9">
        <v>72</v>
      </c>
      <c r="O299" s="9">
        <v>59</v>
      </c>
      <c r="P299" s="9">
        <v>19</v>
      </c>
      <c r="Q299" s="9">
        <v>141</v>
      </c>
      <c r="R299" s="9">
        <v>141</v>
      </c>
      <c r="S299" s="9">
        <v>60</v>
      </c>
      <c r="T299" s="9">
        <v>56</v>
      </c>
      <c r="U299" s="9">
        <v>176</v>
      </c>
      <c r="V299" s="9">
        <v>86</v>
      </c>
      <c r="W299" s="9">
        <v>0</v>
      </c>
      <c r="X299" s="9">
        <v>18</v>
      </c>
      <c r="Y299" s="9">
        <v>18</v>
      </c>
      <c r="Z299" s="9">
        <v>49</v>
      </c>
      <c r="AA299" s="9">
        <v>36</v>
      </c>
      <c r="AB299" s="9">
        <v>0</v>
      </c>
      <c r="AC299" s="9">
        <v>6</v>
      </c>
      <c r="AD299" s="9">
        <v>30</v>
      </c>
      <c r="AE299" s="9">
        <v>12</v>
      </c>
      <c r="AF299" s="9">
        <v>6</v>
      </c>
      <c r="AG299" s="9">
        <v>18</v>
      </c>
      <c r="AH299" s="9">
        <v>0</v>
      </c>
      <c r="AI299" s="9">
        <v>6</v>
      </c>
      <c r="AJ299" s="9">
        <v>0</v>
      </c>
      <c r="AK299" s="9">
        <v>36</v>
      </c>
      <c r="AL299" s="9">
        <v>36</v>
      </c>
      <c r="AM299" s="9">
        <v>12</v>
      </c>
      <c r="AN299" s="9">
        <v>12</v>
      </c>
      <c r="AO299" s="9">
        <v>6</v>
      </c>
      <c r="AP299" s="9">
        <v>18</v>
      </c>
      <c r="AQ299" s="9">
        <v>24</v>
      </c>
      <c r="AR299" s="9">
        <v>43</v>
      </c>
      <c r="AS299" s="9">
        <v>6</v>
      </c>
      <c r="AT299" s="9">
        <v>24</v>
      </c>
      <c r="AU299" s="9">
        <v>6</v>
      </c>
      <c r="AV299" s="9">
        <v>0</v>
      </c>
      <c r="AW299" s="9">
        <v>36</v>
      </c>
      <c r="AX299" s="9">
        <v>12</v>
      </c>
      <c r="AY299" s="9">
        <v>18</v>
      </c>
      <c r="AZ299" s="9">
        <v>41</v>
      </c>
      <c r="BA299" s="10">
        <v>79.848000000000013</v>
      </c>
      <c r="BB299" s="11">
        <v>29060.35</v>
      </c>
      <c r="BC299" s="11">
        <v>18681.650000000001</v>
      </c>
      <c r="BD299" s="11">
        <v>19719.52</v>
      </c>
      <c r="BE299" s="11">
        <v>24908.87</v>
      </c>
      <c r="BF299" s="11">
        <v>11416.56</v>
      </c>
      <c r="BG299" s="11">
        <v>15000</v>
      </c>
      <c r="BH299" s="11">
        <v>8750</v>
      </c>
      <c r="BI299" s="11">
        <v>6132</v>
      </c>
      <c r="BJ299" s="11">
        <v>10728</v>
      </c>
      <c r="BK299" s="11">
        <v>64151</v>
      </c>
      <c r="BL299" s="11">
        <v>49709</v>
      </c>
      <c r="BM299" s="11">
        <v>39758</v>
      </c>
      <c r="BN299" s="11">
        <v>24250</v>
      </c>
      <c r="BO299" s="9">
        <v>195000</v>
      </c>
      <c r="BP299" s="9">
        <v>8385</v>
      </c>
    </row>
    <row r="300" spans="1:68" x14ac:dyDescent="0.3">
      <c r="A300" s="7">
        <v>45590</v>
      </c>
      <c r="B300" s="7" t="str">
        <f t="shared" si="4"/>
        <v>OCTOBER</v>
      </c>
      <c r="C300" s="8">
        <f>MONTH(Data!$A300)</f>
        <v>10</v>
      </c>
      <c r="D300" s="9">
        <v>1043</v>
      </c>
      <c r="E300" s="9">
        <v>588</v>
      </c>
      <c r="F300" s="9">
        <v>479</v>
      </c>
      <c r="G300" s="9">
        <v>491</v>
      </c>
      <c r="H300" s="9">
        <v>73</v>
      </c>
      <c r="I300" s="9">
        <v>123</v>
      </c>
      <c r="J300" s="9">
        <v>430</v>
      </c>
      <c r="K300" s="9">
        <v>35</v>
      </c>
      <c r="L300" s="9">
        <v>202</v>
      </c>
      <c r="M300" s="9">
        <v>226</v>
      </c>
      <c r="N300" s="9">
        <v>96</v>
      </c>
      <c r="O300" s="9">
        <v>71</v>
      </c>
      <c r="P300" s="9">
        <v>38</v>
      </c>
      <c r="Q300" s="9">
        <v>186</v>
      </c>
      <c r="R300" s="9">
        <v>110</v>
      </c>
      <c r="S300" s="9">
        <v>55</v>
      </c>
      <c r="T300" s="9">
        <v>59</v>
      </c>
      <c r="U300" s="9">
        <v>0</v>
      </c>
      <c r="V300" s="9">
        <v>70</v>
      </c>
      <c r="W300" s="9">
        <v>5</v>
      </c>
      <c r="X300" s="9">
        <v>23</v>
      </c>
      <c r="Y300" s="9">
        <v>0</v>
      </c>
      <c r="Z300" s="9">
        <v>64</v>
      </c>
      <c r="AA300" s="9">
        <v>47</v>
      </c>
      <c r="AB300" s="9">
        <v>0</v>
      </c>
      <c r="AC300" s="9">
        <v>0</v>
      </c>
      <c r="AD300" s="9">
        <v>29</v>
      </c>
      <c r="AE300" s="9">
        <v>5</v>
      </c>
      <c r="AF300" s="9">
        <v>0</v>
      </c>
      <c r="AG300" s="9">
        <v>11</v>
      </c>
      <c r="AH300" s="9">
        <v>11</v>
      </c>
      <c r="AI300" s="9">
        <v>17</v>
      </c>
      <c r="AJ300" s="9">
        <v>5</v>
      </c>
      <c r="AK300" s="9">
        <v>52</v>
      </c>
      <c r="AL300" s="9">
        <v>17</v>
      </c>
      <c r="AM300" s="9">
        <v>29</v>
      </c>
      <c r="AN300" s="9">
        <v>17</v>
      </c>
      <c r="AO300" s="9">
        <v>0</v>
      </c>
      <c r="AP300" s="9">
        <v>23</v>
      </c>
      <c r="AQ300" s="9">
        <v>23</v>
      </c>
      <c r="AR300" s="9">
        <v>0</v>
      </c>
      <c r="AS300" s="9">
        <v>17</v>
      </c>
      <c r="AT300" s="9">
        <v>26</v>
      </c>
      <c r="AU300" s="9">
        <v>23</v>
      </c>
      <c r="AV300" s="9">
        <v>5</v>
      </c>
      <c r="AW300" s="9">
        <v>35</v>
      </c>
      <c r="AX300" s="9">
        <v>11</v>
      </c>
      <c r="AY300" s="9">
        <v>23</v>
      </c>
      <c r="AZ300" s="9">
        <v>0</v>
      </c>
      <c r="BA300" s="10">
        <v>79.28</v>
      </c>
      <c r="BB300" s="11">
        <v>29943.75</v>
      </c>
      <c r="BC300" s="11">
        <v>15970</v>
      </c>
      <c r="BD300" s="11">
        <v>24953.13</v>
      </c>
      <c r="BE300" s="11">
        <v>11977.5</v>
      </c>
      <c r="BF300" s="11">
        <v>16968.13</v>
      </c>
      <c r="BG300" s="11">
        <v>15000</v>
      </c>
      <c r="BH300" s="11">
        <v>8750</v>
      </c>
      <c r="BI300" s="11">
        <v>6132</v>
      </c>
      <c r="BJ300" s="11">
        <v>10728</v>
      </c>
      <c r="BK300" s="11">
        <v>64151</v>
      </c>
      <c r="BL300" s="11">
        <v>49709</v>
      </c>
      <c r="BM300" s="11">
        <v>39758</v>
      </c>
      <c r="BN300" s="11">
        <v>24250</v>
      </c>
      <c r="BO300" s="9">
        <v>195000</v>
      </c>
      <c r="BP300" s="9">
        <v>7997</v>
      </c>
    </row>
    <row r="301" spans="1:68" x14ac:dyDescent="0.3">
      <c r="A301" s="7">
        <v>45591</v>
      </c>
      <c r="B301" s="7" t="str">
        <f t="shared" si="4"/>
        <v>OCTOBER</v>
      </c>
      <c r="C301" s="8">
        <f>MONTH(Data!$A301)</f>
        <v>10</v>
      </c>
      <c r="D301" s="9">
        <v>1018</v>
      </c>
      <c r="E301" s="9">
        <v>580</v>
      </c>
      <c r="F301" s="9">
        <v>295</v>
      </c>
      <c r="G301" s="9">
        <v>591</v>
      </c>
      <c r="H301" s="9">
        <v>132</v>
      </c>
      <c r="I301" s="9">
        <v>127</v>
      </c>
      <c r="J301" s="9">
        <v>407</v>
      </c>
      <c r="K301" s="9">
        <v>46</v>
      </c>
      <c r="L301" s="9">
        <v>220</v>
      </c>
      <c r="M301" s="9">
        <v>176</v>
      </c>
      <c r="N301" s="9">
        <v>50</v>
      </c>
      <c r="O301" s="9">
        <v>37</v>
      </c>
      <c r="P301" s="9">
        <v>44</v>
      </c>
      <c r="Q301" s="9">
        <v>170</v>
      </c>
      <c r="R301" s="9">
        <v>27</v>
      </c>
      <c r="S301" s="9">
        <v>46</v>
      </c>
      <c r="T301" s="9">
        <v>54</v>
      </c>
      <c r="U301" s="9">
        <v>194</v>
      </c>
      <c r="V301" s="9">
        <v>75</v>
      </c>
      <c r="W301" s="9">
        <v>17</v>
      </c>
      <c r="X301" s="9">
        <v>34</v>
      </c>
      <c r="Y301" s="9">
        <v>5</v>
      </c>
      <c r="Z301" s="9">
        <v>24</v>
      </c>
      <c r="AA301" s="9">
        <v>34</v>
      </c>
      <c r="AB301" s="9">
        <v>11</v>
      </c>
      <c r="AC301" s="9">
        <v>5</v>
      </c>
      <c r="AD301" s="9">
        <v>17</v>
      </c>
      <c r="AE301" s="9">
        <v>11</v>
      </c>
      <c r="AF301" s="9">
        <v>0</v>
      </c>
      <c r="AG301" s="9">
        <v>17</v>
      </c>
      <c r="AH301" s="9">
        <v>11</v>
      </c>
      <c r="AI301" s="9">
        <v>11</v>
      </c>
      <c r="AJ301" s="9">
        <v>17</v>
      </c>
      <c r="AK301" s="9">
        <v>29</v>
      </c>
      <c r="AL301" s="9">
        <v>34</v>
      </c>
      <c r="AM301" s="9">
        <v>11</v>
      </c>
      <c r="AN301" s="9">
        <v>5</v>
      </c>
      <c r="AO301" s="9">
        <v>0</v>
      </c>
      <c r="AP301" s="9">
        <v>17</v>
      </c>
      <c r="AQ301" s="9">
        <v>23</v>
      </c>
      <c r="AR301" s="9">
        <v>46</v>
      </c>
      <c r="AS301" s="9">
        <v>11</v>
      </c>
      <c r="AT301" s="9">
        <v>29</v>
      </c>
      <c r="AU301" s="9">
        <v>17</v>
      </c>
      <c r="AV301" s="9">
        <v>0</v>
      </c>
      <c r="AW301" s="9">
        <v>29</v>
      </c>
      <c r="AX301" s="9">
        <v>23</v>
      </c>
      <c r="AY301" s="9">
        <v>17</v>
      </c>
      <c r="AZ301" s="9">
        <v>0</v>
      </c>
      <c r="BA301" s="10">
        <v>79.575999999999993</v>
      </c>
      <c r="BB301" s="11">
        <v>29731.200000000001</v>
      </c>
      <c r="BC301" s="11">
        <v>20811.84</v>
      </c>
      <c r="BD301" s="11">
        <v>12883.52</v>
      </c>
      <c r="BE301" s="11">
        <v>17838.72</v>
      </c>
      <c r="BF301" s="11">
        <v>17838.72</v>
      </c>
      <c r="BG301" s="11">
        <v>15000</v>
      </c>
      <c r="BH301" s="11">
        <v>8750</v>
      </c>
      <c r="BI301" s="11">
        <v>6132</v>
      </c>
      <c r="BJ301" s="11">
        <v>10728</v>
      </c>
      <c r="BK301" s="11">
        <v>64151</v>
      </c>
      <c r="BL301" s="11">
        <v>49709</v>
      </c>
      <c r="BM301" s="11">
        <v>39758</v>
      </c>
      <c r="BN301" s="11">
        <v>24250</v>
      </c>
      <c r="BO301" s="9">
        <v>195000</v>
      </c>
      <c r="BP301" s="9">
        <v>147</v>
      </c>
    </row>
    <row r="302" spans="1:68" x14ac:dyDescent="0.3">
      <c r="A302" s="7">
        <v>45592</v>
      </c>
      <c r="B302" s="7" t="str">
        <f t="shared" si="4"/>
        <v>OCTOBER</v>
      </c>
      <c r="C302" s="8">
        <f>MONTH(Data!$A302)</f>
        <v>10</v>
      </c>
      <c r="D302" s="9">
        <v>998</v>
      </c>
      <c r="E302" s="9">
        <v>576</v>
      </c>
      <c r="F302" s="9">
        <v>209</v>
      </c>
      <c r="G302" s="9">
        <v>550</v>
      </c>
      <c r="H302" s="9">
        <v>239</v>
      </c>
      <c r="I302" s="9">
        <v>207</v>
      </c>
      <c r="J302" s="9">
        <v>260</v>
      </c>
      <c r="K302" s="9">
        <v>109</v>
      </c>
      <c r="L302" s="9">
        <v>216</v>
      </c>
      <c r="M302" s="9">
        <v>204</v>
      </c>
      <c r="N302" s="9">
        <v>80</v>
      </c>
      <c r="O302" s="9">
        <v>74</v>
      </c>
      <c r="P302" s="9">
        <v>24</v>
      </c>
      <c r="Q302" s="9">
        <v>128</v>
      </c>
      <c r="R302" s="9">
        <v>132</v>
      </c>
      <c r="S302" s="9">
        <v>41</v>
      </c>
      <c r="T302" s="9">
        <v>45</v>
      </c>
      <c r="U302" s="9">
        <v>54</v>
      </c>
      <c r="V302" s="9">
        <v>28</v>
      </c>
      <c r="W302" s="9">
        <v>17</v>
      </c>
      <c r="X302" s="9">
        <v>40</v>
      </c>
      <c r="Y302" s="9">
        <v>17</v>
      </c>
      <c r="Z302" s="9">
        <v>45</v>
      </c>
      <c r="AA302" s="9">
        <v>40</v>
      </c>
      <c r="AB302" s="9">
        <v>0</v>
      </c>
      <c r="AC302" s="9">
        <v>0</v>
      </c>
      <c r="AD302" s="9">
        <v>11</v>
      </c>
      <c r="AE302" s="9">
        <v>11</v>
      </c>
      <c r="AF302" s="9">
        <v>5</v>
      </c>
      <c r="AG302" s="9">
        <v>23</v>
      </c>
      <c r="AH302" s="9">
        <v>0</v>
      </c>
      <c r="AI302" s="9">
        <v>11</v>
      </c>
      <c r="AJ302" s="9">
        <v>0</v>
      </c>
      <c r="AK302" s="9">
        <v>57</v>
      </c>
      <c r="AL302" s="9">
        <v>5</v>
      </c>
      <c r="AM302" s="9">
        <v>11</v>
      </c>
      <c r="AN302" s="9">
        <v>11</v>
      </c>
      <c r="AO302" s="9">
        <v>5</v>
      </c>
      <c r="AP302" s="9">
        <v>23</v>
      </c>
      <c r="AQ302" s="9">
        <v>23</v>
      </c>
      <c r="AR302" s="9">
        <v>63</v>
      </c>
      <c r="AS302" s="9">
        <v>11</v>
      </c>
      <c r="AT302" s="9">
        <v>40</v>
      </c>
      <c r="AU302" s="9">
        <v>11</v>
      </c>
      <c r="AV302" s="9">
        <v>0</v>
      </c>
      <c r="AW302" s="9">
        <v>40</v>
      </c>
      <c r="AX302" s="9">
        <v>11</v>
      </c>
      <c r="AY302" s="9">
        <v>17</v>
      </c>
      <c r="AZ302" s="9">
        <v>0</v>
      </c>
      <c r="BA302" s="10">
        <v>82.4</v>
      </c>
      <c r="BB302" s="11">
        <v>33815.379999999997</v>
      </c>
      <c r="BC302" s="11">
        <v>12929.41</v>
      </c>
      <c r="BD302" s="11">
        <v>12929.41</v>
      </c>
      <c r="BE302" s="11">
        <v>20885.97</v>
      </c>
      <c r="BF302" s="11">
        <v>18896.830000000002</v>
      </c>
      <c r="BG302" s="11">
        <v>15000</v>
      </c>
      <c r="BH302" s="11">
        <v>8750</v>
      </c>
      <c r="BI302" s="11">
        <v>6132</v>
      </c>
      <c r="BJ302" s="11">
        <v>10728</v>
      </c>
      <c r="BK302" s="11">
        <v>64151</v>
      </c>
      <c r="BL302" s="11">
        <v>49709</v>
      </c>
      <c r="BM302" s="11">
        <v>39758</v>
      </c>
      <c r="BN302" s="11">
        <v>24250</v>
      </c>
      <c r="BO302" s="9">
        <v>195000</v>
      </c>
      <c r="BP302" s="9">
        <v>2983</v>
      </c>
    </row>
    <row r="303" spans="1:68" x14ac:dyDescent="0.3">
      <c r="A303" s="7">
        <v>45593</v>
      </c>
      <c r="B303" s="7" t="str">
        <f t="shared" si="4"/>
        <v>OCTOBER</v>
      </c>
      <c r="C303" s="8">
        <f>MONTH(Data!$A303)</f>
        <v>10</v>
      </c>
      <c r="D303" s="9">
        <v>991</v>
      </c>
      <c r="E303" s="9">
        <v>579</v>
      </c>
      <c r="F303" s="9">
        <v>465</v>
      </c>
      <c r="G303" s="9">
        <v>398</v>
      </c>
      <c r="H303" s="9">
        <v>128</v>
      </c>
      <c r="I303" s="9">
        <v>173</v>
      </c>
      <c r="J303" s="9">
        <v>331</v>
      </c>
      <c r="K303" s="9">
        <v>75</v>
      </c>
      <c r="L303" s="9">
        <v>307</v>
      </c>
      <c r="M303" s="9">
        <v>86</v>
      </c>
      <c r="N303" s="9">
        <v>86</v>
      </c>
      <c r="O303" s="9">
        <v>49</v>
      </c>
      <c r="P303" s="9">
        <v>61</v>
      </c>
      <c r="Q303" s="9">
        <v>195</v>
      </c>
      <c r="R303" s="9">
        <v>33</v>
      </c>
      <c r="S303" s="9">
        <v>26</v>
      </c>
      <c r="T303" s="9">
        <v>18</v>
      </c>
      <c r="U303" s="9">
        <v>130</v>
      </c>
      <c r="V303" s="9">
        <v>75</v>
      </c>
      <c r="W303" s="9">
        <v>0</v>
      </c>
      <c r="X303" s="9">
        <v>23</v>
      </c>
      <c r="Y303" s="9">
        <v>0</v>
      </c>
      <c r="Z303" s="9">
        <v>31</v>
      </c>
      <c r="AA303" s="9">
        <v>40</v>
      </c>
      <c r="AB303" s="9">
        <v>17</v>
      </c>
      <c r="AC303" s="9">
        <v>11</v>
      </c>
      <c r="AD303" s="9">
        <v>28</v>
      </c>
      <c r="AE303" s="9">
        <v>11</v>
      </c>
      <c r="AF303" s="9">
        <v>5</v>
      </c>
      <c r="AG303" s="9">
        <v>17</v>
      </c>
      <c r="AH303" s="9">
        <v>11</v>
      </c>
      <c r="AI303" s="9">
        <v>11</v>
      </c>
      <c r="AJ303" s="9">
        <v>17</v>
      </c>
      <c r="AK303" s="9">
        <v>57</v>
      </c>
      <c r="AL303" s="9">
        <v>34</v>
      </c>
      <c r="AM303" s="9">
        <v>17</v>
      </c>
      <c r="AN303" s="9">
        <v>11</v>
      </c>
      <c r="AO303" s="9">
        <v>0</v>
      </c>
      <c r="AP303" s="9">
        <v>0</v>
      </c>
      <c r="AQ303" s="9">
        <v>5</v>
      </c>
      <c r="AR303" s="9">
        <v>52</v>
      </c>
      <c r="AS303" s="9">
        <v>11</v>
      </c>
      <c r="AT303" s="9">
        <v>34</v>
      </c>
      <c r="AU303" s="9">
        <v>11</v>
      </c>
      <c r="AV303" s="9">
        <v>0</v>
      </c>
      <c r="AW303" s="9">
        <v>34</v>
      </c>
      <c r="AX303" s="9">
        <v>11</v>
      </c>
      <c r="AY303" s="9">
        <v>5</v>
      </c>
      <c r="AZ303" s="9">
        <v>0</v>
      </c>
      <c r="BA303" s="10">
        <v>85.99199999999999</v>
      </c>
      <c r="BB303" s="11">
        <v>35017.699999999997</v>
      </c>
      <c r="BC303" s="11">
        <v>21628.58</v>
      </c>
      <c r="BD303" s="11">
        <v>11329.26</v>
      </c>
      <c r="BE303" s="11">
        <v>19568.72</v>
      </c>
      <c r="BF303" s="11">
        <v>15448.99</v>
      </c>
      <c r="BG303" s="11">
        <v>15000</v>
      </c>
      <c r="BH303" s="11">
        <v>8750</v>
      </c>
      <c r="BI303" s="11">
        <v>6132</v>
      </c>
      <c r="BJ303" s="11">
        <v>10728</v>
      </c>
      <c r="BK303" s="11">
        <v>64151</v>
      </c>
      <c r="BL303" s="11">
        <v>49709</v>
      </c>
      <c r="BM303" s="11">
        <v>39758</v>
      </c>
      <c r="BN303" s="11">
        <v>24250</v>
      </c>
      <c r="BO303" s="9">
        <v>195000</v>
      </c>
      <c r="BP303" s="9">
        <v>865</v>
      </c>
    </row>
    <row r="304" spans="1:68" x14ac:dyDescent="0.3">
      <c r="A304" s="7">
        <v>45594</v>
      </c>
      <c r="B304" s="7" t="str">
        <f t="shared" si="4"/>
        <v>OCTOBER</v>
      </c>
      <c r="C304" s="8">
        <f>MONTH(Data!$A304)</f>
        <v>10</v>
      </c>
      <c r="D304" s="9">
        <v>991</v>
      </c>
      <c r="E304" s="9">
        <v>586</v>
      </c>
      <c r="F304" s="9">
        <v>277</v>
      </c>
      <c r="G304" s="9">
        <v>526</v>
      </c>
      <c r="H304" s="9">
        <v>188</v>
      </c>
      <c r="I304" s="9">
        <v>169</v>
      </c>
      <c r="J304" s="9">
        <v>306</v>
      </c>
      <c r="K304" s="9">
        <v>111</v>
      </c>
      <c r="L304" s="9">
        <v>313</v>
      </c>
      <c r="M304" s="9">
        <v>122</v>
      </c>
      <c r="N304" s="9">
        <v>61</v>
      </c>
      <c r="O304" s="9">
        <v>61</v>
      </c>
      <c r="P304" s="9">
        <v>49</v>
      </c>
      <c r="Q304" s="9">
        <v>158</v>
      </c>
      <c r="R304" s="9">
        <v>124</v>
      </c>
      <c r="S304" s="9">
        <v>52</v>
      </c>
      <c r="T304" s="9">
        <v>33</v>
      </c>
      <c r="U304" s="9">
        <v>18</v>
      </c>
      <c r="V304" s="9">
        <v>76</v>
      </c>
      <c r="W304" s="9">
        <v>5</v>
      </c>
      <c r="X304" s="9">
        <v>17</v>
      </c>
      <c r="Y304" s="9">
        <v>0</v>
      </c>
      <c r="Z304" s="9">
        <v>58</v>
      </c>
      <c r="AA304" s="9">
        <v>41</v>
      </c>
      <c r="AB304" s="9">
        <v>11</v>
      </c>
      <c r="AC304" s="9">
        <v>5</v>
      </c>
      <c r="AD304" s="9">
        <v>23</v>
      </c>
      <c r="AE304" s="9">
        <v>5</v>
      </c>
      <c r="AF304" s="9">
        <v>0</v>
      </c>
      <c r="AG304" s="9">
        <v>23</v>
      </c>
      <c r="AH304" s="9">
        <v>11</v>
      </c>
      <c r="AI304" s="9">
        <v>5</v>
      </c>
      <c r="AJ304" s="9">
        <v>17</v>
      </c>
      <c r="AK304" s="9">
        <v>58</v>
      </c>
      <c r="AL304" s="9">
        <v>17</v>
      </c>
      <c r="AM304" s="9">
        <v>5</v>
      </c>
      <c r="AN304" s="9">
        <v>5</v>
      </c>
      <c r="AO304" s="9">
        <v>0</v>
      </c>
      <c r="AP304" s="9">
        <v>17</v>
      </c>
      <c r="AQ304" s="9">
        <v>17</v>
      </c>
      <c r="AR304" s="9">
        <v>46</v>
      </c>
      <c r="AS304" s="9">
        <v>17</v>
      </c>
      <c r="AT304" s="9">
        <v>17</v>
      </c>
      <c r="AU304" s="9">
        <v>23</v>
      </c>
      <c r="AV304" s="9">
        <v>5</v>
      </c>
      <c r="AW304" s="9">
        <v>5</v>
      </c>
      <c r="AX304" s="9">
        <v>0</v>
      </c>
      <c r="AY304" s="9">
        <v>17</v>
      </c>
      <c r="AZ304" s="9">
        <v>40</v>
      </c>
      <c r="BA304" s="10">
        <v>88.056000000000012</v>
      </c>
      <c r="BB304" s="11">
        <v>30097.41</v>
      </c>
      <c r="BC304" s="11">
        <v>24722.880000000001</v>
      </c>
      <c r="BD304" s="11">
        <v>12898.89</v>
      </c>
      <c r="BE304" s="11">
        <v>21498.15</v>
      </c>
      <c r="BF304" s="11">
        <v>18273.43</v>
      </c>
      <c r="BG304" s="11">
        <v>15000</v>
      </c>
      <c r="BH304" s="11">
        <v>8750</v>
      </c>
      <c r="BI304" s="11">
        <v>6132</v>
      </c>
      <c r="BJ304" s="11">
        <v>10728</v>
      </c>
      <c r="BK304" s="11">
        <v>64151</v>
      </c>
      <c r="BL304" s="11">
        <v>49709</v>
      </c>
      <c r="BM304" s="11">
        <v>39758</v>
      </c>
      <c r="BN304" s="11">
        <v>24250</v>
      </c>
      <c r="BO304" s="9">
        <v>195000</v>
      </c>
      <c r="BP304" s="9">
        <v>8348</v>
      </c>
    </row>
    <row r="305" spans="1:68" x14ac:dyDescent="0.3">
      <c r="A305" s="7">
        <v>45595</v>
      </c>
      <c r="B305" s="7" t="str">
        <f t="shared" si="4"/>
        <v>OCTOBER</v>
      </c>
      <c r="C305" s="8">
        <f>MONTH(Data!$A305)</f>
        <v>10</v>
      </c>
      <c r="D305" s="9">
        <v>993</v>
      </c>
      <c r="E305" s="9">
        <v>597</v>
      </c>
      <c r="F305" s="9">
        <v>327</v>
      </c>
      <c r="G305" s="9">
        <v>478</v>
      </c>
      <c r="H305" s="9">
        <v>188</v>
      </c>
      <c r="I305" s="9">
        <v>286</v>
      </c>
      <c r="J305" s="9">
        <v>186</v>
      </c>
      <c r="K305" s="9">
        <v>125</v>
      </c>
      <c r="L305" s="9">
        <v>295</v>
      </c>
      <c r="M305" s="9">
        <v>197</v>
      </c>
      <c r="N305" s="9">
        <v>73</v>
      </c>
      <c r="O305" s="9">
        <v>80</v>
      </c>
      <c r="P305" s="9">
        <v>12</v>
      </c>
      <c r="Q305" s="9">
        <v>154</v>
      </c>
      <c r="R305" s="9">
        <v>67</v>
      </c>
      <c r="S305" s="9">
        <v>56</v>
      </c>
      <c r="T305" s="9">
        <v>30</v>
      </c>
      <c r="U305" s="9">
        <v>29</v>
      </c>
      <c r="V305" s="9">
        <v>23</v>
      </c>
      <c r="W305" s="9">
        <v>17</v>
      </c>
      <c r="X305" s="9">
        <v>29</v>
      </c>
      <c r="Y305" s="9">
        <v>11</v>
      </c>
      <c r="Z305" s="9">
        <v>35</v>
      </c>
      <c r="AA305" s="9">
        <v>53</v>
      </c>
      <c r="AB305" s="9">
        <v>0</v>
      </c>
      <c r="AC305" s="9">
        <v>17</v>
      </c>
      <c r="AD305" s="9">
        <v>29</v>
      </c>
      <c r="AE305" s="9">
        <v>5</v>
      </c>
      <c r="AF305" s="9">
        <v>5</v>
      </c>
      <c r="AG305" s="9">
        <v>11</v>
      </c>
      <c r="AH305" s="9">
        <v>0</v>
      </c>
      <c r="AI305" s="9">
        <v>0</v>
      </c>
      <c r="AJ305" s="9">
        <v>5</v>
      </c>
      <c r="AK305" s="9">
        <v>59</v>
      </c>
      <c r="AL305" s="9">
        <v>35</v>
      </c>
      <c r="AM305" s="9">
        <v>23</v>
      </c>
      <c r="AN305" s="9">
        <v>17</v>
      </c>
      <c r="AO305" s="9">
        <v>5</v>
      </c>
      <c r="AP305" s="9">
        <v>5</v>
      </c>
      <c r="AQ305" s="9">
        <v>23</v>
      </c>
      <c r="AR305" s="9">
        <v>65</v>
      </c>
      <c r="AS305" s="9">
        <v>17</v>
      </c>
      <c r="AT305" s="9">
        <v>29</v>
      </c>
      <c r="AU305" s="9">
        <v>5</v>
      </c>
      <c r="AV305" s="9">
        <v>0</v>
      </c>
      <c r="AW305" s="9">
        <v>29</v>
      </c>
      <c r="AX305" s="9">
        <v>0</v>
      </c>
      <c r="AY305" s="9">
        <v>17</v>
      </c>
      <c r="AZ305" s="9">
        <v>28</v>
      </c>
      <c r="BA305" s="10">
        <v>88</v>
      </c>
      <c r="BB305" s="11">
        <v>27515.8</v>
      </c>
      <c r="BC305" s="11">
        <v>16509.48</v>
      </c>
      <c r="BD305" s="11">
        <v>15408.85</v>
      </c>
      <c r="BE305" s="11">
        <v>27515.8</v>
      </c>
      <c r="BF305" s="11">
        <v>23113.27</v>
      </c>
      <c r="BG305" s="11">
        <v>15000</v>
      </c>
      <c r="BH305" s="11">
        <v>8750</v>
      </c>
      <c r="BI305" s="11">
        <v>6132</v>
      </c>
      <c r="BJ305" s="11">
        <v>10728</v>
      </c>
      <c r="BK305" s="11">
        <v>64151</v>
      </c>
      <c r="BL305" s="11">
        <v>49709</v>
      </c>
      <c r="BM305" s="11">
        <v>39758</v>
      </c>
      <c r="BN305" s="11">
        <v>24250</v>
      </c>
      <c r="BO305" s="9">
        <v>195000</v>
      </c>
      <c r="BP305" s="9">
        <v>2622</v>
      </c>
    </row>
    <row r="306" spans="1:68" x14ac:dyDescent="0.3">
      <c r="A306" s="7">
        <v>45596</v>
      </c>
      <c r="B306" s="7" t="str">
        <f t="shared" si="4"/>
        <v>OCTOBER</v>
      </c>
      <c r="C306" s="8">
        <f>MONTH(Data!$A306)</f>
        <v>10</v>
      </c>
      <c r="D306" s="9">
        <v>1004</v>
      </c>
      <c r="E306" s="9">
        <v>614</v>
      </c>
      <c r="F306" s="9">
        <v>502</v>
      </c>
      <c r="G306" s="9">
        <v>292</v>
      </c>
      <c r="H306" s="9">
        <v>210</v>
      </c>
      <c r="I306" s="9">
        <v>239</v>
      </c>
      <c r="J306" s="9">
        <v>296</v>
      </c>
      <c r="K306" s="9">
        <v>79</v>
      </c>
      <c r="L306" s="9">
        <v>248</v>
      </c>
      <c r="M306" s="9">
        <v>37</v>
      </c>
      <c r="N306" s="9">
        <v>68</v>
      </c>
      <c r="O306" s="9">
        <v>31</v>
      </c>
      <c r="P306" s="9">
        <v>24</v>
      </c>
      <c r="Q306" s="9">
        <v>186</v>
      </c>
      <c r="R306" s="9">
        <v>125</v>
      </c>
      <c r="S306" s="9">
        <v>34</v>
      </c>
      <c r="T306" s="9">
        <v>49</v>
      </c>
      <c r="U306" s="9">
        <v>202</v>
      </c>
      <c r="V306" s="9">
        <v>67</v>
      </c>
      <c r="W306" s="9">
        <v>0</v>
      </c>
      <c r="X306" s="9">
        <v>30</v>
      </c>
      <c r="Y306" s="9">
        <v>18</v>
      </c>
      <c r="Z306" s="9">
        <v>41</v>
      </c>
      <c r="AA306" s="9">
        <v>42</v>
      </c>
      <c r="AB306" s="9">
        <v>0</v>
      </c>
      <c r="AC306" s="9">
        <v>12</v>
      </c>
      <c r="AD306" s="9">
        <v>24</v>
      </c>
      <c r="AE306" s="9">
        <v>18</v>
      </c>
      <c r="AF306" s="9">
        <v>6</v>
      </c>
      <c r="AG306" s="9">
        <v>30</v>
      </c>
      <c r="AH306" s="9">
        <v>0</v>
      </c>
      <c r="AI306" s="9">
        <v>12</v>
      </c>
      <c r="AJ306" s="9">
        <v>18</v>
      </c>
      <c r="AK306" s="9">
        <v>42</v>
      </c>
      <c r="AL306" s="9">
        <v>42</v>
      </c>
      <c r="AM306" s="9">
        <v>24</v>
      </c>
      <c r="AN306" s="9">
        <v>18</v>
      </c>
      <c r="AO306" s="9">
        <v>0</v>
      </c>
      <c r="AP306" s="9">
        <v>0</v>
      </c>
      <c r="AQ306" s="9">
        <v>6</v>
      </c>
      <c r="AR306" s="9">
        <v>61</v>
      </c>
      <c r="AS306" s="9">
        <v>18</v>
      </c>
      <c r="AT306" s="9">
        <v>49</v>
      </c>
      <c r="AU306" s="9">
        <v>6</v>
      </c>
      <c r="AV306" s="9">
        <v>0</v>
      </c>
      <c r="AW306" s="9">
        <v>24</v>
      </c>
      <c r="AX306" s="9">
        <v>0</v>
      </c>
      <c r="AY306" s="9">
        <v>6</v>
      </c>
      <c r="AZ306" s="9">
        <v>0</v>
      </c>
      <c r="BA306" s="10">
        <v>88</v>
      </c>
      <c r="BB306" s="11">
        <v>29700</v>
      </c>
      <c r="BC306" s="11">
        <v>16500</v>
      </c>
      <c r="BD306" s="11">
        <v>16500</v>
      </c>
      <c r="BE306" s="11">
        <v>16500</v>
      </c>
      <c r="BF306" s="11">
        <v>30800</v>
      </c>
      <c r="BG306" s="11">
        <v>15000</v>
      </c>
      <c r="BH306" s="11">
        <v>8750</v>
      </c>
      <c r="BI306" s="11">
        <v>6132</v>
      </c>
      <c r="BJ306" s="11">
        <v>10728</v>
      </c>
      <c r="BK306" s="11">
        <v>64151</v>
      </c>
      <c r="BL306" s="11">
        <v>49709</v>
      </c>
      <c r="BM306" s="11">
        <v>39758</v>
      </c>
      <c r="BN306" s="11">
        <v>24250</v>
      </c>
      <c r="BO306" s="9">
        <v>195000</v>
      </c>
      <c r="BP306" s="9">
        <v>2525</v>
      </c>
    </row>
    <row r="307" spans="1:68" x14ac:dyDescent="0.3">
      <c r="A307" s="7">
        <v>45597</v>
      </c>
      <c r="B307" s="7" t="str">
        <f t="shared" si="4"/>
        <v>NOVEMBER</v>
      </c>
      <c r="C307" s="8">
        <f>MONTH(Data!$A307)</f>
        <v>11</v>
      </c>
      <c r="D307" s="9">
        <v>1026</v>
      </c>
      <c r="E307" s="9">
        <v>733</v>
      </c>
      <c r="F307" s="9">
        <v>328</v>
      </c>
      <c r="G307" s="9">
        <v>555</v>
      </c>
      <c r="H307" s="9">
        <v>143</v>
      </c>
      <c r="I307" s="9">
        <v>381</v>
      </c>
      <c r="J307" s="9">
        <v>169</v>
      </c>
      <c r="K307" s="9">
        <v>183</v>
      </c>
      <c r="L307" s="9">
        <v>229</v>
      </c>
      <c r="M307" s="9">
        <v>82</v>
      </c>
      <c r="N307" s="9">
        <v>57</v>
      </c>
      <c r="O307" s="9">
        <v>44</v>
      </c>
      <c r="P307" s="9">
        <v>38</v>
      </c>
      <c r="Q307" s="9">
        <v>155</v>
      </c>
      <c r="R307" s="9">
        <v>35</v>
      </c>
      <c r="S307" s="9">
        <v>38</v>
      </c>
      <c r="T307" s="9">
        <v>42</v>
      </c>
      <c r="U307" s="9">
        <v>306</v>
      </c>
      <c r="V307" s="9">
        <v>51</v>
      </c>
      <c r="W307" s="9">
        <v>0</v>
      </c>
      <c r="X307" s="9">
        <v>43</v>
      </c>
      <c r="Y307" s="9">
        <v>21</v>
      </c>
      <c r="Z307" s="9">
        <v>80</v>
      </c>
      <c r="AA307" s="9">
        <v>65</v>
      </c>
      <c r="AB307" s="9">
        <v>0</v>
      </c>
      <c r="AC307" s="9">
        <v>7</v>
      </c>
      <c r="AD307" s="9">
        <v>43</v>
      </c>
      <c r="AE307" s="9">
        <v>0</v>
      </c>
      <c r="AF307" s="9">
        <v>0</v>
      </c>
      <c r="AG307" s="9">
        <v>14</v>
      </c>
      <c r="AH307" s="9">
        <v>21</v>
      </c>
      <c r="AI307" s="9">
        <v>14</v>
      </c>
      <c r="AJ307" s="9">
        <v>0</v>
      </c>
      <c r="AK307" s="9">
        <v>36</v>
      </c>
      <c r="AL307" s="9">
        <v>51</v>
      </c>
      <c r="AM307" s="9">
        <v>21</v>
      </c>
      <c r="AN307" s="9">
        <v>7</v>
      </c>
      <c r="AO307" s="9">
        <v>7</v>
      </c>
      <c r="AP307" s="9">
        <v>7</v>
      </c>
      <c r="AQ307" s="9">
        <v>21</v>
      </c>
      <c r="AR307" s="9">
        <v>80</v>
      </c>
      <c r="AS307" s="9">
        <v>21</v>
      </c>
      <c r="AT307" s="9">
        <v>29</v>
      </c>
      <c r="AU307" s="9">
        <v>7</v>
      </c>
      <c r="AV307" s="9">
        <v>7</v>
      </c>
      <c r="AW307" s="9">
        <v>21</v>
      </c>
      <c r="AX307" s="9">
        <v>7</v>
      </c>
      <c r="AY307" s="9">
        <v>21</v>
      </c>
      <c r="AZ307" s="9">
        <v>31</v>
      </c>
      <c r="BA307" s="10">
        <v>112.94</v>
      </c>
      <c r="BB307" s="11">
        <v>29700</v>
      </c>
      <c r="BC307" s="11">
        <v>16500</v>
      </c>
      <c r="BD307" s="11">
        <v>16500</v>
      </c>
      <c r="BE307" s="11">
        <v>16500</v>
      </c>
      <c r="BF307" s="11">
        <v>30800</v>
      </c>
      <c r="BG307" s="11">
        <v>15000</v>
      </c>
      <c r="BH307" s="11">
        <v>7500</v>
      </c>
      <c r="BI307" s="11">
        <v>6132</v>
      </c>
      <c r="BJ307" s="11">
        <v>10728</v>
      </c>
      <c r="BK307" s="11">
        <v>70082</v>
      </c>
      <c r="BL307" s="11">
        <v>53709</v>
      </c>
      <c r="BM307" s="11">
        <v>45010</v>
      </c>
      <c r="BN307" s="11">
        <v>28681</v>
      </c>
      <c r="BO307" s="9">
        <v>204000</v>
      </c>
      <c r="BP307" s="9">
        <v>8735</v>
      </c>
    </row>
    <row r="308" spans="1:68" x14ac:dyDescent="0.3">
      <c r="A308" s="7">
        <v>45598</v>
      </c>
      <c r="B308" s="7" t="str">
        <f t="shared" si="4"/>
        <v>NOVEMBER</v>
      </c>
      <c r="C308" s="8">
        <f>MONTH(Data!$A308)</f>
        <v>11</v>
      </c>
      <c r="D308" s="9">
        <v>1051</v>
      </c>
      <c r="E308" s="9">
        <v>759</v>
      </c>
      <c r="F308" s="9">
        <v>420</v>
      </c>
      <c r="G308" s="9">
        <v>421</v>
      </c>
      <c r="H308" s="9">
        <v>210</v>
      </c>
      <c r="I308" s="9">
        <v>394</v>
      </c>
      <c r="J308" s="9">
        <v>267</v>
      </c>
      <c r="K308" s="9">
        <v>98</v>
      </c>
      <c r="L308" s="9">
        <v>293</v>
      </c>
      <c r="M308" s="9">
        <v>52</v>
      </c>
      <c r="N308" s="9">
        <v>91</v>
      </c>
      <c r="O308" s="9">
        <v>65</v>
      </c>
      <c r="P308" s="9">
        <v>13</v>
      </c>
      <c r="Q308" s="9">
        <v>167</v>
      </c>
      <c r="R308" s="9">
        <v>103</v>
      </c>
      <c r="S308" s="9">
        <v>47</v>
      </c>
      <c r="T308" s="9">
        <v>27</v>
      </c>
      <c r="U308" s="9">
        <v>193</v>
      </c>
      <c r="V308" s="9">
        <v>30</v>
      </c>
      <c r="W308" s="9">
        <v>22</v>
      </c>
      <c r="X308" s="9">
        <v>22</v>
      </c>
      <c r="Y308" s="9">
        <v>7</v>
      </c>
      <c r="Z308" s="9">
        <v>60</v>
      </c>
      <c r="AA308" s="9">
        <v>60</v>
      </c>
      <c r="AB308" s="9">
        <v>0</v>
      </c>
      <c r="AC308" s="9">
        <v>7</v>
      </c>
      <c r="AD308" s="9">
        <v>22</v>
      </c>
      <c r="AE308" s="9">
        <v>15</v>
      </c>
      <c r="AF308" s="9">
        <v>7</v>
      </c>
      <c r="AG308" s="9">
        <v>22</v>
      </c>
      <c r="AH308" s="9">
        <v>22</v>
      </c>
      <c r="AI308" s="9">
        <v>7</v>
      </c>
      <c r="AJ308" s="9">
        <v>0</v>
      </c>
      <c r="AK308" s="9">
        <v>60</v>
      </c>
      <c r="AL308" s="9">
        <v>53</v>
      </c>
      <c r="AM308" s="9">
        <v>15</v>
      </c>
      <c r="AN308" s="9">
        <v>0</v>
      </c>
      <c r="AO308" s="9">
        <v>0</v>
      </c>
      <c r="AP308" s="9">
        <v>22</v>
      </c>
      <c r="AQ308" s="9">
        <v>30</v>
      </c>
      <c r="AR308" s="9">
        <v>83</v>
      </c>
      <c r="AS308" s="9">
        <v>22</v>
      </c>
      <c r="AT308" s="9">
        <v>22</v>
      </c>
      <c r="AU308" s="9">
        <v>7</v>
      </c>
      <c r="AV308" s="9">
        <v>0</v>
      </c>
      <c r="AW308" s="9">
        <v>37</v>
      </c>
      <c r="AX308" s="9">
        <v>22</v>
      </c>
      <c r="AY308" s="9">
        <v>30</v>
      </c>
      <c r="AZ308" s="9">
        <v>53</v>
      </c>
      <c r="BA308" s="10">
        <v>116.94999999999999</v>
      </c>
      <c r="BB308" s="11">
        <v>39525.47</v>
      </c>
      <c r="BC308" s="11">
        <v>20327.38</v>
      </c>
      <c r="BD308" s="11">
        <v>18068.79</v>
      </c>
      <c r="BE308" s="11">
        <v>21456.68</v>
      </c>
      <c r="BF308" s="11">
        <v>13551.59</v>
      </c>
      <c r="BG308" s="11">
        <v>15000</v>
      </c>
      <c r="BH308" s="11">
        <v>7500</v>
      </c>
      <c r="BI308" s="11">
        <v>6132</v>
      </c>
      <c r="BJ308" s="11">
        <v>10728</v>
      </c>
      <c r="BK308" s="11">
        <v>70082</v>
      </c>
      <c r="BL308" s="11">
        <v>53709</v>
      </c>
      <c r="BM308" s="11">
        <v>45010</v>
      </c>
      <c r="BN308" s="11">
        <v>28681</v>
      </c>
      <c r="BO308" s="9">
        <v>204000</v>
      </c>
      <c r="BP308" s="9">
        <v>6837</v>
      </c>
    </row>
    <row r="309" spans="1:68" x14ac:dyDescent="0.3">
      <c r="A309" s="7">
        <v>45599</v>
      </c>
      <c r="B309" s="7" t="str">
        <f t="shared" si="4"/>
        <v>NOVEMBER</v>
      </c>
      <c r="C309" s="8">
        <f>MONTH(Data!$A309)</f>
        <v>11</v>
      </c>
      <c r="D309" s="9">
        <v>1077</v>
      </c>
      <c r="E309" s="9">
        <v>786</v>
      </c>
      <c r="F309" s="9">
        <v>269</v>
      </c>
      <c r="G309" s="9">
        <v>733</v>
      </c>
      <c r="H309" s="9">
        <v>75</v>
      </c>
      <c r="I309" s="9">
        <v>275</v>
      </c>
      <c r="J309" s="9">
        <v>441</v>
      </c>
      <c r="K309" s="9">
        <v>70</v>
      </c>
      <c r="L309" s="9">
        <v>247</v>
      </c>
      <c r="M309" s="9">
        <v>193</v>
      </c>
      <c r="N309" s="9">
        <v>60</v>
      </c>
      <c r="O309" s="9">
        <v>66</v>
      </c>
      <c r="P309" s="9">
        <v>26</v>
      </c>
      <c r="Q309" s="9">
        <v>188</v>
      </c>
      <c r="R309" s="9">
        <v>57</v>
      </c>
      <c r="S309" s="9">
        <v>49</v>
      </c>
      <c r="T309" s="9">
        <v>28</v>
      </c>
      <c r="U309" s="9">
        <v>163</v>
      </c>
      <c r="V309" s="9">
        <v>31</v>
      </c>
      <c r="W309" s="9">
        <v>23</v>
      </c>
      <c r="X309" s="9">
        <v>47</v>
      </c>
      <c r="Y309" s="9">
        <v>0</v>
      </c>
      <c r="Z309" s="9">
        <v>78</v>
      </c>
      <c r="AA309" s="9">
        <v>55</v>
      </c>
      <c r="AB309" s="9">
        <v>15</v>
      </c>
      <c r="AC309" s="9">
        <v>7</v>
      </c>
      <c r="AD309" s="9">
        <v>23</v>
      </c>
      <c r="AE309" s="9">
        <v>23</v>
      </c>
      <c r="AF309" s="9">
        <v>0</v>
      </c>
      <c r="AG309" s="9">
        <v>31</v>
      </c>
      <c r="AH309" s="9">
        <v>0</v>
      </c>
      <c r="AI309" s="9">
        <v>0</v>
      </c>
      <c r="AJ309" s="9">
        <v>15</v>
      </c>
      <c r="AK309" s="9">
        <v>78</v>
      </c>
      <c r="AL309" s="9">
        <v>15</v>
      </c>
      <c r="AM309" s="9">
        <v>7</v>
      </c>
      <c r="AN309" s="9">
        <v>23</v>
      </c>
      <c r="AO309" s="9">
        <v>7</v>
      </c>
      <c r="AP309" s="9">
        <v>23</v>
      </c>
      <c r="AQ309" s="9">
        <v>23</v>
      </c>
      <c r="AR309" s="9">
        <v>78</v>
      </c>
      <c r="AS309" s="9">
        <v>23</v>
      </c>
      <c r="AT309" s="9">
        <v>31</v>
      </c>
      <c r="AU309" s="9">
        <v>15</v>
      </c>
      <c r="AV309" s="9">
        <v>7</v>
      </c>
      <c r="AW309" s="9">
        <v>47</v>
      </c>
      <c r="AX309" s="9">
        <v>23</v>
      </c>
      <c r="AY309" s="9">
        <v>7</v>
      </c>
      <c r="AZ309" s="9">
        <v>31</v>
      </c>
      <c r="BA309" s="10">
        <v>121.21</v>
      </c>
      <c r="BB309" s="11">
        <v>39763.910000000003</v>
      </c>
      <c r="BC309" s="11">
        <v>15203.85</v>
      </c>
      <c r="BD309" s="11">
        <v>21051.48</v>
      </c>
      <c r="BE309" s="11">
        <v>10525.74</v>
      </c>
      <c r="BF309" s="11">
        <v>30407.69</v>
      </c>
      <c r="BG309" s="11">
        <v>15000</v>
      </c>
      <c r="BH309" s="11">
        <v>7500</v>
      </c>
      <c r="BI309" s="11">
        <v>7121</v>
      </c>
      <c r="BJ309" s="11">
        <v>11073</v>
      </c>
      <c r="BK309" s="11">
        <v>70082</v>
      </c>
      <c r="BL309" s="11">
        <v>53709</v>
      </c>
      <c r="BM309" s="11">
        <v>45010</v>
      </c>
      <c r="BN309" s="11">
        <v>28681</v>
      </c>
      <c r="BO309" s="9">
        <v>204000</v>
      </c>
      <c r="BP309" s="9">
        <v>106</v>
      </c>
    </row>
    <row r="310" spans="1:68" x14ac:dyDescent="0.3">
      <c r="A310" s="7">
        <v>45600</v>
      </c>
      <c r="B310" s="7" t="str">
        <f t="shared" si="4"/>
        <v>NOVEMBER</v>
      </c>
      <c r="C310" s="8">
        <f>MONTH(Data!$A310)</f>
        <v>11</v>
      </c>
      <c r="D310" s="9">
        <v>1097</v>
      </c>
      <c r="E310" s="9">
        <v>821</v>
      </c>
      <c r="F310" s="9">
        <v>416</v>
      </c>
      <c r="G310" s="9">
        <v>550</v>
      </c>
      <c r="H310" s="9">
        <v>131</v>
      </c>
      <c r="I310" s="9">
        <v>311</v>
      </c>
      <c r="J310" s="9">
        <v>330</v>
      </c>
      <c r="K310" s="9">
        <v>180</v>
      </c>
      <c r="L310" s="9">
        <v>340</v>
      </c>
      <c r="M310" s="9">
        <v>40</v>
      </c>
      <c r="N310" s="9">
        <v>102</v>
      </c>
      <c r="O310" s="9">
        <v>68</v>
      </c>
      <c r="P310" s="9">
        <v>27</v>
      </c>
      <c r="Q310" s="9">
        <v>204</v>
      </c>
      <c r="R310" s="9">
        <v>20</v>
      </c>
      <c r="S310" s="9">
        <v>33</v>
      </c>
      <c r="T310" s="9">
        <v>41</v>
      </c>
      <c r="U310" s="9">
        <v>222</v>
      </c>
      <c r="V310" s="9">
        <v>106</v>
      </c>
      <c r="W310" s="9">
        <v>24</v>
      </c>
      <c r="X310" s="9">
        <v>41</v>
      </c>
      <c r="Y310" s="9">
        <v>16</v>
      </c>
      <c r="Z310" s="9">
        <v>90</v>
      </c>
      <c r="AA310" s="9">
        <v>57</v>
      </c>
      <c r="AB310" s="9">
        <v>8</v>
      </c>
      <c r="AC310" s="9">
        <v>16</v>
      </c>
      <c r="AD310" s="9">
        <v>32</v>
      </c>
      <c r="AE310" s="9">
        <v>8</v>
      </c>
      <c r="AF310" s="9">
        <v>0</v>
      </c>
      <c r="AG310" s="9">
        <v>41</v>
      </c>
      <c r="AH310" s="9">
        <v>8</v>
      </c>
      <c r="AI310" s="9">
        <v>0</v>
      </c>
      <c r="AJ310" s="9">
        <v>24</v>
      </c>
      <c r="AK310" s="9">
        <v>41</v>
      </c>
      <c r="AL310" s="9">
        <v>49</v>
      </c>
      <c r="AM310" s="9">
        <v>41</v>
      </c>
      <c r="AN310" s="9">
        <v>0</v>
      </c>
      <c r="AO310" s="9">
        <v>8</v>
      </c>
      <c r="AP310" s="9">
        <v>16</v>
      </c>
      <c r="AQ310" s="9">
        <v>24</v>
      </c>
      <c r="AR310" s="9">
        <v>0</v>
      </c>
      <c r="AS310" s="9">
        <v>16</v>
      </c>
      <c r="AT310" s="9">
        <v>3</v>
      </c>
      <c r="AU310" s="9">
        <v>31</v>
      </c>
      <c r="AV310" s="9">
        <v>0</v>
      </c>
      <c r="AW310" s="9">
        <v>57</v>
      </c>
      <c r="AX310" s="9">
        <v>32</v>
      </c>
      <c r="AY310" s="9">
        <v>32</v>
      </c>
      <c r="AZ310" s="9">
        <v>0</v>
      </c>
      <c r="BA310" s="10">
        <v>124.28999999999999</v>
      </c>
      <c r="BB310" s="11">
        <v>31514.77</v>
      </c>
      <c r="BC310" s="11">
        <v>21817.919999999998</v>
      </c>
      <c r="BD310" s="11">
        <v>14545.28</v>
      </c>
      <c r="BE310" s="11">
        <v>13333.17</v>
      </c>
      <c r="BF310" s="11">
        <v>39999.519999999997</v>
      </c>
      <c r="BG310" s="11">
        <v>15000</v>
      </c>
      <c r="BH310" s="11">
        <v>7500</v>
      </c>
      <c r="BI310" s="11">
        <v>7121</v>
      </c>
      <c r="BJ310" s="11">
        <v>11073</v>
      </c>
      <c r="BK310" s="11">
        <v>70082</v>
      </c>
      <c r="BL310" s="11">
        <v>53709</v>
      </c>
      <c r="BM310" s="11">
        <v>45010</v>
      </c>
      <c r="BN310" s="11">
        <v>28681</v>
      </c>
      <c r="BO310" s="9">
        <v>204000</v>
      </c>
      <c r="BP310" s="9">
        <v>364</v>
      </c>
    </row>
    <row r="311" spans="1:68" x14ac:dyDescent="0.3">
      <c r="A311" s="7">
        <v>45601</v>
      </c>
      <c r="B311" s="7" t="str">
        <f t="shared" si="4"/>
        <v>NOVEMBER</v>
      </c>
      <c r="C311" s="8">
        <f>MONTH(Data!$A311)</f>
        <v>11</v>
      </c>
      <c r="D311" s="9">
        <v>1109</v>
      </c>
      <c r="E311" s="9">
        <v>856</v>
      </c>
      <c r="F311" s="9">
        <v>465</v>
      </c>
      <c r="G311" s="9">
        <v>456</v>
      </c>
      <c r="H311" s="9">
        <v>188</v>
      </c>
      <c r="I311" s="9">
        <v>188</v>
      </c>
      <c r="J311" s="9">
        <v>540</v>
      </c>
      <c r="K311" s="9">
        <v>128</v>
      </c>
      <c r="L311" s="9">
        <v>254</v>
      </c>
      <c r="M311" s="9">
        <v>103</v>
      </c>
      <c r="N311" s="9">
        <v>103</v>
      </c>
      <c r="O311" s="9">
        <v>48</v>
      </c>
      <c r="P311" s="9">
        <v>13</v>
      </c>
      <c r="Q311" s="9">
        <v>189</v>
      </c>
      <c r="R311" s="9">
        <v>75</v>
      </c>
      <c r="S311" s="9">
        <v>50</v>
      </c>
      <c r="T311" s="9">
        <v>33</v>
      </c>
      <c r="U311" s="9">
        <v>241</v>
      </c>
      <c r="V311" s="9">
        <v>85</v>
      </c>
      <c r="W311" s="9">
        <v>0</v>
      </c>
      <c r="X311" s="9">
        <v>51</v>
      </c>
      <c r="Y311" s="9">
        <v>8</v>
      </c>
      <c r="Z311" s="9">
        <v>59</v>
      </c>
      <c r="AA311" s="9">
        <v>42</v>
      </c>
      <c r="AB311" s="9">
        <v>8</v>
      </c>
      <c r="AC311" s="9">
        <v>8</v>
      </c>
      <c r="AD311" s="9">
        <v>17</v>
      </c>
      <c r="AE311" s="9">
        <v>25</v>
      </c>
      <c r="AF311" s="9">
        <v>0</v>
      </c>
      <c r="AG311" s="9">
        <v>25</v>
      </c>
      <c r="AH311" s="9">
        <v>0</v>
      </c>
      <c r="AI311" s="9">
        <v>25</v>
      </c>
      <c r="AJ311" s="9">
        <v>8</v>
      </c>
      <c r="AK311" s="9">
        <v>59</v>
      </c>
      <c r="AL311" s="9">
        <v>8</v>
      </c>
      <c r="AM311" s="9">
        <v>42</v>
      </c>
      <c r="AN311" s="9">
        <v>0</v>
      </c>
      <c r="AO311" s="9">
        <v>8</v>
      </c>
      <c r="AP311" s="9">
        <v>25</v>
      </c>
      <c r="AQ311" s="9">
        <v>34</v>
      </c>
      <c r="AR311" s="9">
        <v>68</v>
      </c>
      <c r="AS311" s="9">
        <v>25</v>
      </c>
      <c r="AT311" s="9">
        <v>77</v>
      </c>
      <c r="AU311" s="9">
        <v>25</v>
      </c>
      <c r="AV311" s="9">
        <v>8</v>
      </c>
      <c r="AW311" s="9">
        <v>51</v>
      </c>
      <c r="AX311" s="9">
        <v>0</v>
      </c>
      <c r="AY311" s="9">
        <v>0</v>
      </c>
      <c r="AZ311" s="9">
        <v>65</v>
      </c>
      <c r="BA311" s="10">
        <v>125.40999999999998</v>
      </c>
      <c r="BB311" s="11">
        <v>38526.550000000003</v>
      </c>
      <c r="BC311" s="11">
        <v>24855.84</v>
      </c>
      <c r="BD311" s="11">
        <v>26098.63</v>
      </c>
      <c r="BE311" s="11">
        <v>9942.34</v>
      </c>
      <c r="BF311" s="11">
        <v>24855.84</v>
      </c>
      <c r="BG311" s="11">
        <v>15000</v>
      </c>
      <c r="BH311" s="11">
        <v>7500</v>
      </c>
      <c r="BI311" s="11">
        <v>7121</v>
      </c>
      <c r="BJ311" s="11">
        <v>11073</v>
      </c>
      <c r="BK311" s="11">
        <v>70082</v>
      </c>
      <c r="BL311" s="11">
        <v>53709</v>
      </c>
      <c r="BM311" s="11">
        <v>45010</v>
      </c>
      <c r="BN311" s="11">
        <v>28681</v>
      </c>
      <c r="BO311" s="9">
        <v>204000</v>
      </c>
      <c r="BP311" s="9">
        <v>1424</v>
      </c>
    </row>
    <row r="312" spans="1:68" x14ac:dyDescent="0.3">
      <c r="A312" s="7">
        <v>45602</v>
      </c>
      <c r="B312" s="7" t="str">
        <f t="shared" si="4"/>
        <v>NOVEMBER</v>
      </c>
      <c r="C312" s="8">
        <f>MONTH(Data!$A312)</f>
        <v>11</v>
      </c>
      <c r="D312" s="9">
        <v>1112</v>
      </c>
      <c r="E312" s="9">
        <v>893</v>
      </c>
      <c r="F312" s="9">
        <v>422</v>
      </c>
      <c r="G312" s="9">
        <v>468</v>
      </c>
      <c r="H312" s="9">
        <v>222</v>
      </c>
      <c r="I312" s="9">
        <v>446</v>
      </c>
      <c r="J312" s="9">
        <v>376</v>
      </c>
      <c r="K312" s="9">
        <v>71</v>
      </c>
      <c r="L312" s="9">
        <v>358</v>
      </c>
      <c r="M312" s="9">
        <v>34</v>
      </c>
      <c r="N312" s="9">
        <v>48</v>
      </c>
      <c r="O312" s="9">
        <v>89</v>
      </c>
      <c r="P312" s="9">
        <v>68</v>
      </c>
      <c r="Q312" s="9">
        <v>160</v>
      </c>
      <c r="R312" s="9">
        <v>29</v>
      </c>
      <c r="S312" s="9">
        <v>42</v>
      </c>
      <c r="T312" s="9">
        <v>42</v>
      </c>
      <c r="U312" s="9">
        <v>242</v>
      </c>
      <c r="V312" s="9">
        <v>125</v>
      </c>
      <c r="W312" s="9">
        <v>0</v>
      </c>
      <c r="X312" s="9">
        <v>35</v>
      </c>
      <c r="Y312" s="9">
        <v>0</v>
      </c>
      <c r="Z312" s="9">
        <v>71</v>
      </c>
      <c r="AA312" s="9">
        <v>71</v>
      </c>
      <c r="AB312" s="9">
        <v>0</v>
      </c>
      <c r="AC312" s="9">
        <v>26</v>
      </c>
      <c r="AD312" s="9">
        <v>44</v>
      </c>
      <c r="AE312" s="9">
        <v>8</v>
      </c>
      <c r="AF312" s="9">
        <v>8</v>
      </c>
      <c r="AG312" s="9">
        <v>26</v>
      </c>
      <c r="AH312" s="9">
        <v>0</v>
      </c>
      <c r="AI312" s="9">
        <v>8</v>
      </c>
      <c r="AJ312" s="9">
        <v>17</v>
      </c>
      <c r="AK312" s="9">
        <v>71</v>
      </c>
      <c r="AL312" s="9">
        <v>44</v>
      </c>
      <c r="AM312" s="9">
        <v>8</v>
      </c>
      <c r="AN312" s="9">
        <v>8</v>
      </c>
      <c r="AO312" s="9">
        <v>8</v>
      </c>
      <c r="AP312" s="9">
        <v>8</v>
      </c>
      <c r="AQ312" s="9">
        <v>8</v>
      </c>
      <c r="AR312" s="9">
        <v>62</v>
      </c>
      <c r="AS312" s="9">
        <v>26</v>
      </c>
      <c r="AT312" s="9">
        <v>26</v>
      </c>
      <c r="AU312" s="9">
        <v>17</v>
      </c>
      <c r="AV312" s="9">
        <v>0</v>
      </c>
      <c r="AW312" s="9">
        <v>62</v>
      </c>
      <c r="AX312" s="9">
        <v>26</v>
      </c>
      <c r="AY312" s="9">
        <v>17</v>
      </c>
      <c r="AZ312" s="9">
        <v>63</v>
      </c>
      <c r="BA312" s="10">
        <v>125.21</v>
      </c>
      <c r="BB312" s="11">
        <v>31351.74</v>
      </c>
      <c r="BC312" s="11">
        <v>17556.97</v>
      </c>
      <c r="BD312" s="11">
        <v>15048.83</v>
      </c>
      <c r="BE312" s="11">
        <v>20065.11</v>
      </c>
      <c r="BF312" s="11">
        <v>41384.29</v>
      </c>
      <c r="BG312" s="11">
        <v>15000</v>
      </c>
      <c r="BH312" s="11">
        <v>7500</v>
      </c>
      <c r="BI312" s="11">
        <v>7121</v>
      </c>
      <c r="BJ312" s="11">
        <v>11073</v>
      </c>
      <c r="BK312" s="11">
        <v>70082</v>
      </c>
      <c r="BL312" s="11">
        <v>53709</v>
      </c>
      <c r="BM312" s="11">
        <v>45010</v>
      </c>
      <c r="BN312" s="11">
        <v>28681</v>
      </c>
      <c r="BO312" s="9">
        <v>204000</v>
      </c>
      <c r="BP312" s="9">
        <v>5251</v>
      </c>
    </row>
    <row r="313" spans="1:68" x14ac:dyDescent="0.3">
      <c r="A313" s="7">
        <v>45603</v>
      </c>
      <c r="B313" s="7" t="str">
        <f t="shared" si="4"/>
        <v>NOVEMBER</v>
      </c>
      <c r="C313" s="8">
        <f>MONTH(Data!$A313)</f>
        <v>11</v>
      </c>
      <c r="D313" s="9">
        <v>1114</v>
      </c>
      <c r="E313" s="9">
        <v>928</v>
      </c>
      <c r="F313" s="9">
        <v>467</v>
      </c>
      <c r="G313" s="9">
        <v>592</v>
      </c>
      <c r="H313" s="9">
        <v>55</v>
      </c>
      <c r="I313" s="9">
        <v>259</v>
      </c>
      <c r="J313" s="9">
        <v>577</v>
      </c>
      <c r="K313" s="9">
        <v>92</v>
      </c>
      <c r="L313" s="9">
        <v>255</v>
      </c>
      <c r="M313" s="9">
        <v>110</v>
      </c>
      <c r="N313" s="9">
        <v>96</v>
      </c>
      <c r="O313" s="9">
        <v>41</v>
      </c>
      <c r="P313" s="9">
        <v>20</v>
      </c>
      <c r="Q313" s="9">
        <v>173</v>
      </c>
      <c r="R313" s="9">
        <v>110</v>
      </c>
      <c r="S313" s="9">
        <v>38</v>
      </c>
      <c r="T313" s="9">
        <v>21</v>
      </c>
      <c r="U313" s="9">
        <v>250</v>
      </c>
      <c r="V313" s="9">
        <v>83</v>
      </c>
      <c r="W313" s="9">
        <v>9</v>
      </c>
      <c r="X313" s="9">
        <v>37</v>
      </c>
      <c r="Y313" s="9">
        <v>18</v>
      </c>
      <c r="Z313" s="9">
        <v>129</v>
      </c>
      <c r="AA313" s="9">
        <v>83</v>
      </c>
      <c r="AB313" s="9">
        <v>18</v>
      </c>
      <c r="AC313" s="9">
        <v>9</v>
      </c>
      <c r="AD313" s="9">
        <v>46</v>
      </c>
      <c r="AE313" s="9">
        <v>0</v>
      </c>
      <c r="AF313" s="9">
        <v>9</v>
      </c>
      <c r="AG313" s="9">
        <v>18</v>
      </c>
      <c r="AH313" s="9">
        <v>18</v>
      </c>
      <c r="AI313" s="9">
        <v>9</v>
      </c>
      <c r="AJ313" s="9">
        <v>18</v>
      </c>
      <c r="AK313" s="9">
        <v>37</v>
      </c>
      <c r="AL313" s="9">
        <v>37</v>
      </c>
      <c r="AM313" s="9">
        <v>27</v>
      </c>
      <c r="AN313" s="9">
        <v>27</v>
      </c>
      <c r="AO313" s="9">
        <v>9</v>
      </c>
      <c r="AP313" s="9">
        <v>0</v>
      </c>
      <c r="AQ313" s="9">
        <v>37</v>
      </c>
      <c r="AR313" s="9">
        <v>102</v>
      </c>
      <c r="AS313" s="9">
        <v>9</v>
      </c>
      <c r="AT313" s="9">
        <v>37</v>
      </c>
      <c r="AU313" s="9">
        <v>27</v>
      </c>
      <c r="AV313" s="9">
        <v>0</v>
      </c>
      <c r="AW313" s="9">
        <v>9</v>
      </c>
      <c r="AX313" s="9">
        <v>37</v>
      </c>
      <c r="AY313" s="9">
        <v>18</v>
      </c>
      <c r="AZ313" s="9">
        <v>11</v>
      </c>
      <c r="BA313" s="10">
        <v>121.99</v>
      </c>
      <c r="BB313" s="11">
        <v>41321.360000000001</v>
      </c>
      <c r="BC313" s="11">
        <v>18782.439999999999</v>
      </c>
      <c r="BD313" s="11">
        <v>27547.57</v>
      </c>
      <c r="BE313" s="11">
        <v>20034.599999999999</v>
      </c>
      <c r="BF313" s="11">
        <v>17530.27</v>
      </c>
      <c r="BG313" s="11">
        <v>15000</v>
      </c>
      <c r="BH313" s="11">
        <v>7500</v>
      </c>
      <c r="BI313" s="11">
        <v>7121</v>
      </c>
      <c r="BJ313" s="11">
        <v>11073</v>
      </c>
      <c r="BK313" s="11">
        <v>70082</v>
      </c>
      <c r="BL313" s="11">
        <v>53709</v>
      </c>
      <c r="BM313" s="11">
        <v>45010</v>
      </c>
      <c r="BN313" s="11">
        <v>28681</v>
      </c>
      <c r="BO313" s="9">
        <v>204000</v>
      </c>
      <c r="BP313" s="9">
        <v>7622</v>
      </c>
    </row>
    <row r="314" spans="1:68" x14ac:dyDescent="0.3">
      <c r="A314" s="7">
        <v>45604</v>
      </c>
      <c r="B314" s="7" t="str">
        <f t="shared" si="4"/>
        <v>NOVEMBER</v>
      </c>
      <c r="C314" s="8">
        <f>MONTH(Data!$A314)</f>
        <v>11</v>
      </c>
      <c r="D314" s="9">
        <v>1102</v>
      </c>
      <c r="E314" s="9">
        <v>958</v>
      </c>
      <c r="F314" s="9">
        <v>551</v>
      </c>
      <c r="G314" s="9">
        <v>342</v>
      </c>
      <c r="H314" s="9">
        <v>209</v>
      </c>
      <c r="I314" s="9">
        <v>344</v>
      </c>
      <c r="J314" s="9">
        <v>500</v>
      </c>
      <c r="K314" s="9">
        <v>114</v>
      </c>
      <c r="L314" s="9">
        <v>307</v>
      </c>
      <c r="M314" s="9">
        <v>95</v>
      </c>
      <c r="N314" s="9">
        <v>102</v>
      </c>
      <c r="O314" s="9">
        <v>40</v>
      </c>
      <c r="P314" s="9">
        <v>47</v>
      </c>
      <c r="Q314" s="9">
        <v>201</v>
      </c>
      <c r="R314" s="9">
        <v>113</v>
      </c>
      <c r="S314" s="9">
        <v>62</v>
      </c>
      <c r="T314" s="9">
        <v>25</v>
      </c>
      <c r="U314" s="9">
        <v>110</v>
      </c>
      <c r="V314" s="9">
        <v>76</v>
      </c>
      <c r="W314" s="9">
        <v>19</v>
      </c>
      <c r="X314" s="9">
        <v>28</v>
      </c>
      <c r="Y314" s="9">
        <v>28</v>
      </c>
      <c r="Z314" s="9">
        <v>95</v>
      </c>
      <c r="AA314" s="9">
        <v>76</v>
      </c>
      <c r="AB314" s="9">
        <v>0</v>
      </c>
      <c r="AC314" s="9">
        <v>0</v>
      </c>
      <c r="AD314" s="9">
        <v>19</v>
      </c>
      <c r="AE314" s="9">
        <v>0</v>
      </c>
      <c r="AF314" s="9">
        <v>0</v>
      </c>
      <c r="AG314" s="9">
        <v>9</v>
      </c>
      <c r="AH314" s="9">
        <v>19</v>
      </c>
      <c r="AI314" s="9">
        <v>28</v>
      </c>
      <c r="AJ314" s="9">
        <v>28</v>
      </c>
      <c r="AK314" s="9">
        <v>67</v>
      </c>
      <c r="AL314" s="9">
        <v>28</v>
      </c>
      <c r="AM314" s="9">
        <v>28</v>
      </c>
      <c r="AN314" s="9">
        <v>0</v>
      </c>
      <c r="AO314" s="9">
        <v>0</v>
      </c>
      <c r="AP314" s="9">
        <v>9</v>
      </c>
      <c r="AQ314" s="9">
        <v>19</v>
      </c>
      <c r="AR314" s="9">
        <v>76</v>
      </c>
      <c r="AS314" s="9">
        <v>28</v>
      </c>
      <c r="AT314" s="9">
        <v>76</v>
      </c>
      <c r="AU314" s="9">
        <v>28</v>
      </c>
      <c r="AV314" s="9">
        <v>0</v>
      </c>
      <c r="AW314" s="9">
        <v>19</v>
      </c>
      <c r="AX314" s="9">
        <v>28</v>
      </c>
      <c r="AY314" s="9">
        <v>19</v>
      </c>
      <c r="AZ314" s="9">
        <v>108</v>
      </c>
      <c r="BA314" s="10">
        <v>117.60000000000001</v>
      </c>
      <c r="BB314" s="11">
        <v>40254.080000000002</v>
      </c>
      <c r="BC314" s="11">
        <v>20736.95</v>
      </c>
      <c r="BD314" s="11">
        <v>26836.05</v>
      </c>
      <c r="BE314" s="11">
        <v>30495.52</v>
      </c>
      <c r="BF314" s="11">
        <v>3659.46</v>
      </c>
      <c r="BG314" s="11">
        <v>15000</v>
      </c>
      <c r="BH314" s="11">
        <v>7500</v>
      </c>
      <c r="BI314" s="11">
        <v>7121</v>
      </c>
      <c r="BJ314" s="11">
        <v>11073</v>
      </c>
      <c r="BK314" s="11">
        <v>70082</v>
      </c>
      <c r="BL314" s="11">
        <v>53709</v>
      </c>
      <c r="BM314" s="11">
        <v>45010</v>
      </c>
      <c r="BN314" s="11">
        <v>28681</v>
      </c>
      <c r="BO314" s="9">
        <v>204000</v>
      </c>
      <c r="BP314" s="9">
        <v>2631</v>
      </c>
    </row>
    <row r="315" spans="1:68" x14ac:dyDescent="0.3">
      <c r="A315" s="7">
        <v>45605</v>
      </c>
      <c r="B315" s="7" t="str">
        <f t="shared" si="4"/>
        <v>NOVEMBER</v>
      </c>
      <c r="C315" s="8">
        <f>MONTH(Data!$A315)</f>
        <v>11</v>
      </c>
      <c r="D315" s="9">
        <v>1073</v>
      </c>
      <c r="E315" s="9">
        <v>982</v>
      </c>
      <c r="F315" s="9">
        <v>354</v>
      </c>
      <c r="G315" s="9">
        <v>526</v>
      </c>
      <c r="H315" s="9">
        <v>193</v>
      </c>
      <c r="I315" s="9">
        <v>382</v>
      </c>
      <c r="J315" s="9">
        <v>375</v>
      </c>
      <c r="K315" s="9">
        <v>225</v>
      </c>
      <c r="L315" s="9">
        <v>272</v>
      </c>
      <c r="M315" s="9">
        <v>232</v>
      </c>
      <c r="N315" s="9">
        <v>66</v>
      </c>
      <c r="O315" s="9">
        <v>33</v>
      </c>
      <c r="P315" s="9">
        <v>59</v>
      </c>
      <c r="Q315" s="9">
        <v>183</v>
      </c>
      <c r="R315" s="9">
        <v>138</v>
      </c>
      <c r="S315" s="9">
        <v>28</v>
      </c>
      <c r="T315" s="9">
        <v>48</v>
      </c>
      <c r="U315" s="9">
        <v>14</v>
      </c>
      <c r="V315" s="9">
        <v>88</v>
      </c>
      <c r="W315" s="9">
        <v>29</v>
      </c>
      <c r="X315" s="9">
        <v>39</v>
      </c>
      <c r="Y315" s="9">
        <v>19</v>
      </c>
      <c r="Z315" s="9">
        <v>88</v>
      </c>
      <c r="AA315" s="9">
        <v>49</v>
      </c>
      <c r="AB315" s="9">
        <v>9</v>
      </c>
      <c r="AC315" s="9">
        <v>19</v>
      </c>
      <c r="AD315" s="9">
        <v>49</v>
      </c>
      <c r="AE315" s="9">
        <v>0</v>
      </c>
      <c r="AF315" s="9">
        <v>9</v>
      </c>
      <c r="AG315" s="9">
        <v>9</v>
      </c>
      <c r="AH315" s="9">
        <v>9</v>
      </c>
      <c r="AI315" s="9">
        <v>29</v>
      </c>
      <c r="AJ315" s="9">
        <v>0</v>
      </c>
      <c r="AK315" s="9">
        <v>39</v>
      </c>
      <c r="AL315" s="9">
        <v>39</v>
      </c>
      <c r="AM315" s="9">
        <v>49</v>
      </c>
      <c r="AN315" s="9">
        <v>29</v>
      </c>
      <c r="AO315" s="9">
        <v>0</v>
      </c>
      <c r="AP315" s="9">
        <v>29</v>
      </c>
      <c r="AQ315" s="9">
        <v>29</v>
      </c>
      <c r="AR315" s="9">
        <v>98</v>
      </c>
      <c r="AS315" s="9">
        <v>9</v>
      </c>
      <c r="AT315" s="9">
        <v>29</v>
      </c>
      <c r="AU315" s="9">
        <v>39</v>
      </c>
      <c r="AV315" s="9">
        <v>9</v>
      </c>
      <c r="AW315" s="9">
        <v>49</v>
      </c>
      <c r="AX315" s="9">
        <v>0</v>
      </c>
      <c r="AY315" s="9">
        <v>29</v>
      </c>
      <c r="AZ315" s="9">
        <v>61</v>
      </c>
      <c r="BA315" s="10">
        <v>115.19</v>
      </c>
      <c r="BB315" s="11">
        <v>38808.870000000003</v>
      </c>
      <c r="BC315" s="11">
        <v>25872.58</v>
      </c>
      <c r="BD315" s="11">
        <v>11760.27</v>
      </c>
      <c r="BE315" s="11">
        <v>18816.419999999998</v>
      </c>
      <c r="BF315" s="11">
        <v>22344.5</v>
      </c>
      <c r="BG315" s="11">
        <v>15000</v>
      </c>
      <c r="BH315" s="11">
        <v>7500</v>
      </c>
      <c r="BI315" s="11">
        <v>7121</v>
      </c>
      <c r="BJ315" s="11">
        <v>11073</v>
      </c>
      <c r="BK315" s="11">
        <v>70082</v>
      </c>
      <c r="BL315" s="11">
        <v>53709</v>
      </c>
      <c r="BM315" s="11">
        <v>45010</v>
      </c>
      <c r="BN315" s="11">
        <v>28681</v>
      </c>
      <c r="BO315" s="9">
        <v>204000</v>
      </c>
      <c r="BP315" s="9">
        <v>4315</v>
      </c>
    </row>
    <row r="316" spans="1:68" x14ac:dyDescent="0.3">
      <c r="A316" s="7">
        <v>45606</v>
      </c>
      <c r="B316" s="7" t="str">
        <f t="shared" si="4"/>
        <v>NOVEMBER</v>
      </c>
      <c r="C316" s="8">
        <f>MONTH(Data!$A316)</f>
        <v>11</v>
      </c>
      <c r="D316" s="9">
        <v>1054</v>
      </c>
      <c r="E316" s="9">
        <v>1002</v>
      </c>
      <c r="F316" s="9">
        <v>484</v>
      </c>
      <c r="G316" s="9">
        <v>349</v>
      </c>
      <c r="H316" s="9">
        <v>221</v>
      </c>
      <c r="I316" s="9">
        <v>440</v>
      </c>
      <c r="J316" s="9">
        <v>442</v>
      </c>
      <c r="K316" s="9">
        <v>120</v>
      </c>
      <c r="L316" s="9">
        <v>359</v>
      </c>
      <c r="M316" s="9">
        <v>117</v>
      </c>
      <c r="N316" s="9">
        <v>98</v>
      </c>
      <c r="O316" s="9">
        <v>71</v>
      </c>
      <c r="P316" s="9">
        <v>26</v>
      </c>
      <c r="Q316" s="9">
        <v>216</v>
      </c>
      <c r="R316" s="9">
        <v>76</v>
      </c>
      <c r="S316" s="9">
        <v>52</v>
      </c>
      <c r="T316" s="9">
        <v>28</v>
      </c>
      <c r="U316" s="9">
        <v>11</v>
      </c>
      <c r="V316" s="9">
        <v>120</v>
      </c>
      <c r="W316" s="9">
        <v>0</v>
      </c>
      <c r="X316" s="9">
        <v>70</v>
      </c>
      <c r="Y316" s="9">
        <v>10</v>
      </c>
      <c r="Z316" s="9">
        <v>22</v>
      </c>
      <c r="AA316" s="9">
        <v>90</v>
      </c>
      <c r="AB316" s="9">
        <v>30</v>
      </c>
      <c r="AC316" s="9">
        <v>20</v>
      </c>
      <c r="AD316" s="9">
        <v>20</v>
      </c>
      <c r="AE316" s="9">
        <v>0</v>
      </c>
      <c r="AF316" s="9">
        <v>0</v>
      </c>
      <c r="AG316" s="9">
        <v>40</v>
      </c>
      <c r="AH316" s="9">
        <v>0</v>
      </c>
      <c r="AI316" s="9">
        <v>30</v>
      </c>
      <c r="AJ316" s="9">
        <v>20</v>
      </c>
      <c r="AK316" s="9">
        <v>70</v>
      </c>
      <c r="AL316" s="9">
        <v>60</v>
      </c>
      <c r="AM316" s="9">
        <v>20</v>
      </c>
      <c r="AN316" s="9">
        <v>0</v>
      </c>
      <c r="AO316" s="9">
        <v>10</v>
      </c>
      <c r="AP316" s="9">
        <v>30</v>
      </c>
      <c r="AQ316" s="9">
        <v>40</v>
      </c>
      <c r="AR316" s="9">
        <v>80</v>
      </c>
      <c r="AS316" s="9">
        <v>30</v>
      </c>
      <c r="AT316" s="9">
        <v>50</v>
      </c>
      <c r="AU316" s="9">
        <v>20</v>
      </c>
      <c r="AV316" s="9">
        <v>10</v>
      </c>
      <c r="AW316" s="9">
        <v>60</v>
      </c>
      <c r="AX316" s="9">
        <v>30</v>
      </c>
      <c r="AY316" s="9">
        <v>20</v>
      </c>
      <c r="AZ316" s="9">
        <v>0</v>
      </c>
      <c r="BA316" s="10">
        <v>115.2</v>
      </c>
      <c r="BB316" s="11">
        <v>28798.04</v>
      </c>
      <c r="BC316" s="11">
        <v>21886.51</v>
      </c>
      <c r="BD316" s="11">
        <v>25342.28</v>
      </c>
      <c r="BE316" s="11">
        <v>13823.06</v>
      </c>
      <c r="BF316" s="11">
        <v>25342.28</v>
      </c>
      <c r="BG316" s="11">
        <v>15000</v>
      </c>
      <c r="BH316" s="11">
        <v>7500</v>
      </c>
      <c r="BI316" s="11">
        <v>7121</v>
      </c>
      <c r="BJ316" s="11">
        <v>11073</v>
      </c>
      <c r="BK316" s="11">
        <v>70082</v>
      </c>
      <c r="BL316" s="11">
        <v>53709</v>
      </c>
      <c r="BM316" s="11">
        <v>45010</v>
      </c>
      <c r="BN316" s="11">
        <v>28681</v>
      </c>
      <c r="BO316" s="9">
        <v>204000</v>
      </c>
      <c r="BP316" s="9">
        <v>4873</v>
      </c>
    </row>
    <row r="317" spans="1:68" x14ac:dyDescent="0.3">
      <c r="A317" s="7">
        <v>45607</v>
      </c>
      <c r="B317" s="7" t="str">
        <f t="shared" si="4"/>
        <v>NOVEMBER</v>
      </c>
      <c r="C317" s="8">
        <f>MONTH(Data!$A317)</f>
        <v>11</v>
      </c>
      <c r="D317" s="9">
        <v>1044</v>
      </c>
      <c r="E317" s="9">
        <v>1016</v>
      </c>
      <c r="F317" s="9">
        <v>522</v>
      </c>
      <c r="G317" s="9">
        <v>397</v>
      </c>
      <c r="H317" s="9">
        <v>125</v>
      </c>
      <c r="I317" s="9">
        <v>203</v>
      </c>
      <c r="J317" s="9">
        <v>763</v>
      </c>
      <c r="K317" s="9">
        <v>50</v>
      </c>
      <c r="L317" s="9">
        <v>233</v>
      </c>
      <c r="M317" s="9">
        <v>38</v>
      </c>
      <c r="N317" s="9">
        <v>90</v>
      </c>
      <c r="O317" s="9">
        <v>45</v>
      </c>
      <c r="P317" s="9">
        <v>64</v>
      </c>
      <c r="Q317" s="9">
        <v>190</v>
      </c>
      <c r="R317" s="9">
        <v>43</v>
      </c>
      <c r="S317" s="9">
        <v>59</v>
      </c>
      <c r="T317" s="9">
        <v>27</v>
      </c>
      <c r="U317" s="9">
        <v>255</v>
      </c>
      <c r="V317" s="9">
        <v>50</v>
      </c>
      <c r="W317" s="9">
        <v>10</v>
      </c>
      <c r="X317" s="9">
        <v>40</v>
      </c>
      <c r="Y317" s="9">
        <v>10</v>
      </c>
      <c r="Z317" s="9">
        <v>152</v>
      </c>
      <c r="AA317" s="9">
        <v>71</v>
      </c>
      <c r="AB317" s="9">
        <v>10</v>
      </c>
      <c r="AC317" s="9">
        <v>0</v>
      </c>
      <c r="AD317" s="9">
        <v>40</v>
      </c>
      <c r="AE317" s="9">
        <v>0</v>
      </c>
      <c r="AF317" s="9">
        <v>0</v>
      </c>
      <c r="AG317" s="9">
        <v>40</v>
      </c>
      <c r="AH317" s="9">
        <v>20</v>
      </c>
      <c r="AI317" s="9">
        <v>0</v>
      </c>
      <c r="AJ317" s="9">
        <v>20</v>
      </c>
      <c r="AK317" s="9">
        <v>50</v>
      </c>
      <c r="AL317" s="9">
        <v>71</v>
      </c>
      <c r="AM317" s="9">
        <v>30</v>
      </c>
      <c r="AN317" s="9">
        <v>10</v>
      </c>
      <c r="AO317" s="9">
        <v>0</v>
      </c>
      <c r="AP317" s="9">
        <v>30</v>
      </c>
      <c r="AQ317" s="9">
        <v>40</v>
      </c>
      <c r="AR317" s="9">
        <v>101</v>
      </c>
      <c r="AS317" s="9">
        <v>10</v>
      </c>
      <c r="AT317" s="9">
        <v>50</v>
      </c>
      <c r="AU317" s="9">
        <v>20</v>
      </c>
      <c r="AV317" s="9">
        <v>0</v>
      </c>
      <c r="AW317" s="9">
        <v>60</v>
      </c>
      <c r="AX317" s="9">
        <v>40</v>
      </c>
      <c r="AY317" s="9">
        <v>40</v>
      </c>
      <c r="AZ317" s="9">
        <v>1</v>
      </c>
      <c r="BA317" s="10">
        <v>116.03</v>
      </c>
      <c r="BB317" s="11">
        <v>39165.339999999997</v>
      </c>
      <c r="BC317" s="11">
        <v>18430.75</v>
      </c>
      <c r="BD317" s="11">
        <v>17278.82</v>
      </c>
      <c r="BE317" s="11">
        <v>17278.82</v>
      </c>
      <c r="BF317" s="11">
        <v>23038.43</v>
      </c>
      <c r="BG317" s="11">
        <v>15000</v>
      </c>
      <c r="BH317" s="11">
        <v>7500</v>
      </c>
      <c r="BI317" s="11">
        <v>7121</v>
      </c>
      <c r="BJ317" s="11">
        <v>11073</v>
      </c>
      <c r="BK317" s="11">
        <v>70082</v>
      </c>
      <c r="BL317" s="11">
        <v>53709</v>
      </c>
      <c r="BM317" s="11">
        <v>45010</v>
      </c>
      <c r="BN317" s="11">
        <v>28681</v>
      </c>
      <c r="BO317" s="9">
        <v>204000</v>
      </c>
      <c r="BP317" s="9">
        <v>2487</v>
      </c>
    </row>
    <row r="318" spans="1:68" x14ac:dyDescent="0.3">
      <c r="A318" s="7">
        <v>45608</v>
      </c>
      <c r="B318" s="7" t="str">
        <f t="shared" si="4"/>
        <v>NOVEMBER</v>
      </c>
      <c r="C318" s="8">
        <f>MONTH(Data!$A318)</f>
        <v>11</v>
      </c>
      <c r="D318" s="9">
        <v>1044</v>
      </c>
      <c r="E318" s="9">
        <v>1022</v>
      </c>
      <c r="F318" s="9">
        <v>354</v>
      </c>
      <c r="G318" s="9">
        <v>555</v>
      </c>
      <c r="H318" s="9">
        <v>135</v>
      </c>
      <c r="I318" s="9">
        <v>521</v>
      </c>
      <c r="J318" s="9">
        <v>389</v>
      </c>
      <c r="K318" s="9">
        <v>112</v>
      </c>
      <c r="L318" s="9">
        <v>226</v>
      </c>
      <c r="M318" s="9">
        <v>213</v>
      </c>
      <c r="N318" s="9">
        <v>45</v>
      </c>
      <c r="O318" s="9">
        <v>32</v>
      </c>
      <c r="P318" s="9">
        <v>25</v>
      </c>
      <c r="Q318" s="9">
        <v>214</v>
      </c>
      <c r="R318" s="9">
        <v>87</v>
      </c>
      <c r="S318" s="9">
        <v>31</v>
      </c>
      <c r="T318" s="9">
        <v>39</v>
      </c>
      <c r="U318" s="9">
        <v>132</v>
      </c>
      <c r="V318" s="9">
        <v>71</v>
      </c>
      <c r="W318" s="9">
        <v>20</v>
      </c>
      <c r="X318" s="9">
        <v>40</v>
      </c>
      <c r="Y318" s="9">
        <v>20</v>
      </c>
      <c r="Z318" s="9">
        <v>91</v>
      </c>
      <c r="AA318" s="9">
        <v>91</v>
      </c>
      <c r="AB318" s="9">
        <v>10</v>
      </c>
      <c r="AC318" s="9">
        <v>20</v>
      </c>
      <c r="AD318" s="9">
        <v>20</v>
      </c>
      <c r="AE318" s="9">
        <v>0</v>
      </c>
      <c r="AF318" s="9">
        <v>0</v>
      </c>
      <c r="AG318" s="9">
        <v>10</v>
      </c>
      <c r="AH318" s="9">
        <v>20</v>
      </c>
      <c r="AI318" s="9">
        <v>30</v>
      </c>
      <c r="AJ318" s="9">
        <v>0</v>
      </c>
      <c r="AK318" s="9">
        <v>51</v>
      </c>
      <c r="AL318" s="9">
        <v>20</v>
      </c>
      <c r="AM318" s="9">
        <v>30</v>
      </c>
      <c r="AN318" s="9">
        <v>20</v>
      </c>
      <c r="AO318" s="9">
        <v>0</v>
      </c>
      <c r="AP318" s="9">
        <v>10</v>
      </c>
      <c r="AQ318" s="9">
        <v>30</v>
      </c>
      <c r="AR318" s="9">
        <v>102</v>
      </c>
      <c r="AS318" s="9">
        <v>10</v>
      </c>
      <c r="AT318" s="9">
        <v>81</v>
      </c>
      <c r="AU318" s="9">
        <v>30</v>
      </c>
      <c r="AV318" s="9">
        <v>0</v>
      </c>
      <c r="AW318" s="9">
        <v>10</v>
      </c>
      <c r="AX318" s="9">
        <v>30</v>
      </c>
      <c r="AY318" s="9">
        <v>10</v>
      </c>
      <c r="AZ318" s="9">
        <v>145</v>
      </c>
      <c r="BA318" s="10">
        <v>118.55</v>
      </c>
      <c r="BB318" s="11">
        <v>38288.269999999997</v>
      </c>
      <c r="BC318" s="11">
        <v>24365.26</v>
      </c>
      <c r="BD318" s="11">
        <v>19724.259999999998</v>
      </c>
      <c r="BE318" s="11">
        <v>24365.26</v>
      </c>
      <c r="BF318" s="11">
        <v>9282</v>
      </c>
      <c r="BG318" s="11">
        <v>15000</v>
      </c>
      <c r="BH318" s="11">
        <v>7500</v>
      </c>
      <c r="BI318" s="11">
        <v>7121</v>
      </c>
      <c r="BJ318" s="11">
        <v>11073</v>
      </c>
      <c r="BK318" s="11">
        <v>70082</v>
      </c>
      <c r="BL318" s="11">
        <v>53709</v>
      </c>
      <c r="BM318" s="11">
        <v>45010</v>
      </c>
      <c r="BN318" s="11">
        <v>28681</v>
      </c>
      <c r="BO318" s="9">
        <v>204000</v>
      </c>
      <c r="BP318" s="9">
        <v>8373</v>
      </c>
    </row>
    <row r="319" spans="1:68" x14ac:dyDescent="0.3">
      <c r="A319" s="7">
        <v>45609</v>
      </c>
      <c r="B319" s="7" t="str">
        <f t="shared" si="4"/>
        <v>NOVEMBER</v>
      </c>
      <c r="C319" s="8">
        <f>MONTH(Data!$A319)</f>
        <v>11</v>
      </c>
      <c r="D319" s="9">
        <v>1049</v>
      </c>
      <c r="E319" s="9">
        <v>1027</v>
      </c>
      <c r="F319" s="9">
        <v>419</v>
      </c>
      <c r="G319" s="9">
        <v>473</v>
      </c>
      <c r="H319" s="9">
        <v>157</v>
      </c>
      <c r="I319" s="9">
        <v>431</v>
      </c>
      <c r="J319" s="9">
        <v>350</v>
      </c>
      <c r="K319" s="9">
        <v>246</v>
      </c>
      <c r="L319" s="9">
        <v>345</v>
      </c>
      <c r="M319" s="9">
        <v>201</v>
      </c>
      <c r="N319" s="9">
        <v>78</v>
      </c>
      <c r="O319" s="9">
        <v>52</v>
      </c>
      <c r="P319" s="9">
        <v>65</v>
      </c>
      <c r="Q319" s="9">
        <v>203</v>
      </c>
      <c r="R319" s="9">
        <v>35</v>
      </c>
      <c r="S319" s="9">
        <v>31</v>
      </c>
      <c r="T319" s="9">
        <v>39</v>
      </c>
      <c r="U319" s="9">
        <v>0</v>
      </c>
      <c r="V319" s="9">
        <v>112</v>
      </c>
      <c r="W319" s="9">
        <v>20</v>
      </c>
      <c r="X319" s="9">
        <v>71</v>
      </c>
      <c r="Y319" s="9">
        <v>10</v>
      </c>
      <c r="Z319" s="9">
        <v>102</v>
      </c>
      <c r="AA319" s="9">
        <v>51</v>
      </c>
      <c r="AB319" s="9">
        <v>0</v>
      </c>
      <c r="AC319" s="9">
        <v>0</v>
      </c>
      <c r="AD319" s="9">
        <v>30</v>
      </c>
      <c r="AE319" s="9">
        <v>20</v>
      </c>
      <c r="AF319" s="9">
        <v>10</v>
      </c>
      <c r="AG319" s="9">
        <v>51</v>
      </c>
      <c r="AH319" s="9">
        <v>30</v>
      </c>
      <c r="AI319" s="9">
        <v>0</v>
      </c>
      <c r="AJ319" s="9">
        <v>0</v>
      </c>
      <c r="AK319" s="9">
        <v>82</v>
      </c>
      <c r="AL319" s="9">
        <v>30</v>
      </c>
      <c r="AM319" s="9">
        <v>41</v>
      </c>
      <c r="AN319" s="9">
        <v>10</v>
      </c>
      <c r="AO319" s="9">
        <v>0</v>
      </c>
      <c r="AP319" s="9">
        <v>10</v>
      </c>
      <c r="AQ319" s="9">
        <v>41</v>
      </c>
      <c r="AR319" s="9">
        <v>92</v>
      </c>
      <c r="AS319" s="9">
        <v>10</v>
      </c>
      <c r="AT319" s="9">
        <v>51</v>
      </c>
      <c r="AU319" s="9">
        <v>41</v>
      </c>
      <c r="AV319" s="9">
        <v>0</v>
      </c>
      <c r="AW319" s="9">
        <v>41</v>
      </c>
      <c r="AX319" s="9">
        <v>30</v>
      </c>
      <c r="AY319" s="9">
        <v>41</v>
      </c>
      <c r="AZ319" s="9">
        <v>0</v>
      </c>
      <c r="BA319" s="10">
        <v>122.91</v>
      </c>
      <c r="BB319" s="11">
        <v>32009.279999999999</v>
      </c>
      <c r="BC319" s="11">
        <v>17782.93</v>
      </c>
      <c r="BD319" s="11">
        <v>26081.64</v>
      </c>
      <c r="BE319" s="11">
        <v>26081.64</v>
      </c>
      <c r="BF319" s="11">
        <v>16597.41</v>
      </c>
      <c r="BG319" s="11">
        <v>15000</v>
      </c>
      <c r="BH319" s="11">
        <v>7500</v>
      </c>
      <c r="BI319" s="11">
        <v>7121</v>
      </c>
      <c r="BJ319" s="11">
        <v>11073</v>
      </c>
      <c r="BK319" s="11">
        <v>70082</v>
      </c>
      <c r="BL319" s="11">
        <v>53709</v>
      </c>
      <c r="BM319" s="11">
        <v>45010</v>
      </c>
      <c r="BN319" s="11">
        <v>28681</v>
      </c>
      <c r="BO319" s="9">
        <v>204000</v>
      </c>
      <c r="BP319" s="9">
        <v>2987</v>
      </c>
    </row>
    <row r="320" spans="1:68" x14ac:dyDescent="0.3">
      <c r="A320" s="7">
        <v>45610</v>
      </c>
      <c r="B320" s="7" t="str">
        <f t="shared" si="4"/>
        <v>NOVEMBER</v>
      </c>
      <c r="C320" s="8">
        <f>MONTH(Data!$A320)</f>
        <v>11</v>
      </c>
      <c r="D320" s="9">
        <v>1059</v>
      </c>
      <c r="E320" s="9">
        <v>1032</v>
      </c>
      <c r="F320" s="9">
        <v>254</v>
      </c>
      <c r="G320" s="9">
        <v>710</v>
      </c>
      <c r="H320" s="9">
        <v>95</v>
      </c>
      <c r="I320" s="9">
        <v>474</v>
      </c>
      <c r="J320" s="9">
        <v>455</v>
      </c>
      <c r="K320" s="9">
        <v>103</v>
      </c>
      <c r="L320" s="9">
        <v>249</v>
      </c>
      <c r="M320" s="9">
        <v>78</v>
      </c>
      <c r="N320" s="9">
        <v>98</v>
      </c>
      <c r="O320" s="9">
        <v>78</v>
      </c>
      <c r="P320" s="9">
        <v>26</v>
      </c>
      <c r="Q320" s="9">
        <v>169</v>
      </c>
      <c r="R320" s="9">
        <v>84</v>
      </c>
      <c r="S320" s="9">
        <v>28</v>
      </c>
      <c r="T320" s="9">
        <v>48</v>
      </c>
      <c r="U320" s="9">
        <v>201</v>
      </c>
      <c r="V320" s="9">
        <v>134</v>
      </c>
      <c r="W320" s="9">
        <v>0</v>
      </c>
      <c r="X320" s="9">
        <v>30</v>
      </c>
      <c r="Y320" s="9">
        <v>10</v>
      </c>
      <c r="Z320" s="9">
        <v>113</v>
      </c>
      <c r="AA320" s="9">
        <v>82</v>
      </c>
      <c r="AB320" s="9">
        <v>30</v>
      </c>
      <c r="AC320" s="9">
        <v>0</v>
      </c>
      <c r="AD320" s="9">
        <v>30</v>
      </c>
      <c r="AE320" s="9">
        <v>10</v>
      </c>
      <c r="AF320" s="9">
        <v>10</v>
      </c>
      <c r="AG320" s="9">
        <v>51</v>
      </c>
      <c r="AH320" s="9">
        <v>10</v>
      </c>
      <c r="AI320" s="9">
        <v>20</v>
      </c>
      <c r="AJ320" s="9">
        <v>0</v>
      </c>
      <c r="AK320" s="9">
        <v>51</v>
      </c>
      <c r="AL320" s="9">
        <v>51</v>
      </c>
      <c r="AM320" s="9">
        <v>20</v>
      </c>
      <c r="AN320" s="9">
        <v>30</v>
      </c>
      <c r="AO320" s="9">
        <v>10</v>
      </c>
      <c r="AP320" s="9">
        <v>0</v>
      </c>
      <c r="AQ320" s="9">
        <v>30</v>
      </c>
      <c r="AR320" s="9">
        <v>103</v>
      </c>
      <c r="AS320" s="9">
        <v>20</v>
      </c>
      <c r="AT320" s="9">
        <v>51</v>
      </c>
      <c r="AU320" s="9">
        <v>20</v>
      </c>
      <c r="AV320" s="9">
        <v>0</v>
      </c>
      <c r="AW320" s="9">
        <v>10</v>
      </c>
      <c r="AX320" s="9">
        <v>10</v>
      </c>
      <c r="AY320" s="9">
        <v>20</v>
      </c>
      <c r="AZ320" s="9">
        <v>76</v>
      </c>
      <c r="BA320" s="10">
        <v>128.28</v>
      </c>
      <c r="BB320" s="11">
        <v>40562.06</v>
      </c>
      <c r="BC320" s="11">
        <v>30728.84</v>
      </c>
      <c r="BD320" s="11">
        <v>23353.919999999998</v>
      </c>
      <c r="BE320" s="11">
        <v>13270.53</v>
      </c>
      <c r="BF320" s="11">
        <v>15000</v>
      </c>
      <c r="BG320" s="11">
        <v>15000</v>
      </c>
      <c r="BH320" s="11">
        <v>7500</v>
      </c>
      <c r="BI320" s="11">
        <v>7121</v>
      </c>
      <c r="BJ320" s="11">
        <v>11073</v>
      </c>
      <c r="BK320" s="11">
        <v>70082</v>
      </c>
      <c r="BL320" s="11">
        <v>53709</v>
      </c>
      <c r="BM320" s="11">
        <v>45010</v>
      </c>
      <c r="BN320" s="11">
        <v>28681</v>
      </c>
      <c r="BO320" s="9">
        <v>204000</v>
      </c>
      <c r="BP320" s="9">
        <v>6331</v>
      </c>
    </row>
    <row r="321" spans="1:68" x14ac:dyDescent="0.3">
      <c r="A321" s="7">
        <v>45611</v>
      </c>
      <c r="B321" s="7" t="str">
        <f t="shared" si="4"/>
        <v>NOVEMBER</v>
      </c>
      <c r="C321" s="8">
        <f>MONTH(Data!$A321)</f>
        <v>11</v>
      </c>
      <c r="D321" s="9">
        <v>1074</v>
      </c>
      <c r="E321" s="9">
        <v>1031</v>
      </c>
      <c r="F321" s="9">
        <v>472</v>
      </c>
      <c r="G321" s="9">
        <v>388</v>
      </c>
      <c r="H321" s="9">
        <v>214</v>
      </c>
      <c r="I321" s="9">
        <v>402</v>
      </c>
      <c r="J321" s="9">
        <v>495</v>
      </c>
      <c r="K321" s="9">
        <v>134</v>
      </c>
      <c r="L321" s="9">
        <v>352</v>
      </c>
      <c r="M321" s="9">
        <v>73</v>
      </c>
      <c r="N321" s="9">
        <v>59</v>
      </c>
      <c r="O321" s="9">
        <v>46</v>
      </c>
      <c r="P321" s="9">
        <v>33</v>
      </c>
      <c r="Q321" s="9">
        <v>163</v>
      </c>
      <c r="R321" s="9">
        <v>53</v>
      </c>
      <c r="S321" s="9">
        <v>53</v>
      </c>
      <c r="T321" s="9">
        <v>24</v>
      </c>
      <c r="U321" s="9">
        <v>218</v>
      </c>
      <c r="V321" s="9">
        <v>123</v>
      </c>
      <c r="W321" s="9">
        <v>10</v>
      </c>
      <c r="X321" s="9">
        <v>30</v>
      </c>
      <c r="Y321" s="9">
        <v>30</v>
      </c>
      <c r="Z321" s="9">
        <v>92</v>
      </c>
      <c r="AA321" s="9">
        <v>51</v>
      </c>
      <c r="AB321" s="9">
        <v>30</v>
      </c>
      <c r="AC321" s="9">
        <v>0</v>
      </c>
      <c r="AD321" s="9">
        <v>61</v>
      </c>
      <c r="AE321" s="9">
        <v>20</v>
      </c>
      <c r="AF321" s="9">
        <v>0</v>
      </c>
      <c r="AG321" s="9">
        <v>41</v>
      </c>
      <c r="AH321" s="9">
        <v>10</v>
      </c>
      <c r="AI321" s="9">
        <v>20</v>
      </c>
      <c r="AJ321" s="9">
        <v>10</v>
      </c>
      <c r="AK321" s="9">
        <v>51</v>
      </c>
      <c r="AL321" s="9">
        <v>20</v>
      </c>
      <c r="AM321" s="9">
        <v>30</v>
      </c>
      <c r="AN321" s="9">
        <v>30</v>
      </c>
      <c r="AO321" s="9">
        <v>0</v>
      </c>
      <c r="AP321" s="9">
        <v>0</v>
      </c>
      <c r="AQ321" s="9">
        <v>41</v>
      </c>
      <c r="AR321" s="9">
        <v>72</v>
      </c>
      <c r="AS321" s="9">
        <v>10</v>
      </c>
      <c r="AT321" s="9">
        <v>51</v>
      </c>
      <c r="AU321" s="9">
        <v>10</v>
      </c>
      <c r="AV321" s="9">
        <v>0</v>
      </c>
      <c r="AW321" s="9">
        <v>30</v>
      </c>
      <c r="AX321" s="9">
        <v>30</v>
      </c>
      <c r="AY321" s="9">
        <v>41</v>
      </c>
      <c r="AZ321" s="9">
        <v>87</v>
      </c>
      <c r="BA321" s="10">
        <v>131.26</v>
      </c>
      <c r="BB321" s="11">
        <v>38484.5</v>
      </c>
      <c r="BC321" s="11">
        <v>17959.43</v>
      </c>
      <c r="BD321" s="11">
        <v>12828.17</v>
      </c>
      <c r="BE321" s="11">
        <v>16676.62</v>
      </c>
      <c r="BF321" s="11">
        <v>42332.95</v>
      </c>
      <c r="BG321" s="11">
        <v>11500</v>
      </c>
      <c r="BH321" s="11">
        <v>7500</v>
      </c>
      <c r="BI321" s="11">
        <v>7121</v>
      </c>
      <c r="BJ321" s="11">
        <v>11073</v>
      </c>
      <c r="BK321" s="11">
        <v>70082</v>
      </c>
      <c r="BL321" s="11">
        <v>53709</v>
      </c>
      <c r="BM321" s="11">
        <v>45010</v>
      </c>
      <c r="BN321" s="11">
        <v>28681</v>
      </c>
      <c r="BO321" s="9">
        <v>204000</v>
      </c>
      <c r="BP321" s="9">
        <v>1851</v>
      </c>
    </row>
    <row r="322" spans="1:68" x14ac:dyDescent="0.3">
      <c r="A322" s="7">
        <v>45612</v>
      </c>
      <c r="B322" s="7" t="str">
        <f t="shared" ref="B322:B367" si="5">CHOOSE(C322,
"JANUARY",
"FEBRUARY",
"MARCH",
"APRIL",
"MAY",
"JUNE",
"JULY",
"AUGUST",
"SEPTEMBER",
"OCTOBER",
"NOVEMBER",
"DECEMBER")</f>
        <v>NOVEMBER</v>
      </c>
      <c r="C322" s="8">
        <f>MONTH(Data!$A322)</f>
        <v>11</v>
      </c>
      <c r="D322" s="9">
        <v>1094</v>
      </c>
      <c r="E322" s="9">
        <v>1025</v>
      </c>
      <c r="F322" s="9">
        <v>339</v>
      </c>
      <c r="G322" s="9">
        <v>591</v>
      </c>
      <c r="H322" s="9">
        <v>164</v>
      </c>
      <c r="I322" s="9">
        <v>246</v>
      </c>
      <c r="J322" s="9">
        <v>687</v>
      </c>
      <c r="K322" s="9">
        <v>92</v>
      </c>
      <c r="L322" s="9">
        <v>257</v>
      </c>
      <c r="M322" s="9">
        <v>40</v>
      </c>
      <c r="N322" s="9">
        <v>94</v>
      </c>
      <c r="O322" s="9">
        <v>40</v>
      </c>
      <c r="P322" s="9">
        <v>13</v>
      </c>
      <c r="Q322" s="9">
        <v>153</v>
      </c>
      <c r="R322" s="9">
        <v>58</v>
      </c>
      <c r="S322" s="9">
        <v>29</v>
      </c>
      <c r="T322" s="9">
        <v>37</v>
      </c>
      <c r="U322" s="9">
        <v>373</v>
      </c>
      <c r="V322" s="9">
        <v>102</v>
      </c>
      <c r="W322" s="9">
        <v>10</v>
      </c>
      <c r="X322" s="9">
        <v>51</v>
      </c>
      <c r="Y322" s="9">
        <v>0</v>
      </c>
      <c r="Z322" s="9">
        <v>92</v>
      </c>
      <c r="AA322" s="9">
        <v>61</v>
      </c>
      <c r="AB322" s="9">
        <v>30</v>
      </c>
      <c r="AC322" s="9">
        <v>20</v>
      </c>
      <c r="AD322" s="9">
        <v>20</v>
      </c>
      <c r="AE322" s="9">
        <v>0</v>
      </c>
      <c r="AF322" s="9">
        <v>0</v>
      </c>
      <c r="AG322" s="9">
        <v>20</v>
      </c>
      <c r="AH322" s="9">
        <v>10</v>
      </c>
      <c r="AI322" s="9">
        <v>20</v>
      </c>
      <c r="AJ322" s="9">
        <v>20</v>
      </c>
      <c r="AK322" s="9">
        <v>61</v>
      </c>
      <c r="AL322" s="9">
        <v>30</v>
      </c>
      <c r="AM322" s="9">
        <v>20</v>
      </c>
      <c r="AN322" s="9">
        <v>30</v>
      </c>
      <c r="AO322" s="9">
        <v>0</v>
      </c>
      <c r="AP322" s="9">
        <v>10</v>
      </c>
      <c r="AQ322" s="9">
        <v>20</v>
      </c>
      <c r="AR322" s="9">
        <v>112</v>
      </c>
      <c r="AS322" s="9">
        <v>30</v>
      </c>
      <c r="AT322" s="9">
        <v>92</v>
      </c>
      <c r="AU322" s="9">
        <v>20</v>
      </c>
      <c r="AV322" s="9">
        <v>0</v>
      </c>
      <c r="AW322" s="9">
        <v>30</v>
      </c>
      <c r="AX322" s="9">
        <v>0</v>
      </c>
      <c r="AY322" s="9">
        <v>30</v>
      </c>
      <c r="AZ322" s="9">
        <v>84</v>
      </c>
      <c r="BA322" s="10">
        <v>133.32</v>
      </c>
      <c r="BB322" s="11">
        <v>40689.760000000002</v>
      </c>
      <c r="BC322" s="11">
        <v>32814.32</v>
      </c>
      <c r="BD322" s="11">
        <v>19688.59</v>
      </c>
      <c r="BE322" s="11">
        <v>28876.6</v>
      </c>
      <c r="BF322" s="11">
        <v>9188.01</v>
      </c>
      <c r="BG322" s="11">
        <v>11500</v>
      </c>
      <c r="BH322" s="11">
        <v>7500</v>
      </c>
      <c r="BI322" s="11">
        <v>7121</v>
      </c>
      <c r="BJ322" s="11">
        <v>11073</v>
      </c>
      <c r="BK322" s="11">
        <v>70082</v>
      </c>
      <c r="BL322" s="11">
        <v>53709</v>
      </c>
      <c r="BM322" s="11">
        <v>45010</v>
      </c>
      <c r="BN322" s="11">
        <v>28681</v>
      </c>
      <c r="BO322" s="9">
        <v>204000</v>
      </c>
      <c r="BP322" s="9">
        <v>8271</v>
      </c>
    </row>
    <row r="323" spans="1:68" x14ac:dyDescent="0.3">
      <c r="A323" s="7">
        <v>45613</v>
      </c>
      <c r="B323" s="7" t="str">
        <f t="shared" si="5"/>
        <v>NOVEMBER</v>
      </c>
      <c r="C323" s="8">
        <f>MONTH(Data!$A323)</f>
        <v>11</v>
      </c>
      <c r="D323" s="9">
        <v>1121</v>
      </c>
      <c r="E323" s="9">
        <v>1016</v>
      </c>
      <c r="F323" s="9">
        <v>325</v>
      </c>
      <c r="G323" s="9">
        <v>584</v>
      </c>
      <c r="H323" s="9">
        <v>212</v>
      </c>
      <c r="I323" s="9">
        <v>274</v>
      </c>
      <c r="J323" s="9">
        <v>661</v>
      </c>
      <c r="K323" s="9">
        <v>81</v>
      </c>
      <c r="L323" s="9">
        <v>305</v>
      </c>
      <c r="M323" s="9">
        <v>180</v>
      </c>
      <c r="N323" s="9">
        <v>83</v>
      </c>
      <c r="O323" s="9">
        <v>69</v>
      </c>
      <c r="P323" s="9">
        <v>62</v>
      </c>
      <c r="Q323" s="9">
        <v>178</v>
      </c>
      <c r="R323" s="9">
        <v>59</v>
      </c>
      <c r="S323" s="9">
        <v>34</v>
      </c>
      <c r="T323" s="9">
        <v>63</v>
      </c>
      <c r="U323" s="9">
        <v>88</v>
      </c>
      <c r="V323" s="9">
        <v>40</v>
      </c>
      <c r="W323" s="9">
        <v>30</v>
      </c>
      <c r="X323" s="9">
        <v>71</v>
      </c>
      <c r="Y323" s="9">
        <v>20</v>
      </c>
      <c r="Z323" s="9">
        <v>83</v>
      </c>
      <c r="AA323" s="9">
        <v>60</v>
      </c>
      <c r="AB323" s="9">
        <v>10</v>
      </c>
      <c r="AC323" s="9">
        <v>10</v>
      </c>
      <c r="AD323" s="9">
        <v>20</v>
      </c>
      <c r="AE323" s="9">
        <v>20</v>
      </c>
      <c r="AF323" s="9">
        <v>10</v>
      </c>
      <c r="AG323" s="9">
        <v>40</v>
      </c>
      <c r="AH323" s="9">
        <v>30</v>
      </c>
      <c r="AI323" s="9">
        <v>20</v>
      </c>
      <c r="AJ323" s="9">
        <v>30</v>
      </c>
      <c r="AK323" s="9">
        <v>81</v>
      </c>
      <c r="AL323" s="9">
        <v>30</v>
      </c>
      <c r="AM323" s="9">
        <v>30</v>
      </c>
      <c r="AN323" s="9">
        <v>30</v>
      </c>
      <c r="AO323" s="9">
        <v>0</v>
      </c>
      <c r="AP323" s="9">
        <v>10</v>
      </c>
      <c r="AQ323" s="9">
        <v>40</v>
      </c>
      <c r="AR323" s="9">
        <v>101</v>
      </c>
      <c r="AS323" s="9">
        <v>30</v>
      </c>
      <c r="AT323" s="9">
        <v>50</v>
      </c>
      <c r="AU323" s="9">
        <v>30</v>
      </c>
      <c r="AV323" s="9">
        <v>0</v>
      </c>
      <c r="AW323" s="9">
        <v>60</v>
      </c>
      <c r="AX323" s="9">
        <v>10</v>
      </c>
      <c r="AY323" s="9">
        <v>20</v>
      </c>
      <c r="AZ323" s="9">
        <v>0</v>
      </c>
      <c r="BA323" s="10">
        <v>134.16</v>
      </c>
      <c r="BB323" s="11">
        <v>35995.31</v>
      </c>
      <c r="BC323" s="11">
        <v>33328.99</v>
      </c>
      <c r="BD323" s="11">
        <v>17331.080000000002</v>
      </c>
      <c r="BE323" s="11">
        <v>19997.400000000001</v>
      </c>
      <c r="BF323" s="11">
        <v>26663.19</v>
      </c>
      <c r="BG323" s="11">
        <v>11500</v>
      </c>
      <c r="BH323" s="11">
        <v>7500</v>
      </c>
      <c r="BI323" s="11">
        <v>7121</v>
      </c>
      <c r="BJ323" s="11">
        <v>11073</v>
      </c>
      <c r="BK323" s="11">
        <v>70082</v>
      </c>
      <c r="BL323" s="11">
        <v>53709</v>
      </c>
      <c r="BM323" s="11">
        <v>45010</v>
      </c>
      <c r="BN323" s="11">
        <v>28681</v>
      </c>
      <c r="BO323" s="9">
        <v>204000</v>
      </c>
      <c r="BP323" s="9">
        <v>1440</v>
      </c>
    </row>
    <row r="324" spans="1:68" x14ac:dyDescent="0.3">
      <c r="A324" s="7">
        <v>45614</v>
      </c>
      <c r="B324" s="7" t="str">
        <f t="shared" si="5"/>
        <v>NOVEMBER</v>
      </c>
      <c r="C324" s="8">
        <f>MONTH(Data!$A324)</f>
        <v>11</v>
      </c>
      <c r="D324" s="9">
        <v>1148</v>
      </c>
      <c r="E324" s="9">
        <v>1004</v>
      </c>
      <c r="F324" s="9">
        <v>562</v>
      </c>
      <c r="G324" s="9">
        <v>403</v>
      </c>
      <c r="H324" s="9">
        <v>183</v>
      </c>
      <c r="I324" s="9">
        <v>481</v>
      </c>
      <c r="J324" s="9">
        <v>453</v>
      </c>
      <c r="K324" s="9">
        <v>70</v>
      </c>
      <c r="L324" s="9">
        <v>313</v>
      </c>
      <c r="M324" s="9">
        <v>106</v>
      </c>
      <c r="N324" s="9">
        <v>85</v>
      </c>
      <c r="O324" s="9">
        <v>56</v>
      </c>
      <c r="P324" s="9">
        <v>49</v>
      </c>
      <c r="Q324" s="9">
        <v>152</v>
      </c>
      <c r="R324" s="9">
        <v>95</v>
      </c>
      <c r="S324" s="9">
        <v>34</v>
      </c>
      <c r="T324" s="9">
        <v>61</v>
      </c>
      <c r="U324" s="9">
        <v>197</v>
      </c>
      <c r="V324" s="9">
        <v>120</v>
      </c>
      <c r="W324" s="9">
        <v>20</v>
      </c>
      <c r="X324" s="9">
        <v>50</v>
      </c>
      <c r="Y324" s="9">
        <v>30</v>
      </c>
      <c r="Z324" s="9">
        <v>110</v>
      </c>
      <c r="AA324" s="9">
        <v>50</v>
      </c>
      <c r="AB324" s="9">
        <v>0</v>
      </c>
      <c r="AC324" s="9">
        <v>30</v>
      </c>
      <c r="AD324" s="9">
        <v>60</v>
      </c>
      <c r="AE324" s="9">
        <v>0</v>
      </c>
      <c r="AF324" s="9">
        <v>0</v>
      </c>
      <c r="AG324" s="9">
        <v>10</v>
      </c>
      <c r="AH324" s="9">
        <v>10</v>
      </c>
      <c r="AI324" s="9">
        <v>20</v>
      </c>
      <c r="AJ324" s="9">
        <v>30</v>
      </c>
      <c r="AK324" s="9">
        <v>50</v>
      </c>
      <c r="AL324" s="9">
        <v>70</v>
      </c>
      <c r="AM324" s="9">
        <v>10</v>
      </c>
      <c r="AN324" s="9">
        <v>0</v>
      </c>
      <c r="AO324" s="9">
        <v>0</v>
      </c>
      <c r="AP324" s="9">
        <v>20</v>
      </c>
      <c r="AQ324" s="9">
        <v>10</v>
      </c>
      <c r="AR324" s="9">
        <v>80</v>
      </c>
      <c r="AS324" s="9">
        <v>10</v>
      </c>
      <c r="AT324" s="9">
        <v>40</v>
      </c>
      <c r="AU324" s="9">
        <v>10</v>
      </c>
      <c r="AV324" s="9">
        <v>10</v>
      </c>
      <c r="AW324" s="9">
        <v>70</v>
      </c>
      <c r="AX324" s="9">
        <v>40</v>
      </c>
      <c r="AY324" s="9">
        <v>20</v>
      </c>
      <c r="AZ324" s="9">
        <v>24</v>
      </c>
      <c r="BA324" s="10">
        <v>131.61000000000001</v>
      </c>
      <c r="BB324" s="11">
        <v>45614.53</v>
      </c>
      <c r="BC324" s="11">
        <v>17440.849999999999</v>
      </c>
      <c r="BD324" s="11">
        <v>26832.080000000002</v>
      </c>
      <c r="BE324" s="11">
        <v>14757.64</v>
      </c>
      <c r="BF324" s="11">
        <v>29515.29</v>
      </c>
      <c r="BG324" s="11">
        <v>11500</v>
      </c>
      <c r="BH324" s="11">
        <v>7500</v>
      </c>
      <c r="BI324" s="11">
        <v>7121</v>
      </c>
      <c r="BJ324" s="11">
        <v>11073</v>
      </c>
      <c r="BK324" s="11">
        <v>70082</v>
      </c>
      <c r="BL324" s="11">
        <v>53709</v>
      </c>
      <c r="BM324" s="11">
        <v>45010</v>
      </c>
      <c r="BN324" s="11">
        <v>28681</v>
      </c>
      <c r="BO324" s="9">
        <v>204000</v>
      </c>
      <c r="BP324" s="9">
        <v>4720</v>
      </c>
    </row>
    <row r="325" spans="1:68" x14ac:dyDescent="0.3">
      <c r="A325" s="7">
        <v>45615</v>
      </c>
      <c r="B325" s="7" t="str">
        <f t="shared" si="5"/>
        <v>NOVEMBER</v>
      </c>
      <c r="C325" s="8">
        <f>MONTH(Data!$A325)</f>
        <v>11</v>
      </c>
      <c r="D325" s="9">
        <v>1175</v>
      </c>
      <c r="E325" s="9">
        <v>985</v>
      </c>
      <c r="F325" s="9">
        <v>587</v>
      </c>
      <c r="G325" s="9">
        <v>506</v>
      </c>
      <c r="H325" s="9">
        <v>82</v>
      </c>
      <c r="I325" s="9">
        <v>226</v>
      </c>
      <c r="J325" s="9">
        <v>543</v>
      </c>
      <c r="K325" s="9">
        <v>216</v>
      </c>
      <c r="L325" s="9">
        <v>247</v>
      </c>
      <c r="M325" s="9">
        <v>247</v>
      </c>
      <c r="N325" s="9">
        <v>58</v>
      </c>
      <c r="O325" s="9">
        <v>80</v>
      </c>
      <c r="P325" s="9">
        <v>21</v>
      </c>
      <c r="Q325" s="9">
        <v>191</v>
      </c>
      <c r="R325" s="9">
        <v>133</v>
      </c>
      <c r="S325" s="9">
        <v>53</v>
      </c>
      <c r="T325" s="9">
        <v>62</v>
      </c>
      <c r="U325" s="9">
        <v>83</v>
      </c>
      <c r="V325" s="9">
        <v>108</v>
      </c>
      <c r="W325" s="9">
        <v>9</v>
      </c>
      <c r="X325" s="9">
        <v>68</v>
      </c>
      <c r="Y325" s="9">
        <v>9</v>
      </c>
      <c r="Z325" s="9">
        <v>57</v>
      </c>
      <c r="AA325" s="9">
        <v>68</v>
      </c>
      <c r="AB325" s="9">
        <v>19</v>
      </c>
      <c r="AC325" s="9">
        <v>19</v>
      </c>
      <c r="AD325" s="9">
        <v>39</v>
      </c>
      <c r="AE325" s="9">
        <v>0</v>
      </c>
      <c r="AF325" s="9">
        <v>0</v>
      </c>
      <c r="AG325" s="9">
        <v>49</v>
      </c>
      <c r="AH325" s="9">
        <v>9</v>
      </c>
      <c r="AI325" s="9">
        <v>9</v>
      </c>
      <c r="AJ325" s="9">
        <v>29</v>
      </c>
      <c r="AK325" s="9">
        <v>78</v>
      </c>
      <c r="AL325" s="9">
        <v>39</v>
      </c>
      <c r="AM325" s="9">
        <v>49</v>
      </c>
      <c r="AN325" s="9">
        <v>19</v>
      </c>
      <c r="AO325" s="9">
        <v>9</v>
      </c>
      <c r="AP325" s="9">
        <v>0</v>
      </c>
      <c r="AQ325" s="9">
        <v>9</v>
      </c>
      <c r="AR325" s="9">
        <v>88</v>
      </c>
      <c r="AS325" s="9">
        <v>29</v>
      </c>
      <c r="AT325" s="9">
        <v>68</v>
      </c>
      <c r="AU325" s="9">
        <v>19</v>
      </c>
      <c r="AV325" s="9">
        <v>9</v>
      </c>
      <c r="AW325" s="9">
        <v>49</v>
      </c>
      <c r="AX325" s="9">
        <v>9</v>
      </c>
      <c r="AY325" s="9">
        <v>19</v>
      </c>
      <c r="AZ325" s="9">
        <v>0</v>
      </c>
      <c r="BA325" s="10">
        <v>126.63999999999999</v>
      </c>
      <c r="BB325" s="11">
        <v>36848.35</v>
      </c>
      <c r="BC325" s="11">
        <v>31584.3</v>
      </c>
      <c r="BD325" s="11">
        <v>14476.14</v>
      </c>
      <c r="BE325" s="11">
        <v>27636.27</v>
      </c>
      <c r="BF325" s="11">
        <v>21056.2</v>
      </c>
      <c r="BG325" s="11">
        <v>11500</v>
      </c>
      <c r="BH325" s="11">
        <v>7500</v>
      </c>
      <c r="BI325" s="11">
        <v>7121</v>
      </c>
      <c r="BJ325" s="11">
        <v>11073</v>
      </c>
      <c r="BK325" s="11">
        <v>70082</v>
      </c>
      <c r="BL325" s="11">
        <v>53709</v>
      </c>
      <c r="BM325" s="11">
        <v>45010</v>
      </c>
      <c r="BN325" s="11">
        <v>28681</v>
      </c>
      <c r="BO325" s="9">
        <v>204000</v>
      </c>
      <c r="BP325" s="9">
        <v>1203</v>
      </c>
    </row>
    <row r="326" spans="1:68" x14ac:dyDescent="0.3">
      <c r="A326" s="7">
        <v>45616</v>
      </c>
      <c r="B326" s="7" t="str">
        <f t="shared" si="5"/>
        <v>NOVEMBER</v>
      </c>
      <c r="C326" s="8">
        <f>MONTH(Data!$A326)</f>
        <v>11</v>
      </c>
      <c r="D326" s="9">
        <v>1193</v>
      </c>
      <c r="E326" s="9">
        <v>963</v>
      </c>
      <c r="F326" s="9">
        <v>584</v>
      </c>
      <c r="G326" s="9">
        <v>454</v>
      </c>
      <c r="H326" s="9">
        <v>155</v>
      </c>
      <c r="I326" s="9">
        <v>404</v>
      </c>
      <c r="J326" s="9">
        <v>328</v>
      </c>
      <c r="K326" s="9">
        <v>231</v>
      </c>
      <c r="L326" s="9">
        <v>377</v>
      </c>
      <c r="M326" s="9">
        <v>199</v>
      </c>
      <c r="N326" s="9">
        <v>66</v>
      </c>
      <c r="O326" s="9">
        <v>44</v>
      </c>
      <c r="P326" s="9">
        <v>44</v>
      </c>
      <c r="Q326" s="9">
        <v>163</v>
      </c>
      <c r="R326" s="9">
        <v>104</v>
      </c>
      <c r="S326" s="9">
        <v>45</v>
      </c>
      <c r="T326" s="9">
        <v>36</v>
      </c>
      <c r="U326" s="9">
        <v>115</v>
      </c>
      <c r="V326" s="9">
        <v>86</v>
      </c>
      <c r="W326" s="9">
        <v>19</v>
      </c>
      <c r="X326" s="9">
        <v>67</v>
      </c>
      <c r="Y326" s="9">
        <v>19</v>
      </c>
      <c r="Z326" s="9">
        <v>86</v>
      </c>
      <c r="AA326" s="9">
        <v>67</v>
      </c>
      <c r="AB326" s="9">
        <v>9</v>
      </c>
      <c r="AC326" s="9">
        <v>28</v>
      </c>
      <c r="AD326" s="9">
        <v>19</v>
      </c>
      <c r="AE326" s="9">
        <v>9</v>
      </c>
      <c r="AF326" s="9">
        <v>9</v>
      </c>
      <c r="AG326" s="9">
        <v>38</v>
      </c>
      <c r="AH326" s="9">
        <v>9</v>
      </c>
      <c r="AI326" s="9">
        <v>19</v>
      </c>
      <c r="AJ326" s="9">
        <v>9</v>
      </c>
      <c r="AK326" s="9">
        <v>38</v>
      </c>
      <c r="AL326" s="9">
        <v>57</v>
      </c>
      <c r="AM326" s="9">
        <v>28</v>
      </c>
      <c r="AN326" s="9">
        <v>0</v>
      </c>
      <c r="AO326" s="9">
        <v>9</v>
      </c>
      <c r="AP326" s="9">
        <v>28</v>
      </c>
      <c r="AQ326" s="9">
        <v>38</v>
      </c>
      <c r="AR326" s="9">
        <v>77</v>
      </c>
      <c r="AS326" s="9">
        <v>19</v>
      </c>
      <c r="AT326" s="9">
        <v>38</v>
      </c>
      <c r="AU326" s="9">
        <v>28</v>
      </c>
      <c r="AV326" s="9">
        <v>0</v>
      </c>
      <c r="AW326" s="9">
        <v>19</v>
      </c>
      <c r="AX326" s="9">
        <v>19</v>
      </c>
      <c r="AY326" s="9">
        <v>9</v>
      </c>
      <c r="AZ326" s="9">
        <v>63</v>
      </c>
      <c r="BA326" s="10">
        <v>123.53</v>
      </c>
      <c r="BB326" s="11">
        <v>43056.93</v>
      </c>
      <c r="BC326" s="11">
        <v>27860.36</v>
      </c>
      <c r="BD326" s="11">
        <v>16462.939999999999</v>
      </c>
      <c r="BE326" s="11">
        <v>10131.040000000001</v>
      </c>
      <c r="BF326" s="11">
        <v>29126.74</v>
      </c>
      <c r="BG326" s="11">
        <v>11500</v>
      </c>
      <c r="BH326" s="11">
        <v>7500</v>
      </c>
      <c r="BI326" s="11">
        <v>7121</v>
      </c>
      <c r="BJ326" s="11">
        <v>11073</v>
      </c>
      <c r="BK326" s="11">
        <v>70082</v>
      </c>
      <c r="BL326" s="11">
        <v>53709</v>
      </c>
      <c r="BM326" s="11">
        <v>45010</v>
      </c>
      <c r="BN326" s="11">
        <v>28681</v>
      </c>
      <c r="BO326" s="9">
        <v>204000</v>
      </c>
      <c r="BP326" s="9">
        <v>2608</v>
      </c>
    </row>
    <row r="327" spans="1:68" x14ac:dyDescent="0.3">
      <c r="A327" s="7">
        <v>45617</v>
      </c>
      <c r="B327" s="7" t="str">
        <f t="shared" si="5"/>
        <v>NOVEMBER</v>
      </c>
      <c r="C327" s="8">
        <f>MONTH(Data!$A327)</f>
        <v>11</v>
      </c>
      <c r="D327" s="9">
        <v>1204</v>
      </c>
      <c r="E327" s="9">
        <v>936</v>
      </c>
      <c r="F327" s="9">
        <v>325</v>
      </c>
      <c r="G327" s="9">
        <v>771</v>
      </c>
      <c r="H327" s="9">
        <v>108</v>
      </c>
      <c r="I327" s="9">
        <v>196</v>
      </c>
      <c r="J327" s="9">
        <v>563</v>
      </c>
      <c r="K327" s="9">
        <v>177</v>
      </c>
      <c r="L327" s="9">
        <v>306</v>
      </c>
      <c r="M327" s="9">
        <v>82</v>
      </c>
      <c r="N327" s="9">
        <v>111</v>
      </c>
      <c r="O327" s="9">
        <v>97</v>
      </c>
      <c r="P327" s="9">
        <v>22</v>
      </c>
      <c r="Q327" s="9">
        <v>233</v>
      </c>
      <c r="R327" s="9">
        <v>123</v>
      </c>
      <c r="S327" s="9">
        <v>50</v>
      </c>
      <c r="T327" s="9">
        <v>36</v>
      </c>
      <c r="U327" s="9">
        <v>144</v>
      </c>
      <c r="V327" s="9">
        <v>131</v>
      </c>
      <c r="W327" s="9">
        <v>0</v>
      </c>
      <c r="X327" s="9">
        <v>65</v>
      </c>
      <c r="Y327" s="9">
        <v>9</v>
      </c>
      <c r="Z327" s="9">
        <v>102</v>
      </c>
      <c r="AA327" s="9">
        <v>46</v>
      </c>
      <c r="AB327" s="9">
        <v>0</v>
      </c>
      <c r="AC327" s="9">
        <v>28</v>
      </c>
      <c r="AD327" s="9">
        <v>56</v>
      </c>
      <c r="AE327" s="9">
        <v>28</v>
      </c>
      <c r="AF327" s="9">
        <v>9</v>
      </c>
      <c r="AG327" s="9">
        <v>9</v>
      </c>
      <c r="AH327" s="9">
        <v>0</v>
      </c>
      <c r="AI327" s="9">
        <v>0</v>
      </c>
      <c r="AJ327" s="9">
        <v>28</v>
      </c>
      <c r="AK327" s="9">
        <v>37</v>
      </c>
      <c r="AL327" s="9">
        <v>46</v>
      </c>
      <c r="AM327" s="9">
        <v>9</v>
      </c>
      <c r="AN327" s="9">
        <v>0</v>
      </c>
      <c r="AO327" s="9">
        <v>9</v>
      </c>
      <c r="AP327" s="9">
        <v>9</v>
      </c>
      <c r="AQ327" s="9">
        <v>18</v>
      </c>
      <c r="AR327" s="9">
        <v>65</v>
      </c>
      <c r="AS327" s="9">
        <v>18</v>
      </c>
      <c r="AT327" s="9">
        <v>28</v>
      </c>
      <c r="AU327" s="9">
        <v>28</v>
      </c>
      <c r="AV327" s="9">
        <v>9</v>
      </c>
      <c r="AW327" s="9">
        <v>9</v>
      </c>
      <c r="AX327" s="9">
        <v>0</v>
      </c>
      <c r="AY327" s="9">
        <v>37</v>
      </c>
      <c r="AZ327" s="9">
        <v>103</v>
      </c>
      <c r="BA327" s="10">
        <v>123.14999999999999</v>
      </c>
      <c r="BB327" s="11">
        <v>38292.79</v>
      </c>
      <c r="BC327" s="11">
        <v>25940.28</v>
      </c>
      <c r="BD327" s="11">
        <v>28410.78</v>
      </c>
      <c r="BE327" s="11">
        <v>29646.03</v>
      </c>
      <c r="BF327" s="11">
        <v>1235.25</v>
      </c>
      <c r="BG327" s="11">
        <v>11500</v>
      </c>
      <c r="BH327" s="11">
        <v>7500</v>
      </c>
      <c r="BI327" s="11">
        <v>7121</v>
      </c>
      <c r="BJ327" s="11">
        <v>11073</v>
      </c>
      <c r="BK327" s="11">
        <v>70082</v>
      </c>
      <c r="BL327" s="11">
        <v>53709</v>
      </c>
      <c r="BM327" s="11">
        <v>45010</v>
      </c>
      <c r="BN327" s="11">
        <v>28681</v>
      </c>
      <c r="BO327" s="9">
        <v>204000</v>
      </c>
      <c r="BP327" s="9">
        <v>3126</v>
      </c>
    </row>
    <row r="328" spans="1:68" x14ac:dyDescent="0.3">
      <c r="A328" s="7">
        <v>45618</v>
      </c>
      <c r="B328" s="7" t="str">
        <f t="shared" si="5"/>
        <v>NOVEMBER</v>
      </c>
      <c r="C328" s="8">
        <f>MONTH(Data!$A328)</f>
        <v>11</v>
      </c>
      <c r="D328" s="9">
        <v>1213</v>
      </c>
      <c r="E328" s="9">
        <v>903</v>
      </c>
      <c r="F328" s="9">
        <v>509</v>
      </c>
      <c r="G328" s="9">
        <v>607</v>
      </c>
      <c r="H328" s="9">
        <v>97</v>
      </c>
      <c r="I328" s="9">
        <v>316</v>
      </c>
      <c r="J328" s="9">
        <v>380</v>
      </c>
      <c r="K328" s="9">
        <v>207</v>
      </c>
      <c r="L328" s="9">
        <v>376</v>
      </c>
      <c r="M328" s="9">
        <v>195</v>
      </c>
      <c r="N328" s="9">
        <v>112</v>
      </c>
      <c r="O328" s="9">
        <v>75</v>
      </c>
      <c r="P328" s="9">
        <v>37</v>
      </c>
      <c r="Q328" s="9">
        <v>198</v>
      </c>
      <c r="R328" s="9">
        <v>78</v>
      </c>
      <c r="S328" s="9">
        <v>64</v>
      </c>
      <c r="T328" s="9">
        <v>23</v>
      </c>
      <c r="U328" s="9">
        <v>55</v>
      </c>
      <c r="V328" s="9">
        <v>45</v>
      </c>
      <c r="W328" s="9">
        <v>9</v>
      </c>
      <c r="X328" s="9">
        <v>54</v>
      </c>
      <c r="Y328" s="9">
        <v>0</v>
      </c>
      <c r="Z328" s="9">
        <v>135</v>
      </c>
      <c r="AA328" s="9">
        <v>72</v>
      </c>
      <c r="AB328" s="9">
        <v>9</v>
      </c>
      <c r="AC328" s="9">
        <v>9</v>
      </c>
      <c r="AD328" s="9">
        <v>18</v>
      </c>
      <c r="AE328" s="9">
        <v>18</v>
      </c>
      <c r="AF328" s="9">
        <v>0</v>
      </c>
      <c r="AG328" s="9">
        <v>36</v>
      </c>
      <c r="AH328" s="9">
        <v>9</v>
      </c>
      <c r="AI328" s="9">
        <v>9</v>
      </c>
      <c r="AJ328" s="9">
        <v>18</v>
      </c>
      <c r="AK328" s="9">
        <v>36</v>
      </c>
      <c r="AL328" s="9">
        <v>9</v>
      </c>
      <c r="AM328" s="9">
        <v>27</v>
      </c>
      <c r="AN328" s="9">
        <v>0</v>
      </c>
      <c r="AO328" s="9">
        <v>0</v>
      </c>
      <c r="AP328" s="9">
        <v>36</v>
      </c>
      <c r="AQ328" s="9">
        <v>27</v>
      </c>
      <c r="AR328" s="9">
        <v>63</v>
      </c>
      <c r="AS328" s="9">
        <v>9</v>
      </c>
      <c r="AT328" s="9">
        <v>54</v>
      </c>
      <c r="AU328" s="9">
        <v>45</v>
      </c>
      <c r="AV328" s="9">
        <v>0</v>
      </c>
      <c r="AW328" s="9">
        <v>18</v>
      </c>
      <c r="AX328" s="9">
        <v>18</v>
      </c>
      <c r="AY328" s="9">
        <v>9</v>
      </c>
      <c r="AZ328" s="9">
        <v>111</v>
      </c>
      <c r="BA328" s="10">
        <v>124.63</v>
      </c>
      <c r="BB328" s="11">
        <v>40639.879999999997</v>
      </c>
      <c r="BC328" s="11">
        <v>19704.18</v>
      </c>
      <c r="BD328" s="11">
        <v>20935.7</v>
      </c>
      <c r="BE328" s="11">
        <v>17241.16</v>
      </c>
      <c r="BF328" s="11">
        <v>24630.23</v>
      </c>
      <c r="BG328" s="11">
        <v>11500</v>
      </c>
      <c r="BH328" s="11">
        <v>7500</v>
      </c>
      <c r="BI328" s="11">
        <v>7121</v>
      </c>
      <c r="BJ328" s="11">
        <v>8058</v>
      </c>
      <c r="BK328" s="11">
        <v>70082</v>
      </c>
      <c r="BL328" s="11">
        <v>53709</v>
      </c>
      <c r="BM328" s="11">
        <v>45010</v>
      </c>
      <c r="BN328" s="11">
        <v>28681</v>
      </c>
      <c r="BO328" s="9">
        <v>204000</v>
      </c>
      <c r="BP328" s="9">
        <v>2995</v>
      </c>
    </row>
    <row r="329" spans="1:68" x14ac:dyDescent="0.3">
      <c r="A329" s="7">
        <v>45619</v>
      </c>
      <c r="B329" s="7" t="str">
        <f t="shared" si="5"/>
        <v>NOVEMBER</v>
      </c>
      <c r="C329" s="8">
        <f>MONTH(Data!$A329)</f>
        <v>11</v>
      </c>
      <c r="D329" s="9">
        <v>1215</v>
      </c>
      <c r="E329" s="9">
        <v>870</v>
      </c>
      <c r="F329" s="9">
        <v>473</v>
      </c>
      <c r="G329" s="9">
        <v>670</v>
      </c>
      <c r="H329" s="9">
        <v>72</v>
      </c>
      <c r="I329" s="9">
        <v>182</v>
      </c>
      <c r="J329" s="9">
        <v>471</v>
      </c>
      <c r="K329" s="9">
        <v>217</v>
      </c>
      <c r="L329" s="9">
        <v>308</v>
      </c>
      <c r="M329" s="9">
        <v>60</v>
      </c>
      <c r="N329" s="9">
        <v>112</v>
      </c>
      <c r="O329" s="9">
        <v>52</v>
      </c>
      <c r="P329" s="9">
        <v>22</v>
      </c>
      <c r="Q329" s="9">
        <v>221</v>
      </c>
      <c r="R329" s="9">
        <v>106</v>
      </c>
      <c r="S329" s="9">
        <v>64</v>
      </c>
      <c r="T329" s="9">
        <v>64</v>
      </c>
      <c r="U329" s="9">
        <v>206</v>
      </c>
      <c r="V329" s="9">
        <v>104</v>
      </c>
      <c r="W329" s="9">
        <v>26</v>
      </c>
      <c r="X329" s="9">
        <v>26</v>
      </c>
      <c r="Y329" s="9">
        <v>26</v>
      </c>
      <c r="Z329" s="9">
        <v>69</v>
      </c>
      <c r="AA329" s="9">
        <v>78</v>
      </c>
      <c r="AB329" s="9">
        <v>8</v>
      </c>
      <c r="AC329" s="9">
        <v>8</v>
      </c>
      <c r="AD329" s="9">
        <v>34</v>
      </c>
      <c r="AE329" s="9">
        <v>17</v>
      </c>
      <c r="AF329" s="9">
        <v>0</v>
      </c>
      <c r="AG329" s="9">
        <v>17</v>
      </c>
      <c r="AH329" s="9">
        <v>8</v>
      </c>
      <c r="AI329" s="9">
        <v>26</v>
      </c>
      <c r="AJ329" s="9">
        <v>8</v>
      </c>
      <c r="AK329" s="9">
        <v>43</v>
      </c>
      <c r="AL329" s="9">
        <v>17</v>
      </c>
      <c r="AM329" s="9">
        <v>26</v>
      </c>
      <c r="AN329" s="9">
        <v>17</v>
      </c>
      <c r="AO329" s="9">
        <v>0</v>
      </c>
      <c r="AP329" s="9">
        <v>8</v>
      </c>
      <c r="AQ329" s="9">
        <v>8</v>
      </c>
      <c r="AR329" s="9">
        <v>69</v>
      </c>
      <c r="AS329" s="9">
        <v>26</v>
      </c>
      <c r="AT329" s="9">
        <v>26</v>
      </c>
      <c r="AU329" s="9">
        <v>34</v>
      </c>
      <c r="AV329" s="9">
        <v>0</v>
      </c>
      <c r="AW329" s="9">
        <v>26</v>
      </c>
      <c r="AX329" s="9">
        <v>34</v>
      </c>
      <c r="AY329" s="9">
        <v>8</v>
      </c>
      <c r="AZ329" s="9">
        <v>73</v>
      </c>
      <c r="BA329" s="10">
        <v>127.86999999999999</v>
      </c>
      <c r="BB329" s="11">
        <v>43623.93</v>
      </c>
      <c r="BC329" s="11">
        <v>17449.57</v>
      </c>
      <c r="BD329" s="11">
        <v>19942.37</v>
      </c>
      <c r="BE329" s="11">
        <v>31159.95</v>
      </c>
      <c r="BF329" s="11">
        <v>12463.98</v>
      </c>
      <c r="BG329" s="11">
        <v>11500</v>
      </c>
      <c r="BH329" s="11">
        <v>7500</v>
      </c>
      <c r="BI329" s="11">
        <v>7121</v>
      </c>
      <c r="BJ329" s="11">
        <v>8058</v>
      </c>
      <c r="BK329" s="11">
        <v>70082</v>
      </c>
      <c r="BL329" s="11">
        <v>53709</v>
      </c>
      <c r="BM329" s="11">
        <v>45010</v>
      </c>
      <c r="BN329" s="11">
        <v>28681</v>
      </c>
      <c r="BO329" s="9">
        <v>204000</v>
      </c>
      <c r="BP329" s="9">
        <v>5064</v>
      </c>
    </row>
    <row r="330" spans="1:68" x14ac:dyDescent="0.3">
      <c r="A330" s="7">
        <v>45620</v>
      </c>
      <c r="B330" s="7" t="str">
        <f t="shared" si="5"/>
        <v>NOVEMBER</v>
      </c>
      <c r="C330" s="8">
        <f>MONTH(Data!$A330)</f>
        <v>11</v>
      </c>
      <c r="D330" s="9">
        <v>1216</v>
      </c>
      <c r="E330" s="9">
        <v>834</v>
      </c>
      <c r="F330" s="9">
        <v>425</v>
      </c>
      <c r="G330" s="9">
        <v>609</v>
      </c>
      <c r="H330" s="9">
        <v>182</v>
      </c>
      <c r="I330" s="9">
        <v>425</v>
      </c>
      <c r="J330" s="9">
        <v>268</v>
      </c>
      <c r="K330" s="9">
        <v>141</v>
      </c>
      <c r="L330" s="9">
        <v>271</v>
      </c>
      <c r="M330" s="9">
        <v>113</v>
      </c>
      <c r="N330" s="9">
        <v>82</v>
      </c>
      <c r="O330" s="9">
        <v>105</v>
      </c>
      <c r="P330" s="9">
        <v>37</v>
      </c>
      <c r="Q330" s="9">
        <v>240</v>
      </c>
      <c r="R330" s="9">
        <v>73</v>
      </c>
      <c r="S330" s="9">
        <v>55</v>
      </c>
      <c r="T330" s="9">
        <v>55</v>
      </c>
      <c r="U330" s="9">
        <v>185</v>
      </c>
      <c r="V330" s="9">
        <v>75</v>
      </c>
      <c r="W330" s="9">
        <v>16</v>
      </c>
      <c r="X330" s="9">
        <v>50</v>
      </c>
      <c r="Y330" s="9">
        <v>16</v>
      </c>
      <c r="Z330" s="9">
        <v>1</v>
      </c>
      <c r="AA330" s="9">
        <v>75</v>
      </c>
      <c r="AB330" s="9">
        <v>16</v>
      </c>
      <c r="AC330" s="9">
        <v>8</v>
      </c>
      <c r="AD330" s="9">
        <v>41</v>
      </c>
      <c r="AE330" s="9">
        <v>16</v>
      </c>
      <c r="AF330" s="9">
        <v>8</v>
      </c>
      <c r="AG330" s="9">
        <v>8</v>
      </c>
      <c r="AH330" s="9">
        <v>0</v>
      </c>
      <c r="AI330" s="9">
        <v>16</v>
      </c>
      <c r="AJ330" s="9">
        <v>25</v>
      </c>
      <c r="AK330" s="9">
        <v>50</v>
      </c>
      <c r="AL330" s="9">
        <v>58</v>
      </c>
      <c r="AM330" s="9">
        <v>16</v>
      </c>
      <c r="AN330" s="9">
        <v>25</v>
      </c>
      <c r="AO330" s="9">
        <v>8</v>
      </c>
      <c r="AP330" s="9">
        <v>25</v>
      </c>
      <c r="AQ330" s="9">
        <v>16</v>
      </c>
      <c r="AR330" s="9">
        <v>58</v>
      </c>
      <c r="AS330" s="9">
        <v>16</v>
      </c>
      <c r="AT330" s="9">
        <v>75</v>
      </c>
      <c r="AU330" s="9">
        <v>33</v>
      </c>
      <c r="AV330" s="9">
        <v>0</v>
      </c>
      <c r="AW330" s="9">
        <v>50</v>
      </c>
      <c r="AX330" s="9">
        <v>0</v>
      </c>
      <c r="AY330" s="9">
        <v>33</v>
      </c>
      <c r="AZ330" s="9">
        <v>0</v>
      </c>
      <c r="BA330" s="10">
        <v>132.62</v>
      </c>
      <c r="BB330" s="11">
        <v>39638.160000000003</v>
      </c>
      <c r="BC330" s="11">
        <v>25573</v>
      </c>
      <c r="BD330" s="11">
        <v>21737.05</v>
      </c>
      <c r="BE330" s="11">
        <v>12786.5</v>
      </c>
      <c r="BF330" s="11">
        <v>28130.3</v>
      </c>
      <c r="BG330" s="11">
        <v>11500</v>
      </c>
      <c r="BH330" s="11">
        <v>7500</v>
      </c>
      <c r="BI330" s="11">
        <v>6497</v>
      </c>
      <c r="BJ330" s="11">
        <v>8058</v>
      </c>
      <c r="BK330" s="11">
        <v>70082</v>
      </c>
      <c r="BL330" s="11">
        <v>53709</v>
      </c>
      <c r="BM330" s="11">
        <v>45010</v>
      </c>
      <c r="BN330" s="11">
        <v>28681</v>
      </c>
      <c r="BO330" s="9">
        <v>204000</v>
      </c>
      <c r="BP330" s="9">
        <v>253</v>
      </c>
    </row>
    <row r="331" spans="1:68" x14ac:dyDescent="0.3">
      <c r="A331" s="7">
        <v>45621</v>
      </c>
      <c r="B331" s="7" t="str">
        <f t="shared" si="5"/>
        <v>NOVEMBER</v>
      </c>
      <c r="C331" s="8">
        <f>MONTH(Data!$A331)</f>
        <v>11</v>
      </c>
      <c r="D331" s="9">
        <v>1210</v>
      </c>
      <c r="E331" s="9">
        <v>797</v>
      </c>
      <c r="F331" s="9">
        <v>544</v>
      </c>
      <c r="G331" s="9">
        <v>545</v>
      </c>
      <c r="H331" s="9">
        <v>121</v>
      </c>
      <c r="I331" s="9">
        <v>382</v>
      </c>
      <c r="J331" s="9">
        <v>312</v>
      </c>
      <c r="K331" s="9">
        <v>103</v>
      </c>
      <c r="L331" s="9">
        <v>330</v>
      </c>
      <c r="M331" s="9">
        <v>262</v>
      </c>
      <c r="N331" s="9">
        <v>90</v>
      </c>
      <c r="O331" s="9">
        <v>37</v>
      </c>
      <c r="P331" s="9">
        <v>15</v>
      </c>
      <c r="Q331" s="9">
        <v>252</v>
      </c>
      <c r="R331" s="9">
        <v>156</v>
      </c>
      <c r="S331" s="9">
        <v>36</v>
      </c>
      <c r="T331" s="9">
        <v>32</v>
      </c>
      <c r="U331" s="9">
        <v>0</v>
      </c>
      <c r="V331" s="9">
        <v>79</v>
      </c>
      <c r="W331" s="9">
        <v>7</v>
      </c>
      <c r="X331" s="9">
        <v>47</v>
      </c>
      <c r="Y331" s="9">
        <v>7</v>
      </c>
      <c r="Z331" s="9">
        <v>79</v>
      </c>
      <c r="AA331" s="9">
        <v>63</v>
      </c>
      <c r="AB331" s="9">
        <v>23</v>
      </c>
      <c r="AC331" s="9">
        <v>15</v>
      </c>
      <c r="AD331" s="9">
        <v>47</v>
      </c>
      <c r="AE331" s="9">
        <v>0</v>
      </c>
      <c r="AF331" s="9">
        <v>0</v>
      </c>
      <c r="AG331" s="9">
        <v>31</v>
      </c>
      <c r="AH331" s="9">
        <v>0</v>
      </c>
      <c r="AI331" s="9">
        <v>15</v>
      </c>
      <c r="AJ331" s="9">
        <v>7</v>
      </c>
      <c r="AK331" s="9">
        <v>79</v>
      </c>
      <c r="AL331" s="9">
        <v>15</v>
      </c>
      <c r="AM331" s="9">
        <v>23</v>
      </c>
      <c r="AN331" s="9">
        <v>23</v>
      </c>
      <c r="AO331" s="9">
        <v>7</v>
      </c>
      <c r="AP331" s="9">
        <v>15</v>
      </c>
      <c r="AQ331" s="9">
        <v>7</v>
      </c>
      <c r="AR331" s="9">
        <v>0</v>
      </c>
      <c r="AS331" s="9">
        <v>23</v>
      </c>
      <c r="AT331" s="9">
        <v>55</v>
      </c>
      <c r="AU331" s="9">
        <v>31</v>
      </c>
      <c r="AV331" s="9">
        <v>7</v>
      </c>
      <c r="AW331" s="9">
        <v>46</v>
      </c>
      <c r="AX331" s="9">
        <v>23</v>
      </c>
      <c r="AY331" s="9">
        <v>23</v>
      </c>
      <c r="AZ331" s="9">
        <v>0</v>
      </c>
      <c r="BA331" s="10">
        <v>137.85</v>
      </c>
      <c r="BB331" s="11">
        <v>45087.58</v>
      </c>
      <c r="BC331" s="11">
        <v>17239.37</v>
      </c>
      <c r="BD331" s="11">
        <v>25196</v>
      </c>
      <c r="BE331" s="11">
        <v>23869.89</v>
      </c>
      <c r="BF331" s="11">
        <v>21217.68</v>
      </c>
      <c r="BG331" s="11">
        <v>11500</v>
      </c>
      <c r="BH331" s="11">
        <v>7500</v>
      </c>
      <c r="BI331" s="11">
        <v>6497</v>
      </c>
      <c r="BJ331" s="11">
        <v>8058</v>
      </c>
      <c r="BK331" s="11">
        <v>70082</v>
      </c>
      <c r="BL331" s="11">
        <v>53709</v>
      </c>
      <c r="BM331" s="11">
        <v>45010</v>
      </c>
      <c r="BN331" s="11">
        <v>28681</v>
      </c>
      <c r="BO331" s="9">
        <v>204000</v>
      </c>
      <c r="BP331" s="9">
        <v>5356</v>
      </c>
    </row>
    <row r="332" spans="1:68" x14ac:dyDescent="0.3">
      <c r="A332" s="7">
        <v>45622</v>
      </c>
      <c r="B332" s="7" t="str">
        <f t="shared" si="5"/>
        <v>NOVEMBER</v>
      </c>
      <c r="C332" s="8">
        <f>MONTH(Data!$A332)</f>
        <v>11</v>
      </c>
      <c r="D332" s="9">
        <v>1193</v>
      </c>
      <c r="E332" s="9">
        <v>761</v>
      </c>
      <c r="F332" s="9">
        <v>381</v>
      </c>
      <c r="G332" s="9">
        <v>717</v>
      </c>
      <c r="H332" s="9">
        <v>95</v>
      </c>
      <c r="I332" s="9">
        <v>403</v>
      </c>
      <c r="J332" s="9">
        <v>244</v>
      </c>
      <c r="K332" s="9">
        <v>114</v>
      </c>
      <c r="L332" s="9">
        <v>406</v>
      </c>
      <c r="M332" s="9">
        <v>207</v>
      </c>
      <c r="N332" s="9">
        <v>103</v>
      </c>
      <c r="O332" s="9">
        <v>36</v>
      </c>
      <c r="P332" s="9">
        <v>44</v>
      </c>
      <c r="Q332" s="9">
        <v>222</v>
      </c>
      <c r="R332" s="9">
        <v>54</v>
      </c>
      <c r="S332" s="9">
        <v>36</v>
      </c>
      <c r="T332" s="9">
        <v>54</v>
      </c>
      <c r="U332" s="9">
        <v>31</v>
      </c>
      <c r="V332" s="9">
        <v>76</v>
      </c>
      <c r="W332" s="9">
        <v>22</v>
      </c>
      <c r="X332" s="9">
        <v>45</v>
      </c>
      <c r="Y332" s="9">
        <v>22</v>
      </c>
      <c r="Z332" s="9">
        <v>91</v>
      </c>
      <c r="AA332" s="9">
        <v>45</v>
      </c>
      <c r="AB332" s="9">
        <v>22</v>
      </c>
      <c r="AC332" s="9">
        <v>0</v>
      </c>
      <c r="AD332" s="9">
        <v>15</v>
      </c>
      <c r="AE332" s="9">
        <v>7</v>
      </c>
      <c r="AF332" s="9">
        <v>7</v>
      </c>
      <c r="AG332" s="9">
        <v>15</v>
      </c>
      <c r="AH332" s="9">
        <v>7</v>
      </c>
      <c r="AI332" s="9">
        <v>0</v>
      </c>
      <c r="AJ332" s="9">
        <v>7</v>
      </c>
      <c r="AK332" s="9">
        <v>30</v>
      </c>
      <c r="AL332" s="9">
        <v>38</v>
      </c>
      <c r="AM332" s="9">
        <v>7</v>
      </c>
      <c r="AN332" s="9">
        <v>22</v>
      </c>
      <c r="AO332" s="9">
        <v>7</v>
      </c>
      <c r="AP332" s="9">
        <v>15</v>
      </c>
      <c r="AQ332" s="9">
        <v>30</v>
      </c>
      <c r="AR332" s="9">
        <v>53</v>
      </c>
      <c r="AS332" s="9">
        <v>15</v>
      </c>
      <c r="AT332" s="9">
        <v>30</v>
      </c>
      <c r="AU332" s="9">
        <v>38</v>
      </c>
      <c r="AV332" s="9">
        <v>0</v>
      </c>
      <c r="AW332" s="9">
        <v>38</v>
      </c>
      <c r="AX332" s="9">
        <v>22</v>
      </c>
      <c r="AY332" s="9">
        <v>0</v>
      </c>
      <c r="AZ332" s="9">
        <v>35</v>
      </c>
      <c r="BA332" s="10">
        <v>142.32999999999998</v>
      </c>
      <c r="BB332" s="11">
        <v>44113.66</v>
      </c>
      <c r="BC332" s="11">
        <v>34463.800000000003</v>
      </c>
      <c r="BD332" s="11">
        <v>19299.73</v>
      </c>
      <c r="BE332" s="11">
        <v>20678.28</v>
      </c>
      <c r="BF332" s="11">
        <v>19299.73</v>
      </c>
      <c r="BG332" s="11">
        <v>11500</v>
      </c>
      <c r="BH332" s="11">
        <v>7500</v>
      </c>
      <c r="BI332" s="11">
        <v>6497</v>
      </c>
      <c r="BJ332" s="11">
        <v>8058</v>
      </c>
      <c r="BK332" s="11">
        <v>70082</v>
      </c>
      <c r="BL332" s="11">
        <v>53709</v>
      </c>
      <c r="BM332" s="11">
        <v>45010</v>
      </c>
      <c r="BN332" s="11">
        <v>28681</v>
      </c>
      <c r="BO332" s="9">
        <v>204000</v>
      </c>
      <c r="BP332" s="9">
        <v>7722</v>
      </c>
    </row>
    <row r="333" spans="1:68" x14ac:dyDescent="0.3">
      <c r="A333" s="7">
        <v>45623</v>
      </c>
      <c r="B333" s="7" t="str">
        <f t="shared" si="5"/>
        <v>NOVEMBER</v>
      </c>
      <c r="C333" s="8">
        <f>MONTH(Data!$A333)</f>
        <v>11</v>
      </c>
      <c r="D333" s="9">
        <v>1172</v>
      </c>
      <c r="E333" s="9">
        <v>739</v>
      </c>
      <c r="F333" s="9">
        <v>550</v>
      </c>
      <c r="G333" s="9">
        <v>494</v>
      </c>
      <c r="H333" s="9">
        <v>128</v>
      </c>
      <c r="I333" s="9">
        <v>147</v>
      </c>
      <c r="J333" s="9">
        <v>445</v>
      </c>
      <c r="K333" s="9">
        <v>147</v>
      </c>
      <c r="L333" s="9">
        <v>356</v>
      </c>
      <c r="M333" s="9">
        <v>43</v>
      </c>
      <c r="N333" s="9">
        <v>72</v>
      </c>
      <c r="O333" s="9">
        <v>101</v>
      </c>
      <c r="P333" s="9">
        <v>43</v>
      </c>
      <c r="Q333" s="9">
        <v>195</v>
      </c>
      <c r="R333" s="9">
        <v>146</v>
      </c>
      <c r="S333" s="9">
        <v>53</v>
      </c>
      <c r="T333" s="9">
        <v>53</v>
      </c>
      <c r="U333" s="9">
        <v>110</v>
      </c>
      <c r="V333" s="9">
        <v>73</v>
      </c>
      <c r="W333" s="9">
        <v>7</v>
      </c>
      <c r="X333" s="9">
        <v>22</v>
      </c>
      <c r="Y333" s="9">
        <v>0</v>
      </c>
      <c r="Z333" s="9">
        <v>103</v>
      </c>
      <c r="AA333" s="9">
        <v>66</v>
      </c>
      <c r="AB333" s="9">
        <v>22</v>
      </c>
      <c r="AC333" s="9">
        <v>14</v>
      </c>
      <c r="AD333" s="9">
        <v>14</v>
      </c>
      <c r="AE333" s="9">
        <v>7</v>
      </c>
      <c r="AF333" s="9">
        <v>7</v>
      </c>
      <c r="AG333" s="9">
        <v>7</v>
      </c>
      <c r="AH333" s="9">
        <v>14</v>
      </c>
      <c r="AI333" s="9">
        <v>0</v>
      </c>
      <c r="AJ333" s="9">
        <v>22</v>
      </c>
      <c r="AK333" s="9">
        <v>44</v>
      </c>
      <c r="AL333" s="9">
        <v>36</v>
      </c>
      <c r="AM333" s="9">
        <v>7</v>
      </c>
      <c r="AN333" s="9">
        <v>0</v>
      </c>
      <c r="AO333" s="9">
        <v>0</v>
      </c>
      <c r="AP333" s="9">
        <v>14</v>
      </c>
      <c r="AQ333" s="9">
        <v>7</v>
      </c>
      <c r="AR333" s="9">
        <v>59</v>
      </c>
      <c r="AS333" s="9">
        <v>22</v>
      </c>
      <c r="AT333" s="9">
        <v>22</v>
      </c>
      <c r="AU333" s="9">
        <v>22</v>
      </c>
      <c r="AV333" s="9">
        <v>0</v>
      </c>
      <c r="AW333" s="9">
        <v>22</v>
      </c>
      <c r="AX333" s="9">
        <v>29</v>
      </c>
      <c r="AY333" s="9">
        <v>7</v>
      </c>
      <c r="AZ333" s="9">
        <v>70</v>
      </c>
      <c r="BA333" s="10">
        <v>143.97</v>
      </c>
      <c r="BB333" s="11">
        <v>46966.91</v>
      </c>
      <c r="BC333" s="11">
        <v>19925.36</v>
      </c>
      <c r="BD333" s="11">
        <v>18502.12</v>
      </c>
      <c r="BE333" s="11">
        <v>22771.84</v>
      </c>
      <c r="BF333" s="11">
        <v>34157.75</v>
      </c>
      <c r="BG333" s="11">
        <v>11500</v>
      </c>
      <c r="BH333" s="11">
        <v>7500</v>
      </c>
      <c r="BI333" s="11">
        <v>6497</v>
      </c>
      <c r="BJ333" s="11">
        <v>8058</v>
      </c>
      <c r="BK333" s="11">
        <v>70082</v>
      </c>
      <c r="BL333" s="11">
        <v>53709</v>
      </c>
      <c r="BM333" s="11">
        <v>45010</v>
      </c>
      <c r="BN333" s="11">
        <v>28681</v>
      </c>
      <c r="BO333" s="9">
        <v>204000</v>
      </c>
      <c r="BP333" s="9">
        <v>2936</v>
      </c>
    </row>
    <row r="334" spans="1:68" x14ac:dyDescent="0.3">
      <c r="A334" s="7">
        <v>45624</v>
      </c>
      <c r="B334" s="7" t="str">
        <f t="shared" si="5"/>
        <v>NOVEMBER</v>
      </c>
      <c r="C334" s="8">
        <f>MONTH(Data!$A334)</f>
        <v>11</v>
      </c>
      <c r="D334" s="9">
        <v>1146</v>
      </c>
      <c r="E334" s="9">
        <v>712</v>
      </c>
      <c r="F334" s="9">
        <v>263</v>
      </c>
      <c r="G334" s="9">
        <v>826</v>
      </c>
      <c r="H334" s="9">
        <v>57</v>
      </c>
      <c r="I334" s="9">
        <v>213</v>
      </c>
      <c r="J334" s="9">
        <v>321</v>
      </c>
      <c r="K334" s="9">
        <v>178</v>
      </c>
      <c r="L334" s="9">
        <v>241</v>
      </c>
      <c r="M334" s="9">
        <v>206</v>
      </c>
      <c r="N334" s="9">
        <v>63</v>
      </c>
      <c r="O334" s="9">
        <v>85</v>
      </c>
      <c r="P334" s="9">
        <v>56</v>
      </c>
      <c r="Q334" s="9">
        <v>195</v>
      </c>
      <c r="R334" s="9">
        <v>65</v>
      </c>
      <c r="S334" s="9">
        <v>60</v>
      </c>
      <c r="T334" s="9">
        <v>30</v>
      </c>
      <c r="U334" s="9">
        <v>145</v>
      </c>
      <c r="V334" s="9">
        <v>28</v>
      </c>
      <c r="W334" s="9">
        <v>7</v>
      </c>
      <c r="X334" s="9">
        <v>35</v>
      </c>
      <c r="Y334" s="9">
        <v>7</v>
      </c>
      <c r="Z334" s="9">
        <v>59</v>
      </c>
      <c r="AA334" s="9">
        <v>64</v>
      </c>
      <c r="AB334" s="9">
        <v>0</v>
      </c>
      <c r="AC334" s="9">
        <v>21</v>
      </c>
      <c r="AD334" s="9">
        <v>28</v>
      </c>
      <c r="AE334" s="9">
        <v>14</v>
      </c>
      <c r="AF334" s="9">
        <v>0</v>
      </c>
      <c r="AG334" s="9">
        <v>35</v>
      </c>
      <c r="AH334" s="9">
        <v>21</v>
      </c>
      <c r="AI334" s="9">
        <v>21</v>
      </c>
      <c r="AJ334" s="9">
        <v>14</v>
      </c>
      <c r="AK334" s="9">
        <v>35</v>
      </c>
      <c r="AL334" s="9">
        <v>49</v>
      </c>
      <c r="AM334" s="9">
        <v>28</v>
      </c>
      <c r="AN334" s="9">
        <v>14</v>
      </c>
      <c r="AO334" s="9">
        <v>7</v>
      </c>
      <c r="AP334" s="9">
        <v>14</v>
      </c>
      <c r="AQ334" s="9">
        <v>14</v>
      </c>
      <c r="AR334" s="9">
        <v>78</v>
      </c>
      <c r="AS334" s="9">
        <v>7</v>
      </c>
      <c r="AT334" s="9">
        <v>21</v>
      </c>
      <c r="AU334" s="9">
        <v>21</v>
      </c>
      <c r="AV334" s="9">
        <v>7</v>
      </c>
      <c r="AW334" s="9">
        <v>21</v>
      </c>
      <c r="AX334" s="9">
        <v>28</v>
      </c>
      <c r="AY334" s="9">
        <v>14</v>
      </c>
      <c r="AZ334" s="9">
        <v>0</v>
      </c>
      <c r="BA334" s="10">
        <v>143.97</v>
      </c>
      <c r="BB334" s="11">
        <v>38872.199999999997</v>
      </c>
      <c r="BC334" s="11">
        <v>21595.67</v>
      </c>
      <c r="BD334" s="11">
        <v>21595.67</v>
      </c>
      <c r="BE334" s="11">
        <v>31673.64</v>
      </c>
      <c r="BF334" s="11">
        <v>30233.93</v>
      </c>
      <c r="BG334" s="11">
        <v>11500</v>
      </c>
      <c r="BH334" s="11">
        <v>7500</v>
      </c>
      <c r="BI334" s="11">
        <v>6497</v>
      </c>
      <c r="BJ334" s="11">
        <v>8058</v>
      </c>
      <c r="BK334" s="11">
        <v>70082</v>
      </c>
      <c r="BL334" s="11">
        <v>53709</v>
      </c>
      <c r="BM334" s="11">
        <v>45010</v>
      </c>
      <c r="BN334" s="11">
        <v>28681</v>
      </c>
      <c r="BO334" s="9">
        <v>204000</v>
      </c>
      <c r="BP334" s="9">
        <v>7635</v>
      </c>
    </row>
    <row r="335" spans="1:68" x14ac:dyDescent="0.3">
      <c r="A335" s="7">
        <v>45625</v>
      </c>
      <c r="B335" s="7" t="str">
        <f t="shared" si="5"/>
        <v>NOVEMBER</v>
      </c>
      <c r="C335" s="8">
        <f>MONTH(Data!$A335)</f>
        <v>11</v>
      </c>
      <c r="D335" s="9">
        <v>1123</v>
      </c>
      <c r="E335" s="9">
        <v>697</v>
      </c>
      <c r="F335" s="9">
        <v>404</v>
      </c>
      <c r="G335" s="9">
        <v>596</v>
      </c>
      <c r="H335" s="9">
        <v>123</v>
      </c>
      <c r="I335" s="9">
        <v>285</v>
      </c>
      <c r="J335" s="9">
        <v>350</v>
      </c>
      <c r="K335" s="9">
        <v>62</v>
      </c>
      <c r="L335" s="9">
        <v>316</v>
      </c>
      <c r="M335" s="9">
        <v>222</v>
      </c>
      <c r="N335" s="9">
        <v>62</v>
      </c>
      <c r="O335" s="9">
        <v>90</v>
      </c>
      <c r="P335" s="9">
        <v>69</v>
      </c>
      <c r="Q335" s="9">
        <v>221</v>
      </c>
      <c r="R335" s="9">
        <v>46</v>
      </c>
      <c r="S335" s="9">
        <v>46</v>
      </c>
      <c r="T335" s="9">
        <v>51</v>
      </c>
      <c r="U335" s="9">
        <v>0</v>
      </c>
      <c r="V335" s="9">
        <v>76</v>
      </c>
      <c r="W335" s="9">
        <v>0</v>
      </c>
      <c r="X335" s="9">
        <v>48</v>
      </c>
      <c r="Y335" s="9">
        <v>13</v>
      </c>
      <c r="Z335" s="9">
        <v>76</v>
      </c>
      <c r="AA335" s="9">
        <v>55</v>
      </c>
      <c r="AB335" s="9">
        <v>6</v>
      </c>
      <c r="AC335" s="9">
        <v>0</v>
      </c>
      <c r="AD335" s="9">
        <v>34</v>
      </c>
      <c r="AE335" s="9">
        <v>20</v>
      </c>
      <c r="AF335" s="9">
        <v>0</v>
      </c>
      <c r="AG335" s="9">
        <v>13</v>
      </c>
      <c r="AH335" s="9">
        <v>6</v>
      </c>
      <c r="AI335" s="9">
        <v>13</v>
      </c>
      <c r="AJ335" s="9">
        <v>6</v>
      </c>
      <c r="AK335" s="9">
        <v>27</v>
      </c>
      <c r="AL335" s="9">
        <v>20</v>
      </c>
      <c r="AM335" s="9">
        <v>27</v>
      </c>
      <c r="AN335" s="9">
        <v>6</v>
      </c>
      <c r="AO335" s="9">
        <v>6</v>
      </c>
      <c r="AP335" s="9">
        <v>27</v>
      </c>
      <c r="AQ335" s="9">
        <v>20</v>
      </c>
      <c r="AR335" s="9">
        <v>69</v>
      </c>
      <c r="AS335" s="9">
        <v>13</v>
      </c>
      <c r="AT335" s="9">
        <v>27</v>
      </c>
      <c r="AU335" s="9">
        <v>20</v>
      </c>
      <c r="AV335" s="9">
        <v>6</v>
      </c>
      <c r="AW335" s="9">
        <v>13</v>
      </c>
      <c r="AX335" s="9">
        <v>13</v>
      </c>
      <c r="AY335" s="9">
        <v>6</v>
      </c>
      <c r="AZ335" s="9">
        <v>31</v>
      </c>
      <c r="BA335" s="10">
        <v>140</v>
      </c>
      <c r="BB335" s="11">
        <v>43191.33</v>
      </c>
      <c r="BC335" s="11">
        <v>28794.22</v>
      </c>
      <c r="BD335" s="11">
        <v>24475.09</v>
      </c>
      <c r="BE335" s="11">
        <v>34553.07</v>
      </c>
      <c r="BF335" s="11">
        <v>12957.4</v>
      </c>
      <c r="BG335" s="11">
        <v>11500</v>
      </c>
      <c r="BH335" s="11">
        <v>7500</v>
      </c>
      <c r="BI335" s="11">
        <v>5935</v>
      </c>
      <c r="BJ335" s="11">
        <v>8058</v>
      </c>
      <c r="BK335" s="11">
        <v>70082</v>
      </c>
      <c r="BL335" s="11">
        <v>53709</v>
      </c>
      <c r="BM335" s="11">
        <v>45010</v>
      </c>
      <c r="BN335" s="11">
        <v>28681</v>
      </c>
      <c r="BO335" s="9">
        <v>204000</v>
      </c>
      <c r="BP335" s="9">
        <v>6185</v>
      </c>
    </row>
    <row r="336" spans="1:68" x14ac:dyDescent="0.3">
      <c r="A336" s="7">
        <v>45626</v>
      </c>
      <c r="B336" s="7" t="str">
        <f t="shared" si="5"/>
        <v>NOVEMBER</v>
      </c>
      <c r="C336" s="8">
        <f>MONTH(Data!$A336)</f>
        <v>11</v>
      </c>
      <c r="D336" s="9">
        <v>1105</v>
      </c>
      <c r="E336" s="9">
        <v>684</v>
      </c>
      <c r="F336" s="9">
        <v>265</v>
      </c>
      <c r="G336" s="9">
        <v>564</v>
      </c>
      <c r="H336" s="9">
        <v>276</v>
      </c>
      <c r="I336" s="9">
        <v>259</v>
      </c>
      <c r="J336" s="9">
        <v>275</v>
      </c>
      <c r="K336" s="9">
        <v>150</v>
      </c>
      <c r="L336" s="9">
        <v>267</v>
      </c>
      <c r="M336" s="9">
        <v>239</v>
      </c>
      <c r="N336" s="9">
        <v>89</v>
      </c>
      <c r="O336" s="9">
        <v>89</v>
      </c>
      <c r="P336" s="9">
        <v>27</v>
      </c>
      <c r="Q336" s="9">
        <v>197</v>
      </c>
      <c r="R336" s="9">
        <v>46</v>
      </c>
      <c r="S336" s="9">
        <v>62</v>
      </c>
      <c r="T336" s="9">
        <v>58</v>
      </c>
      <c r="U336" s="9">
        <v>31</v>
      </c>
      <c r="V336" s="9">
        <v>88</v>
      </c>
      <c r="W336" s="9">
        <v>0</v>
      </c>
      <c r="X336" s="9">
        <v>47</v>
      </c>
      <c r="Y336" s="9">
        <v>13</v>
      </c>
      <c r="Z336" s="9">
        <v>61</v>
      </c>
      <c r="AA336" s="9">
        <v>47</v>
      </c>
      <c r="AB336" s="9">
        <v>20</v>
      </c>
      <c r="AC336" s="9">
        <v>6</v>
      </c>
      <c r="AD336" s="9">
        <v>20</v>
      </c>
      <c r="AE336" s="9">
        <v>20</v>
      </c>
      <c r="AF336" s="9">
        <v>6</v>
      </c>
      <c r="AG336" s="9">
        <v>20</v>
      </c>
      <c r="AH336" s="9">
        <v>6</v>
      </c>
      <c r="AI336" s="9">
        <v>0</v>
      </c>
      <c r="AJ336" s="9">
        <v>20</v>
      </c>
      <c r="AK336" s="9">
        <v>61</v>
      </c>
      <c r="AL336" s="9">
        <v>47</v>
      </c>
      <c r="AM336" s="9">
        <v>34</v>
      </c>
      <c r="AN336" s="9">
        <v>13</v>
      </c>
      <c r="AO336" s="9">
        <v>6</v>
      </c>
      <c r="AP336" s="9">
        <v>20</v>
      </c>
      <c r="AQ336" s="9">
        <v>20</v>
      </c>
      <c r="AR336" s="9">
        <v>0</v>
      </c>
      <c r="AS336" s="9">
        <v>13</v>
      </c>
      <c r="AT336" s="9">
        <v>43</v>
      </c>
      <c r="AU336" s="9">
        <v>20</v>
      </c>
      <c r="AV336" s="9">
        <v>0</v>
      </c>
      <c r="AW336" s="9">
        <v>13</v>
      </c>
      <c r="AX336" s="9">
        <v>20</v>
      </c>
      <c r="AY336" s="9">
        <v>0</v>
      </c>
      <c r="AZ336" s="9">
        <v>0</v>
      </c>
      <c r="BA336" s="10">
        <v>140.86000000000001</v>
      </c>
      <c r="BB336" s="11">
        <v>39200</v>
      </c>
      <c r="BC336" s="11">
        <v>22400</v>
      </c>
      <c r="BD336" s="11">
        <v>16800</v>
      </c>
      <c r="BE336" s="11">
        <v>19600</v>
      </c>
      <c r="BF336" s="11">
        <v>42000</v>
      </c>
      <c r="BG336" s="11">
        <v>11500</v>
      </c>
      <c r="BH336" s="11">
        <v>7500</v>
      </c>
      <c r="BI336" s="11">
        <v>5935</v>
      </c>
      <c r="BJ336" s="11">
        <v>8058</v>
      </c>
      <c r="BK336" s="11">
        <v>70082</v>
      </c>
      <c r="BL336" s="11">
        <v>53709</v>
      </c>
      <c r="BM336" s="11">
        <v>45010</v>
      </c>
      <c r="BN336" s="11">
        <v>28681</v>
      </c>
      <c r="BO336" s="9">
        <v>204000</v>
      </c>
      <c r="BP336" s="9">
        <v>1557</v>
      </c>
    </row>
    <row r="337" spans="1:68" x14ac:dyDescent="0.3">
      <c r="A337" s="7">
        <v>45627</v>
      </c>
      <c r="B337" s="7" t="str">
        <f t="shared" si="5"/>
        <v>DECEMBER</v>
      </c>
      <c r="C337" s="8">
        <f>MONTH(Data!$A337)</f>
        <v>12</v>
      </c>
      <c r="D337" s="9">
        <v>1195</v>
      </c>
      <c r="E337" s="9">
        <v>678</v>
      </c>
      <c r="F337" s="9">
        <v>394</v>
      </c>
      <c r="G337" s="9">
        <v>718</v>
      </c>
      <c r="H337" s="9">
        <v>83</v>
      </c>
      <c r="I337" s="9">
        <v>196</v>
      </c>
      <c r="J337" s="9">
        <v>313</v>
      </c>
      <c r="K337" s="9">
        <v>169</v>
      </c>
      <c r="L337" s="9">
        <v>370</v>
      </c>
      <c r="M337" s="9">
        <v>133</v>
      </c>
      <c r="N337" s="9">
        <v>59</v>
      </c>
      <c r="O337" s="9">
        <v>51</v>
      </c>
      <c r="P337" s="9">
        <v>14</v>
      </c>
      <c r="Q337" s="9">
        <v>181</v>
      </c>
      <c r="R337" s="9">
        <v>95</v>
      </c>
      <c r="S337" s="9">
        <v>45</v>
      </c>
      <c r="T337" s="9">
        <v>36</v>
      </c>
      <c r="U337" s="9">
        <v>211</v>
      </c>
      <c r="V337" s="9">
        <v>47</v>
      </c>
      <c r="W337" s="9">
        <v>6</v>
      </c>
      <c r="X337" s="9">
        <v>27</v>
      </c>
      <c r="Y337" s="9">
        <v>20</v>
      </c>
      <c r="Z337" s="9">
        <v>101</v>
      </c>
      <c r="AA337" s="9">
        <v>54</v>
      </c>
      <c r="AB337" s="9">
        <v>0</v>
      </c>
      <c r="AC337" s="9">
        <v>20</v>
      </c>
      <c r="AD337" s="9">
        <v>33</v>
      </c>
      <c r="AE337" s="9">
        <v>13</v>
      </c>
      <c r="AF337" s="9">
        <v>6</v>
      </c>
      <c r="AG337" s="9">
        <v>13</v>
      </c>
      <c r="AH337" s="9">
        <v>6</v>
      </c>
      <c r="AI337" s="9">
        <v>20</v>
      </c>
      <c r="AJ337" s="9">
        <v>0</v>
      </c>
      <c r="AK337" s="9">
        <v>47</v>
      </c>
      <c r="AL337" s="9">
        <v>40</v>
      </c>
      <c r="AM337" s="9">
        <v>13</v>
      </c>
      <c r="AN337" s="9">
        <v>6</v>
      </c>
      <c r="AO337" s="9">
        <v>0</v>
      </c>
      <c r="AP337" s="9">
        <v>0</v>
      </c>
      <c r="AQ337" s="9">
        <v>27</v>
      </c>
      <c r="AR337" s="9">
        <v>54</v>
      </c>
      <c r="AS337" s="9">
        <v>20</v>
      </c>
      <c r="AT337" s="9">
        <v>27</v>
      </c>
      <c r="AU337" s="9">
        <v>6</v>
      </c>
      <c r="AV337" s="9">
        <v>6</v>
      </c>
      <c r="AW337" s="9">
        <v>33</v>
      </c>
      <c r="AX337" s="9">
        <v>0</v>
      </c>
      <c r="AY337" s="9">
        <v>13</v>
      </c>
      <c r="AZ337" s="9">
        <v>20</v>
      </c>
      <c r="BA337" s="10">
        <v>140</v>
      </c>
      <c r="BB337" s="11">
        <v>40852</v>
      </c>
      <c r="BC337" s="11">
        <v>33808.550000000003</v>
      </c>
      <c r="BD337" s="11">
        <v>28173.79</v>
      </c>
      <c r="BE337" s="11">
        <v>21130.34</v>
      </c>
      <c r="BF337" s="11">
        <v>16904.27</v>
      </c>
      <c r="BG337" s="11">
        <v>11500</v>
      </c>
      <c r="BH337" s="11">
        <v>6250</v>
      </c>
      <c r="BI337" s="11">
        <v>5935</v>
      </c>
      <c r="BJ337" s="11">
        <v>8058</v>
      </c>
      <c r="BK337" s="11">
        <v>75603</v>
      </c>
      <c r="BL337" s="11">
        <v>63201</v>
      </c>
      <c r="BM337" s="11">
        <v>55501</v>
      </c>
      <c r="BN337" s="11">
        <v>30000</v>
      </c>
      <c r="BO337" s="9">
        <v>230000</v>
      </c>
      <c r="BP337" s="9">
        <v>6812</v>
      </c>
    </row>
    <row r="338" spans="1:68" x14ac:dyDescent="0.3">
      <c r="A338" s="7">
        <v>45628</v>
      </c>
      <c r="B338" s="7" t="str">
        <f t="shared" si="5"/>
        <v>DECEMBER</v>
      </c>
      <c r="C338" s="8">
        <f>MONTH(Data!$A338)</f>
        <v>12</v>
      </c>
      <c r="D338" s="9">
        <v>1194</v>
      </c>
      <c r="E338" s="9">
        <v>675</v>
      </c>
      <c r="F338" s="9">
        <v>501</v>
      </c>
      <c r="G338" s="9">
        <v>455</v>
      </c>
      <c r="H338" s="9">
        <v>238</v>
      </c>
      <c r="I338" s="9">
        <v>202</v>
      </c>
      <c r="J338" s="9">
        <v>419</v>
      </c>
      <c r="K338" s="9">
        <v>54</v>
      </c>
      <c r="L338" s="9">
        <v>266</v>
      </c>
      <c r="M338" s="9">
        <v>44</v>
      </c>
      <c r="N338" s="9">
        <v>66</v>
      </c>
      <c r="O338" s="9">
        <v>44</v>
      </c>
      <c r="P338" s="9">
        <v>66</v>
      </c>
      <c r="Q338" s="9">
        <v>154</v>
      </c>
      <c r="R338" s="9">
        <v>31</v>
      </c>
      <c r="S338" s="9">
        <v>31</v>
      </c>
      <c r="T338" s="9">
        <v>40</v>
      </c>
      <c r="U338" s="9">
        <v>452</v>
      </c>
      <c r="V338" s="9">
        <v>94</v>
      </c>
      <c r="W338" s="9">
        <v>6</v>
      </c>
      <c r="X338" s="9">
        <v>40</v>
      </c>
      <c r="Y338" s="9">
        <v>6</v>
      </c>
      <c r="Z338" s="9">
        <v>19</v>
      </c>
      <c r="AA338" s="9">
        <v>54</v>
      </c>
      <c r="AB338" s="9">
        <v>13</v>
      </c>
      <c r="AC338" s="9">
        <v>13</v>
      </c>
      <c r="AD338" s="9">
        <v>27</v>
      </c>
      <c r="AE338" s="9">
        <v>20</v>
      </c>
      <c r="AF338" s="9">
        <v>0</v>
      </c>
      <c r="AG338" s="9">
        <v>33</v>
      </c>
      <c r="AH338" s="9">
        <v>6</v>
      </c>
      <c r="AI338" s="9">
        <v>6</v>
      </c>
      <c r="AJ338" s="9">
        <v>13</v>
      </c>
      <c r="AK338" s="9">
        <v>54</v>
      </c>
      <c r="AL338" s="9">
        <v>40</v>
      </c>
      <c r="AM338" s="9">
        <v>13</v>
      </c>
      <c r="AN338" s="9">
        <v>20</v>
      </c>
      <c r="AO338" s="9">
        <v>0</v>
      </c>
      <c r="AP338" s="9">
        <v>13</v>
      </c>
      <c r="AQ338" s="9">
        <v>6</v>
      </c>
      <c r="AR338" s="9">
        <v>54</v>
      </c>
      <c r="AS338" s="9">
        <v>13</v>
      </c>
      <c r="AT338" s="9">
        <v>40</v>
      </c>
      <c r="AU338" s="9">
        <v>6</v>
      </c>
      <c r="AV338" s="9">
        <v>6</v>
      </c>
      <c r="AW338" s="9">
        <v>40</v>
      </c>
      <c r="AX338" s="9">
        <v>0</v>
      </c>
      <c r="AY338" s="9">
        <v>20</v>
      </c>
      <c r="AZ338" s="9">
        <v>0</v>
      </c>
      <c r="BA338" s="10">
        <v>154.33000000000001</v>
      </c>
      <c r="BB338" s="11">
        <v>39200</v>
      </c>
      <c r="BC338" s="11">
        <v>22400</v>
      </c>
      <c r="BD338" s="11">
        <v>16800</v>
      </c>
      <c r="BE338" s="11">
        <v>19600</v>
      </c>
      <c r="BF338" s="11">
        <v>42000</v>
      </c>
      <c r="BG338" s="11">
        <v>11500</v>
      </c>
      <c r="BH338" s="11">
        <v>6250</v>
      </c>
      <c r="BI338" s="11">
        <v>5935</v>
      </c>
      <c r="BJ338" s="11">
        <v>8058</v>
      </c>
      <c r="BK338" s="11">
        <v>75603</v>
      </c>
      <c r="BL338" s="11">
        <v>63201</v>
      </c>
      <c r="BM338" s="11">
        <v>55501</v>
      </c>
      <c r="BN338" s="11">
        <v>30000</v>
      </c>
      <c r="BO338" s="9">
        <v>230000</v>
      </c>
      <c r="BP338" s="9">
        <v>6198</v>
      </c>
    </row>
    <row r="339" spans="1:68" x14ac:dyDescent="0.3">
      <c r="A339" s="7">
        <v>45629</v>
      </c>
      <c r="B339" s="7" t="str">
        <f t="shared" si="5"/>
        <v>DECEMBER</v>
      </c>
      <c r="C339" s="8">
        <f>MONTH(Data!$A339)</f>
        <v>12</v>
      </c>
      <c r="D339" s="9">
        <v>1201</v>
      </c>
      <c r="E339" s="9">
        <v>674</v>
      </c>
      <c r="F339" s="9">
        <v>300</v>
      </c>
      <c r="G339" s="9">
        <v>673</v>
      </c>
      <c r="H339" s="9">
        <v>228</v>
      </c>
      <c r="I339" s="9">
        <v>215</v>
      </c>
      <c r="J339" s="9">
        <v>406</v>
      </c>
      <c r="K339" s="9">
        <v>53</v>
      </c>
      <c r="L339" s="9">
        <v>260</v>
      </c>
      <c r="M339" s="9">
        <v>186</v>
      </c>
      <c r="N339" s="9">
        <v>104</v>
      </c>
      <c r="O339" s="9">
        <v>104</v>
      </c>
      <c r="P339" s="9">
        <v>44</v>
      </c>
      <c r="Q339" s="9">
        <v>219</v>
      </c>
      <c r="R339" s="9">
        <v>59</v>
      </c>
      <c r="S339" s="9">
        <v>63</v>
      </c>
      <c r="T339" s="9">
        <v>31</v>
      </c>
      <c r="U339" s="9">
        <v>131</v>
      </c>
      <c r="V339" s="9">
        <v>47</v>
      </c>
      <c r="W339" s="9">
        <v>6</v>
      </c>
      <c r="X339" s="9">
        <v>33</v>
      </c>
      <c r="Y339" s="9">
        <v>20</v>
      </c>
      <c r="Z339" s="9">
        <v>95</v>
      </c>
      <c r="AA339" s="9">
        <v>47</v>
      </c>
      <c r="AB339" s="9">
        <v>0</v>
      </c>
      <c r="AC339" s="9">
        <v>6</v>
      </c>
      <c r="AD339" s="9">
        <v>20</v>
      </c>
      <c r="AE339" s="9">
        <v>20</v>
      </c>
      <c r="AF339" s="9">
        <v>6</v>
      </c>
      <c r="AG339" s="9">
        <v>13</v>
      </c>
      <c r="AH339" s="9">
        <v>13</v>
      </c>
      <c r="AI339" s="9">
        <v>0</v>
      </c>
      <c r="AJ339" s="9">
        <v>13</v>
      </c>
      <c r="AK339" s="9">
        <v>67</v>
      </c>
      <c r="AL339" s="9">
        <v>26</v>
      </c>
      <c r="AM339" s="9">
        <v>20</v>
      </c>
      <c r="AN339" s="9">
        <v>6</v>
      </c>
      <c r="AO339" s="9">
        <v>6</v>
      </c>
      <c r="AP339" s="9">
        <v>0</v>
      </c>
      <c r="AQ339" s="9">
        <v>6</v>
      </c>
      <c r="AR339" s="9">
        <v>60</v>
      </c>
      <c r="AS339" s="9">
        <v>6</v>
      </c>
      <c r="AT339" s="9">
        <v>26</v>
      </c>
      <c r="AU339" s="9">
        <v>13</v>
      </c>
      <c r="AV339" s="9">
        <v>0</v>
      </c>
      <c r="AW339" s="9">
        <v>47</v>
      </c>
      <c r="AX339" s="9">
        <v>26</v>
      </c>
      <c r="AY339" s="9">
        <v>26</v>
      </c>
      <c r="AZ339" s="9">
        <v>0</v>
      </c>
      <c r="BA339" s="10">
        <v>170.36</v>
      </c>
      <c r="BB339" s="11">
        <v>49384.800000000003</v>
      </c>
      <c r="BC339" s="11">
        <v>33952.050000000003</v>
      </c>
      <c r="BD339" s="11">
        <v>30865.5</v>
      </c>
      <c r="BE339" s="11">
        <v>13889.47</v>
      </c>
      <c r="BF339" s="11">
        <v>26235.67</v>
      </c>
      <c r="BG339" s="11">
        <v>11500</v>
      </c>
      <c r="BH339" s="11">
        <v>6250</v>
      </c>
      <c r="BI339" s="11">
        <v>5935</v>
      </c>
      <c r="BJ339" s="11">
        <v>8058</v>
      </c>
      <c r="BK339" s="11">
        <v>75603</v>
      </c>
      <c r="BL339" s="11">
        <v>63201</v>
      </c>
      <c r="BM339" s="11">
        <v>55501</v>
      </c>
      <c r="BN339" s="11">
        <v>30000</v>
      </c>
      <c r="BO339" s="9">
        <v>230000</v>
      </c>
      <c r="BP339" s="9">
        <v>3350</v>
      </c>
    </row>
    <row r="340" spans="1:68" x14ac:dyDescent="0.3">
      <c r="A340" s="7">
        <v>45630</v>
      </c>
      <c r="B340" s="7" t="str">
        <f t="shared" si="5"/>
        <v>DECEMBER</v>
      </c>
      <c r="C340" s="8">
        <f>MONTH(Data!$A340)</f>
        <v>12</v>
      </c>
      <c r="D340" s="9">
        <v>1221</v>
      </c>
      <c r="E340" s="9">
        <v>683</v>
      </c>
      <c r="F340" s="9">
        <v>415</v>
      </c>
      <c r="G340" s="9">
        <v>611</v>
      </c>
      <c r="H340" s="9">
        <v>195</v>
      </c>
      <c r="I340" s="9">
        <v>300</v>
      </c>
      <c r="J340" s="9">
        <v>336</v>
      </c>
      <c r="K340" s="9">
        <v>47</v>
      </c>
      <c r="L340" s="9">
        <v>416</v>
      </c>
      <c r="M340" s="9">
        <v>128</v>
      </c>
      <c r="N340" s="9">
        <v>90</v>
      </c>
      <c r="O340" s="9">
        <v>45</v>
      </c>
      <c r="P340" s="9">
        <v>45</v>
      </c>
      <c r="Q340" s="9">
        <v>255</v>
      </c>
      <c r="R340" s="9">
        <v>125</v>
      </c>
      <c r="S340" s="9">
        <v>37</v>
      </c>
      <c r="T340" s="9">
        <v>46</v>
      </c>
      <c r="U340" s="9">
        <v>34</v>
      </c>
      <c r="V340" s="9">
        <v>88</v>
      </c>
      <c r="W340" s="9">
        <v>13</v>
      </c>
      <c r="X340" s="9">
        <v>47</v>
      </c>
      <c r="Y340" s="9">
        <v>6</v>
      </c>
      <c r="Z340" s="9">
        <v>54</v>
      </c>
      <c r="AA340" s="9">
        <v>47</v>
      </c>
      <c r="AB340" s="9">
        <v>6</v>
      </c>
      <c r="AC340" s="9">
        <v>0</v>
      </c>
      <c r="AD340" s="9">
        <v>27</v>
      </c>
      <c r="AE340" s="9">
        <v>6</v>
      </c>
      <c r="AF340" s="9">
        <v>0</v>
      </c>
      <c r="AG340" s="9">
        <v>13</v>
      </c>
      <c r="AH340" s="9">
        <v>20</v>
      </c>
      <c r="AI340" s="9">
        <v>6</v>
      </c>
      <c r="AJ340" s="9">
        <v>13</v>
      </c>
      <c r="AK340" s="9">
        <v>68</v>
      </c>
      <c r="AL340" s="9">
        <v>27</v>
      </c>
      <c r="AM340" s="9">
        <v>34</v>
      </c>
      <c r="AN340" s="9">
        <v>6</v>
      </c>
      <c r="AO340" s="9">
        <v>6</v>
      </c>
      <c r="AP340" s="9">
        <v>20</v>
      </c>
      <c r="AQ340" s="9">
        <v>20</v>
      </c>
      <c r="AR340" s="9">
        <v>47</v>
      </c>
      <c r="AS340" s="9">
        <v>6</v>
      </c>
      <c r="AT340" s="9">
        <v>34</v>
      </c>
      <c r="AU340" s="9">
        <v>13</v>
      </c>
      <c r="AV340" s="9">
        <v>0</v>
      </c>
      <c r="AW340" s="9">
        <v>34</v>
      </c>
      <c r="AX340" s="9">
        <v>13</v>
      </c>
      <c r="AY340" s="9">
        <v>0</v>
      </c>
      <c r="AZ340" s="9">
        <v>9</v>
      </c>
      <c r="BA340" s="10">
        <v>183.64000000000001</v>
      </c>
      <c r="BB340" s="11">
        <v>56219.55</v>
      </c>
      <c r="BC340" s="11">
        <v>22147.1</v>
      </c>
      <c r="BD340" s="11">
        <v>25554.34</v>
      </c>
      <c r="BE340" s="11">
        <v>27257.96</v>
      </c>
      <c r="BF340" s="11">
        <v>39183.32</v>
      </c>
      <c r="BG340" s="11">
        <v>11500</v>
      </c>
      <c r="BH340" s="11">
        <v>6250</v>
      </c>
      <c r="BI340" s="11">
        <v>5935</v>
      </c>
      <c r="BJ340" s="11">
        <v>8058</v>
      </c>
      <c r="BK340" s="11">
        <v>75603</v>
      </c>
      <c r="BL340" s="11">
        <v>63201</v>
      </c>
      <c r="BM340" s="11">
        <v>55501</v>
      </c>
      <c r="BN340" s="11">
        <v>30000</v>
      </c>
      <c r="BO340" s="9">
        <v>230000</v>
      </c>
      <c r="BP340" s="9">
        <v>4118</v>
      </c>
    </row>
    <row r="341" spans="1:68" x14ac:dyDescent="0.3">
      <c r="A341" s="7">
        <v>45631</v>
      </c>
      <c r="B341" s="7" t="str">
        <f t="shared" si="5"/>
        <v>DECEMBER</v>
      </c>
      <c r="C341" s="8">
        <f>MONTH(Data!$A341)</f>
        <v>12</v>
      </c>
      <c r="D341" s="9">
        <v>1247</v>
      </c>
      <c r="E341" s="9">
        <v>704</v>
      </c>
      <c r="F341" s="9">
        <v>498</v>
      </c>
      <c r="G341" s="9">
        <v>538</v>
      </c>
      <c r="H341" s="9">
        <v>211</v>
      </c>
      <c r="I341" s="9">
        <v>183</v>
      </c>
      <c r="J341" s="9">
        <v>430</v>
      </c>
      <c r="K341" s="9">
        <v>91</v>
      </c>
      <c r="L341" s="9">
        <v>425</v>
      </c>
      <c r="M341" s="9">
        <v>108</v>
      </c>
      <c r="N341" s="9">
        <v>100</v>
      </c>
      <c r="O341" s="9">
        <v>92</v>
      </c>
      <c r="P341" s="9">
        <v>69</v>
      </c>
      <c r="Q341" s="9">
        <v>175</v>
      </c>
      <c r="R341" s="9">
        <v>28</v>
      </c>
      <c r="S341" s="9">
        <v>61</v>
      </c>
      <c r="T341" s="9">
        <v>47</v>
      </c>
      <c r="U341" s="9">
        <v>142</v>
      </c>
      <c r="V341" s="9">
        <v>28</v>
      </c>
      <c r="W341" s="9">
        <v>14</v>
      </c>
      <c r="X341" s="9">
        <v>42</v>
      </c>
      <c r="Y341" s="9">
        <v>21</v>
      </c>
      <c r="Z341" s="9">
        <v>95</v>
      </c>
      <c r="AA341" s="9">
        <v>56</v>
      </c>
      <c r="AB341" s="9">
        <v>0</v>
      </c>
      <c r="AC341" s="9">
        <v>0</v>
      </c>
      <c r="AD341" s="9">
        <v>28</v>
      </c>
      <c r="AE341" s="9">
        <v>21</v>
      </c>
      <c r="AF341" s="9">
        <v>7</v>
      </c>
      <c r="AG341" s="9">
        <v>7</v>
      </c>
      <c r="AH341" s="9">
        <v>7</v>
      </c>
      <c r="AI341" s="9">
        <v>21</v>
      </c>
      <c r="AJ341" s="9">
        <v>0</v>
      </c>
      <c r="AK341" s="9">
        <v>63</v>
      </c>
      <c r="AL341" s="9">
        <v>21</v>
      </c>
      <c r="AM341" s="9">
        <v>28</v>
      </c>
      <c r="AN341" s="9">
        <v>0</v>
      </c>
      <c r="AO341" s="9">
        <v>7</v>
      </c>
      <c r="AP341" s="9">
        <v>14</v>
      </c>
      <c r="AQ341" s="9">
        <v>14</v>
      </c>
      <c r="AR341" s="9">
        <v>56</v>
      </c>
      <c r="AS341" s="9">
        <v>14</v>
      </c>
      <c r="AT341" s="9">
        <v>56</v>
      </c>
      <c r="AU341" s="9">
        <v>21</v>
      </c>
      <c r="AV341" s="9">
        <v>7</v>
      </c>
      <c r="AW341" s="9">
        <v>49</v>
      </c>
      <c r="AX341" s="9">
        <v>0</v>
      </c>
      <c r="AY341" s="9">
        <v>7</v>
      </c>
      <c r="AZ341" s="9">
        <v>0</v>
      </c>
      <c r="BA341" s="10">
        <v>192.08</v>
      </c>
      <c r="BB341" s="11">
        <v>49585.39</v>
      </c>
      <c r="BC341" s="11">
        <v>23874.45</v>
      </c>
      <c r="BD341" s="11">
        <v>31220.43</v>
      </c>
      <c r="BE341" s="11">
        <v>18364.96</v>
      </c>
      <c r="BF341" s="11">
        <v>60604.36</v>
      </c>
      <c r="BG341" s="11">
        <v>11500</v>
      </c>
      <c r="BH341" s="11">
        <v>6250</v>
      </c>
      <c r="BI341" s="11">
        <v>5935</v>
      </c>
      <c r="BJ341" s="11">
        <v>8058</v>
      </c>
      <c r="BK341" s="11">
        <v>75603</v>
      </c>
      <c r="BL341" s="11">
        <v>63201</v>
      </c>
      <c r="BM341" s="11">
        <v>55501</v>
      </c>
      <c r="BN341" s="11">
        <v>30000</v>
      </c>
      <c r="BO341" s="9">
        <v>230000</v>
      </c>
      <c r="BP341" s="9">
        <v>3479</v>
      </c>
    </row>
    <row r="342" spans="1:68" x14ac:dyDescent="0.3">
      <c r="A342" s="7">
        <v>45632</v>
      </c>
      <c r="B342" s="7" t="str">
        <f t="shared" si="5"/>
        <v>DECEMBER</v>
      </c>
      <c r="C342" s="8">
        <f>MONTH(Data!$A342)</f>
        <v>12</v>
      </c>
      <c r="D342" s="9">
        <v>1256</v>
      </c>
      <c r="E342" s="9">
        <v>734</v>
      </c>
      <c r="F342" s="9">
        <v>401</v>
      </c>
      <c r="G342" s="9">
        <v>642</v>
      </c>
      <c r="H342" s="9">
        <v>213</v>
      </c>
      <c r="I342" s="9">
        <v>337</v>
      </c>
      <c r="J342" s="9">
        <v>251</v>
      </c>
      <c r="K342" s="9">
        <v>146</v>
      </c>
      <c r="L342" s="9">
        <v>400</v>
      </c>
      <c r="M342" s="9">
        <v>225</v>
      </c>
      <c r="N342" s="9">
        <v>109</v>
      </c>
      <c r="O342" s="9">
        <v>116</v>
      </c>
      <c r="P342" s="9">
        <v>70</v>
      </c>
      <c r="Q342" s="9">
        <v>195</v>
      </c>
      <c r="R342" s="9">
        <v>66</v>
      </c>
      <c r="S342" s="9">
        <v>52</v>
      </c>
      <c r="T342" s="9">
        <v>23</v>
      </c>
      <c r="U342" s="9">
        <v>0</v>
      </c>
      <c r="V342" s="9">
        <v>36</v>
      </c>
      <c r="W342" s="9">
        <v>7</v>
      </c>
      <c r="X342" s="9">
        <v>51</v>
      </c>
      <c r="Y342" s="9">
        <v>22</v>
      </c>
      <c r="Z342" s="9">
        <v>3</v>
      </c>
      <c r="AA342" s="9">
        <v>58</v>
      </c>
      <c r="AB342" s="9">
        <v>14</v>
      </c>
      <c r="AC342" s="9">
        <v>22</v>
      </c>
      <c r="AD342" s="9">
        <v>36</v>
      </c>
      <c r="AE342" s="9">
        <v>14</v>
      </c>
      <c r="AF342" s="9">
        <v>7</v>
      </c>
      <c r="AG342" s="9">
        <v>36</v>
      </c>
      <c r="AH342" s="9">
        <v>0</v>
      </c>
      <c r="AI342" s="9">
        <v>22</v>
      </c>
      <c r="AJ342" s="9">
        <v>14</v>
      </c>
      <c r="AK342" s="9">
        <v>58</v>
      </c>
      <c r="AL342" s="9">
        <v>44</v>
      </c>
      <c r="AM342" s="9">
        <v>29</v>
      </c>
      <c r="AN342" s="9">
        <v>22</v>
      </c>
      <c r="AO342" s="9">
        <v>7</v>
      </c>
      <c r="AP342" s="9">
        <v>0</v>
      </c>
      <c r="AQ342" s="9">
        <v>7</v>
      </c>
      <c r="AR342" s="9">
        <v>80</v>
      </c>
      <c r="AS342" s="9">
        <v>22</v>
      </c>
      <c r="AT342" s="9">
        <v>29</v>
      </c>
      <c r="AU342" s="9">
        <v>7</v>
      </c>
      <c r="AV342" s="9">
        <v>7</v>
      </c>
      <c r="AW342" s="9">
        <v>44</v>
      </c>
      <c r="AX342" s="9">
        <v>29</v>
      </c>
      <c r="AY342" s="9">
        <v>7</v>
      </c>
      <c r="AZ342" s="9">
        <v>0</v>
      </c>
      <c r="BA342" s="10">
        <v>194.26000000000002</v>
      </c>
      <c r="BB342" s="11">
        <v>51863.51</v>
      </c>
      <c r="BC342" s="11">
        <v>30733.93</v>
      </c>
      <c r="BD342" s="11">
        <v>48021.77</v>
      </c>
      <c r="BE342" s="11">
        <v>46100.9</v>
      </c>
      <c r="BF342" s="11">
        <v>15366.97</v>
      </c>
      <c r="BG342" s="11">
        <v>11500</v>
      </c>
      <c r="BH342" s="11">
        <v>6250</v>
      </c>
      <c r="BI342" s="11">
        <v>4578</v>
      </c>
      <c r="BJ342" s="11">
        <v>8058</v>
      </c>
      <c r="BK342" s="11">
        <v>75603</v>
      </c>
      <c r="BL342" s="11">
        <v>63201</v>
      </c>
      <c r="BM342" s="11">
        <v>55501</v>
      </c>
      <c r="BN342" s="11">
        <v>30000</v>
      </c>
      <c r="BO342" s="9">
        <v>230000</v>
      </c>
      <c r="BP342" s="9">
        <v>850</v>
      </c>
    </row>
    <row r="343" spans="1:68" x14ac:dyDescent="0.3">
      <c r="A343" s="7">
        <v>45633</v>
      </c>
      <c r="B343" s="7" t="str">
        <f t="shared" si="5"/>
        <v>DECEMBER</v>
      </c>
      <c r="C343" s="8">
        <f>MONTH(Data!$A343)</f>
        <v>12</v>
      </c>
      <c r="D343" s="9">
        <v>1258</v>
      </c>
      <c r="E343" s="9">
        <v>767</v>
      </c>
      <c r="F343" s="9">
        <v>490</v>
      </c>
      <c r="G343" s="9">
        <v>655</v>
      </c>
      <c r="H343" s="9">
        <v>113</v>
      </c>
      <c r="I343" s="9">
        <v>322</v>
      </c>
      <c r="J343" s="9">
        <v>376</v>
      </c>
      <c r="K343" s="9">
        <v>69</v>
      </c>
      <c r="L343" s="9">
        <v>280</v>
      </c>
      <c r="M343" s="9">
        <v>179</v>
      </c>
      <c r="N343" s="9">
        <v>77</v>
      </c>
      <c r="O343" s="9">
        <v>77</v>
      </c>
      <c r="P343" s="9">
        <v>46</v>
      </c>
      <c r="Q343" s="9">
        <v>210</v>
      </c>
      <c r="R343" s="9">
        <v>57</v>
      </c>
      <c r="S343" s="9">
        <v>47</v>
      </c>
      <c r="T343" s="9">
        <v>33</v>
      </c>
      <c r="U343" s="9">
        <v>252</v>
      </c>
      <c r="V343" s="9">
        <v>69</v>
      </c>
      <c r="W343" s="9">
        <v>23</v>
      </c>
      <c r="X343" s="9">
        <v>46</v>
      </c>
      <c r="Y343" s="9">
        <v>15</v>
      </c>
      <c r="Z343" s="9">
        <v>122</v>
      </c>
      <c r="AA343" s="9">
        <v>38</v>
      </c>
      <c r="AB343" s="9">
        <v>23</v>
      </c>
      <c r="AC343" s="9">
        <v>23</v>
      </c>
      <c r="AD343" s="9">
        <v>15</v>
      </c>
      <c r="AE343" s="9">
        <v>7</v>
      </c>
      <c r="AF343" s="9">
        <v>7</v>
      </c>
      <c r="AG343" s="9">
        <v>15</v>
      </c>
      <c r="AH343" s="9">
        <v>0</v>
      </c>
      <c r="AI343" s="9">
        <v>7</v>
      </c>
      <c r="AJ343" s="9">
        <v>0</v>
      </c>
      <c r="AK343" s="9">
        <v>76</v>
      </c>
      <c r="AL343" s="9">
        <v>7</v>
      </c>
      <c r="AM343" s="9">
        <v>15</v>
      </c>
      <c r="AN343" s="9">
        <v>15</v>
      </c>
      <c r="AO343" s="9">
        <v>0</v>
      </c>
      <c r="AP343" s="9">
        <v>15</v>
      </c>
      <c r="AQ343" s="9">
        <v>7</v>
      </c>
      <c r="AR343" s="9">
        <v>76</v>
      </c>
      <c r="AS343" s="9">
        <v>7</v>
      </c>
      <c r="AT343" s="9">
        <v>61</v>
      </c>
      <c r="AU343" s="9">
        <v>23</v>
      </c>
      <c r="AV343" s="9">
        <v>0</v>
      </c>
      <c r="AW343" s="9">
        <v>7</v>
      </c>
      <c r="AX343" s="9">
        <v>15</v>
      </c>
      <c r="AY343" s="9">
        <v>30</v>
      </c>
      <c r="AZ343" s="9">
        <v>3</v>
      </c>
      <c r="BA343" s="10">
        <v>195.73999999999998</v>
      </c>
      <c r="BB343" s="11">
        <v>60223.54</v>
      </c>
      <c r="BC343" s="11">
        <v>44681.98</v>
      </c>
      <c r="BD343" s="11">
        <v>44681.98</v>
      </c>
      <c r="BE343" s="11">
        <v>22681.98</v>
      </c>
      <c r="BF343" s="11">
        <v>22000</v>
      </c>
      <c r="BG343" s="11">
        <v>11500</v>
      </c>
      <c r="BH343" s="11">
        <v>6250</v>
      </c>
      <c r="BI343" s="11">
        <v>4578</v>
      </c>
      <c r="BJ343" s="11">
        <v>8058</v>
      </c>
      <c r="BK343" s="11">
        <v>75603</v>
      </c>
      <c r="BL343" s="11">
        <v>63201</v>
      </c>
      <c r="BM343" s="11">
        <v>55501</v>
      </c>
      <c r="BN343" s="11">
        <v>30000</v>
      </c>
      <c r="BO343" s="9">
        <v>230000</v>
      </c>
      <c r="BP343" s="9">
        <v>2367</v>
      </c>
    </row>
    <row r="344" spans="1:68" x14ac:dyDescent="0.3">
      <c r="A344" s="7">
        <v>45634</v>
      </c>
      <c r="B344" s="7" t="str">
        <f t="shared" si="5"/>
        <v>DECEMBER</v>
      </c>
      <c r="C344" s="8">
        <f>MONTH(Data!$A344)</f>
        <v>12</v>
      </c>
      <c r="D344" s="9">
        <v>1250</v>
      </c>
      <c r="E344" s="9">
        <v>799</v>
      </c>
      <c r="F344" s="9">
        <v>350</v>
      </c>
      <c r="G344" s="9">
        <v>588</v>
      </c>
      <c r="H344" s="9">
        <v>312</v>
      </c>
      <c r="I344" s="9">
        <v>207</v>
      </c>
      <c r="J344" s="9">
        <v>441</v>
      </c>
      <c r="K344" s="9">
        <v>151</v>
      </c>
      <c r="L344" s="9">
        <v>410</v>
      </c>
      <c r="M344" s="9">
        <v>139</v>
      </c>
      <c r="N344" s="9">
        <v>69</v>
      </c>
      <c r="O344" s="9">
        <v>46</v>
      </c>
      <c r="P344" s="9">
        <v>54</v>
      </c>
      <c r="Q344" s="9">
        <v>166</v>
      </c>
      <c r="R344" s="9">
        <v>61</v>
      </c>
      <c r="S344" s="9">
        <v>61</v>
      </c>
      <c r="T344" s="9">
        <v>52</v>
      </c>
      <c r="U344" s="9">
        <v>192</v>
      </c>
      <c r="V344" s="9">
        <v>71</v>
      </c>
      <c r="W344" s="9">
        <v>15</v>
      </c>
      <c r="X344" s="9">
        <v>55</v>
      </c>
      <c r="Y344" s="9">
        <v>7</v>
      </c>
      <c r="Z344" s="9">
        <v>71</v>
      </c>
      <c r="AA344" s="9">
        <v>39</v>
      </c>
      <c r="AB344" s="9">
        <v>7</v>
      </c>
      <c r="AC344" s="9">
        <v>7</v>
      </c>
      <c r="AD344" s="9">
        <v>39</v>
      </c>
      <c r="AE344" s="9">
        <v>0</v>
      </c>
      <c r="AF344" s="9">
        <v>7</v>
      </c>
      <c r="AG344" s="9">
        <v>7</v>
      </c>
      <c r="AH344" s="9">
        <v>0</v>
      </c>
      <c r="AI344" s="9">
        <v>0</v>
      </c>
      <c r="AJ344" s="9">
        <v>7</v>
      </c>
      <c r="AK344" s="9">
        <v>63</v>
      </c>
      <c r="AL344" s="9">
        <v>23</v>
      </c>
      <c r="AM344" s="9">
        <v>7</v>
      </c>
      <c r="AN344" s="9">
        <v>0</v>
      </c>
      <c r="AO344" s="9">
        <v>7</v>
      </c>
      <c r="AP344" s="9">
        <v>7</v>
      </c>
      <c r="AQ344" s="9">
        <v>31</v>
      </c>
      <c r="AR344" s="9">
        <v>63</v>
      </c>
      <c r="AS344" s="9">
        <v>7</v>
      </c>
      <c r="AT344" s="9">
        <v>71</v>
      </c>
      <c r="AU344" s="9">
        <v>7</v>
      </c>
      <c r="AV344" s="9">
        <v>0</v>
      </c>
      <c r="AW344" s="9">
        <v>15</v>
      </c>
      <c r="AX344" s="9">
        <v>31</v>
      </c>
      <c r="AY344" s="9">
        <v>7</v>
      </c>
      <c r="AZ344" s="9">
        <v>128</v>
      </c>
      <c r="BA344" s="10">
        <v>186.88</v>
      </c>
      <c r="BB344" s="11">
        <v>50891.62</v>
      </c>
      <c r="BC344" s="11">
        <v>41104.769999999997</v>
      </c>
      <c r="BD344" s="11">
        <v>25445.81</v>
      </c>
      <c r="BE344" s="11">
        <v>31317.919999999998</v>
      </c>
      <c r="BF344" s="11">
        <v>46976.88</v>
      </c>
      <c r="BG344" s="11">
        <v>11500</v>
      </c>
      <c r="BH344" s="11">
        <v>6250</v>
      </c>
      <c r="BI344" s="11">
        <v>4578</v>
      </c>
      <c r="BJ344" s="11">
        <v>8058</v>
      </c>
      <c r="BK344" s="11">
        <v>75603</v>
      </c>
      <c r="BL344" s="11">
        <v>63201</v>
      </c>
      <c r="BM344" s="11">
        <v>55501</v>
      </c>
      <c r="BN344" s="11">
        <v>30000</v>
      </c>
      <c r="BO344" s="9">
        <v>230000</v>
      </c>
      <c r="BP344" s="9">
        <v>3996</v>
      </c>
    </row>
    <row r="345" spans="1:68" x14ac:dyDescent="0.3">
      <c r="A345" s="7">
        <v>45635</v>
      </c>
      <c r="B345" s="7" t="str">
        <f t="shared" si="5"/>
        <v>DECEMBER</v>
      </c>
      <c r="C345" s="8">
        <f>MONTH(Data!$A345)</f>
        <v>12</v>
      </c>
      <c r="D345" s="9">
        <v>1239</v>
      </c>
      <c r="E345" s="9">
        <v>812</v>
      </c>
      <c r="F345" s="9">
        <v>656</v>
      </c>
      <c r="G345" s="9">
        <v>472</v>
      </c>
      <c r="H345" s="9">
        <v>111</v>
      </c>
      <c r="I345" s="9">
        <v>259</v>
      </c>
      <c r="J345" s="9">
        <v>497</v>
      </c>
      <c r="K345" s="9">
        <v>56</v>
      </c>
      <c r="L345" s="9">
        <v>376</v>
      </c>
      <c r="M345" s="9">
        <v>238</v>
      </c>
      <c r="N345" s="9">
        <v>99</v>
      </c>
      <c r="O345" s="9">
        <v>46</v>
      </c>
      <c r="P345" s="9">
        <v>15</v>
      </c>
      <c r="Q345" s="9">
        <v>230</v>
      </c>
      <c r="R345" s="9">
        <v>37</v>
      </c>
      <c r="S345" s="9">
        <v>47</v>
      </c>
      <c r="T345" s="9">
        <v>32</v>
      </c>
      <c r="U345" s="9">
        <v>119</v>
      </c>
      <c r="V345" s="9">
        <v>81</v>
      </c>
      <c r="W345" s="9">
        <v>0</v>
      </c>
      <c r="X345" s="9">
        <v>48</v>
      </c>
      <c r="Y345" s="9">
        <v>16</v>
      </c>
      <c r="Z345" s="9">
        <v>31</v>
      </c>
      <c r="AA345" s="9">
        <v>73</v>
      </c>
      <c r="AB345" s="9">
        <v>16</v>
      </c>
      <c r="AC345" s="9">
        <v>8</v>
      </c>
      <c r="AD345" s="9">
        <v>16</v>
      </c>
      <c r="AE345" s="9">
        <v>0</v>
      </c>
      <c r="AF345" s="9">
        <v>0</v>
      </c>
      <c r="AG345" s="9">
        <v>40</v>
      </c>
      <c r="AH345" s="9">
        <v>16</v>
      </c>
      <c r="AI345" s="9">
        <v>8</v>
      </c>
      <c r="AJ345" s="9">
        <v>24</v>
      </c>
      <c r="AK345" s="9">
        <v>81</v>
      </c>
      <c r="AL345" s="9">
        <v>8</v>
      </c>
      <c r="AM345" s="9">
        <v>16</v>
      </c>
      <c r="AN345" s="9">
        <v>16</v>
      </c>
      <c r="AO345" s="9">
        <v>8</v>
      </c>
      <c r="AP345" s="9">
        <v>0</v>
      </c>
      <c r="AQ345" s="9">
        <v>24</v>
      </c>
      <c r="AR345" s="9">
        <v>89</v>
      </c>
      <c r="AS345" s="9">
        <v>16</v>
      </c>
      <c r="AT345" s="9">
        <v>73</v>
      </c>
      <c r="AU345" s="9">
        <v>32</v>
      </c>
      <c r="AV345" s="9">
        <v>8</v>
      </c>
      <c r="AW345" s="9">
        <v>32</v>
      </c>
      <c r="AX345" s="9">
        <v>0</v>
      </c>
      <c r="AY345" s="9">
        <v>32</v>
      </c>
      <c r="AZ345" s="9">
        <v>0</v>
      </c>
      <c r="BA345" s="10">
        <v>166.23000000000002</v>
      </c>
      <c r="BB345" s="11">
        <v>63539.67</v>
      </c>
      <c r="BC345" s="11">
        <v>24294.58</v>
      </c>
      <c r="BD345" s="11">
        <v>37376.28</v>
      </c>
      <c r="BE345" s="11">
        <v>28032.21</v>
      </c>
      <c r="BF345" s="11">
        <v>33638.65</v>
      </c>
      <c r="BG345" s="11">
        <v>11500</v>
      </c>
      <c r="BH345" s="11">
        <v>6250</v>
      </c>
      <c r="BI345" s="11">
        <v>4578</v>
      </c>
      <c r="BJ345" s="11">
        <v>8058</v>
      </c>
      <c r="BK345" s="11">
        <v>75603</v>
      </c>
      <c r="BL345" s="11">
        <v>63201</v>
      </c>
      <c r="BM345" s="11">
        <v>55501</v>
      </c>
      <c r="BN345" s="11">
        <v>30000</v>
      </c>
      <c r="BO345" s="9">
        <v>230000</v>
      </c>
      <c r="BP345" s="9">
        <v>1143</v>
      </c>
    </row>
    <row r="346" spans="1:68" x14ac:dyDescent="0.3">
      <c r="A346" s="7">
        <v>45636</v>
      </c>
      <c r="B346" s="7" t="str">
        <f t="shared" si="5"/>
        <v>DECEMBER</v>
      </c>
      <c r="C346" s="8">
        <f>MONTH(Data!$A346)</f>
        <v>12</v>
      </c>
      <c r="D346" s="9">
        <v>1214</v>
      </c>
      <c r="E346" s="9">
        <v>814</v>
      </c>
      <c r="F346" s="9">
        <v>607</v>
      </c>
      <c r="G346" s="9">
        <v>316</v>
      </c>
      <c r="H346" s="9">
        <v>291</v>
      </c>
      <c r="I346" s="9">
        <v>301</v>
      </c>
      <c r="J346" s="9">
        <v>440</v>
      </c>
      <c r="K346" s="9">
        <v>73</v>
      </c>
      <c r="L346" s="9">
        <v>368</v>
      </c>
      <c r="M346" s="9">
        <v>105</v>
      </c>
      <c r="N346" s="9">
        <v>105</v>
      </c>
      <c r="O346" s="9">
        <v>45</v>
      </c>
      <c r="P346" s="9">
        <v>30</v>
      </c>
      <c r="Q346" s="9">
        <v>221</v>
      </c>
      <c r="R346" s="9">
        <v>133</v>
      </c>
      <c r="S346" s="9">
        <v>32</v>
      </c>
      <c r="T346" s="9">
        <v>32</v>
      </c>
      <c r="U346" s="9">
        <v>143</v>
      </c>
      <c r="V346" s="9">
        <v>97</v>
      </c>
      <c r="W346" s="9">
        <v>0</v>
      </c>
      <c r="X346" s="9">
        <v>32</v>
      </c>
      <c r="Y346" s="9">
        <v>0</v>
      </c>
      <c r="Z346" s="9">
        <v>81</v>
      </c>
      <c r="AA346" s="9">
        <v>40</v>
      </c>
      <c r="AB346" s="9">
        <v>16</v>
      </c>
      <c r="AC346" s="9">
        <v>0</v>
      </c>
      <c r="AD346" s="9">
        <v>16</v>
      </c>
      <c r="AE346" s="9">
        <v>8</v>
      </c>
      <c r="AF346" s="9">
        <v>8</v>
      </c>
      <c r="AG346" s="9">
        <v>24</v>
      </c>
      <c r="AH346" s="9">
        <v>0</v>
      </c>
      <c r="AI346" s="9">
        <v>16</v>
      </c>
      <c r="AJ346" s="9">
        <v>8</v>
      </c>
      <c r="AK346" s="9">
        <v>32</v>
      </c>
      <c r="AL346" s="9">
        <v>32</v>
      </c>
      <c r="AM346" s="9">
        <v>40</v>
      </c>
      <c r="AN346" s="9">
        <v>0</v>
      </c>
      <c r="AO346" s="9">
        <v>0</v>
      </c>
      <c r="AP346" s="9">
        <v>32</v>
      </c>
      <c r="AQ346" s="9">
        <v>16</v>
      </c>
      <c r="AR346" s="9">
        <v>81</v>
      </c>
      <c r="AS346" s="9">
        <v>24</v>
      </c>
      <c r="AT346" s="9">
        <v>48</v>
      </c>
      <c r="AU346" s="9">
        <v>32</v>
      </c>
      <c r="AV346" s="9">
        <v>8</v>
      </c>
      <c r="AW346" s="9">
        <v>16</v>
      </c>
      <c r="AX346" s="9">
        <v>32</v>
      </c>
      <c r="AY346" s="9">
        <v>32</v>
      </c>
      <c r="AZ346" s="9">
        <v>43</v>
      </c>
      <c r="BA346" s="10">
        <v>153.87</v>
      </c>
      <c r="BB346" s="11">
        <v>44881.04</v>
      </c>
      <c r="BC346" s="11">
        <v>33245.22</v>
      </c>
      <c r="BD346" s="11">
        <v>29920.69</v>
      </c>
      <c r="BE346" s="11">
        <v>34907.480000000003</v>
      </c>
      <c r="BF346" s="11">
        <v>23271.65</v>
      </c>
      <c r="BG346" s="11">
        <v>11500</v>
      </c>
      <c r="BH346" s="11">
        <v>6250</v>
      </c>
      <c r="BI346" s="11">
        <v>4578</v>
      </c>
      <c r="BJ346" s="11">
        <v>8058</v>
      </c>
      <c r="BK346" s="11">
        <v>75603</v>
      </c>
      <c r="BL346" s="11">
        <v>63201</v>
      </c>
      <c r="BM346" s="11">
        <v>55501</v>
      </c>
      <c r="BN346" s="11">
        <v>30000</v>
      </c>
      <c r="BO346" s="9">
        <v>230000</v>
      </c>
      <c r="BP346" s="9">
        <v>7336</v>
      </c>
    </row>
    <row r="347" spans="1:68" x14ac:dyDescent="0.3">
      <c r="A347" s="7">
        <v>45637</v>
      </c>
      <c r="B347" s="7" t="str">
        <f t="shared" si="5"/>
        <v>DECEMBER</v>
      </c>
      <c r="C347" s="8">
        <f>MONTH(Data!$A347)</f>
        <v>12</v>
      </c>
      <c r="D347" s="9">
        <v>1190</v>
      </c>
      <c r="E347" s="9">
        <v>808</v>
      </c>
      <c r="F347" s="9">
        <v>523</v>
      </c>
      <c r="G347" s="9">
        <v>382</v>
      </c>
      <c r="H347" s="9">
        <v>285</v>
      </c>
      <c r="I347" s="9">
        <v>404</v>
      </c>
      <c r="J347" s="9">
        <v>235</v>
      </c>
      <c r="K347" s="9">
        <v>169</v>
      </c>
      <c r="L347" s="9">
        <v>250</v>
      </c>
      <c r="M347" s="9">
        <v>51</v>
      </c>
      <c r="N347" s="9">
        <v>88</v>
      </c>
      <c r="O347" s="9">
        <v>59</v>
      </c>
      <c r="P347" s="9">
        <v>29</v>
      </c>
      <c r="Q347" s="9">
        <v>180</v>
      </c>
      <c r="R347" s="9">
        <v>45</v>
      </c>
      <c r="S347" s="9">
        <v>54</v>
      </c>
      <c r="T347" s="9">
        <v>54</v>
      </c>
      <c r="U347" s="9">
        <v>380</v>
      </c>
      <c r="V347" s="9">
        <v>56</v>
      </c>
      <c r="W347" s="9">
        <v>0</v>
      </c>
      <c r="X347" s="9">
        <v>48</v>
      </c>
      <c r="Y347" s="9">
        <v>16</v>
      </c>
      <c r="Z347" s="9">
        <v>80</v>
      </c>
      <c r="AA347" s="9">
        <v>48</v>
      </c>
      <c r="AB347" s="9">
        <v>24</v>
      </c>
      <c r="AC347" s="9">
        <v>16</v>
      </c>
      <c r="AD347" s="9">
        <v>48</v>
      </c>
      <c r="AE347" s="9">
        <v>0</v>
      </c>
      <c r="AF347" s="9">
        <v>0</v>
      </c>
      <c r="AG347" s="9">
        <v>32</v>
      </c>
      <c r="AH347" s="9">
        <v>8</v>
      </c>
      <c r="AI347" s="9">
        <v>0</v>
      </c>
      <c r="AJ347" s="9">
        <v>16</v>
      </c>
      <c r="AK347" s="9">
        <v>56</v>
      </c>
      <c r="AL347" s="9">
        <v>32</v>
      </c>
      <c r="AM347" s="9">
        <v>32</v>
      </c>
      <c r="AN347" s="9">
        <v>24</v>
      </c>
      <c r="AO347" s="9">
        <v>0</v>
      </c>
      <c r="AP347" s="9">
        <v>24</v>
      </c>
      <c r="AQ347" s="9">
        <v>8</v>
      </c>
      <c r="AR347" s="9">
        <v>64</v>
      </c>
      <c r="AS347" s="9">
        <v>16</v>
      </c>
      <c r="AT347" s="9">
        <v>72</v>
      </c>
      <c r="AU347" s="9">
        <v>8</v>
      </c>
      <c r="AV347" s="9">
        <v>8</v>
      </c>
      <c r="AW347" s="9">
        <v>16</v>
      </c>
      <c r="AX347" s="9">
        <v>32</v>
      </c>
      <c r="AY347" s="9">
        <v>24</v>
      </c>
      <c r="AZ347" s="9">
        <v>0</v>
      </c>
      <c r="BA347" s="10">
        <v>147.72</v>
      </c>
      <c r="BB347" s="11">
        <v>46159.11</v>
      </c>
      <c r="BC347" s="11">
        <v>20002.28</v>
      </c>
      <c r="BD347" s="11">
        <v>35388.65</v>
      </c>
      <c r="BE347" s="11">
        <v>35388.65</v>
      </c>
      <c r="BF347" s="11">
        <v>16925.009999999998</v>
      </c>
      <c r="BG347" s="11">
        <v>11500</v>
      </c>
      <c r="BH347" s="11">
        <v>6250</v>
      </c>
      <c r="BI347" s="11">
        <v>4578</v>
      </c>
      <c r="BJ347" s="11">
        <v>8058</v>
      </c>
      <c r="BK347" s="11">
        <v>75603</v>
      </c>
      <c r="BL347" s="11">
        <v>63201</v>
      </c>
      <c r="BM347" s="11">
        <v>55501</v>
      </c>
      <c r="BN347" s="11">
        <v>30000</v>
      </c>
      <c r="BO347" s="9">
        <v>230000</v>
      </c>
      <c r="BP347" s="9">
        <v>684</v>
      </c>
    </row>
    <row r="348" spans="1:68" x14ac:dyDescent="0.3">
      <c r="A348" s="7">
        <v>45638</v>
      </c>
      <c r="B348" s="7" t="str">
        <f t="shared" si="5"/>
        <v>DECEMBER</v>
      </c>
      <c r="C348" s="8">
        <f>MONTH(Data!$A348)</f>
        <v>12</v>
      </c>
      <c r="D348" s="9">
        <v>1167</v>
      </c>
      <c r="E348" s="9">
        <v>790</v>
      </c>
      <c r="F348" s="9">
        <v>291</v>
      </c>
      <c r="G348" s="9">
        <v>783</v>
      </c>
      <c r="H348" s="9">
        <v>93</v>
      </c>
      <c r="I348" s="9">
        <v>229</v>
      </c>
      <c r="J348" s="9">
        <v>514</v>
      </c>
      <c r="K348" s="9">
        <v>47</v>
      </c>
      <c r="L348" s="9">
        <v>253</v>
      </c>
      <c r="M348" s="9">
        <v>50</v>
      </c>
      <c r="N348" s="9">
        <v>86</v>
      </c>
      <c r="O348" s="9">
        <v>86</v>
      </c>
      <c r="P348" s="9">
        <v>28</v>
      </c>
      <c r="Q348" s="9">
        <v>208</v>
      </c>
      <c r="R348" s="9">
        <v>22</v>
      </c>
      <c r="S348" s="9">
        <v>48</v>
      </c>
      <c r="T348" s="9">
        <v>39</v>
      </c>
      <c r="U348" s="9">
        <v>347</v>
      </c>
      <c r="V348" s="9">
        <v>79</v>
      </c>
      <c r="W348" s="9">
        <v>23</v>
      </c>
      <c r="X348" s="9">
        <v>47</v>
      </c>
      <c r="Y348" s="9">
        <v>0</v>
      </c>
      <c r="Z348" s="9">
        <v>110</v>
      </c>
      <c r="AA348" s="9">
        <v>47</v>
      </c>
      <c r="AB348" s="9">
        <v>0</v>
      </c>
      <c r="AC348" s="9">
        <v>7</v>
      </c>
      <c r="AD348" s="9">
        <v>15</v>
      </c>
      <c r="AE348" s="9">
        <v>15</v>
      </c>
      <c r="AF348" s="9">
        <v>0</v>
      </c>
      <c r="AG348" s="9">
        <v>39</v>
      </c>
      <c r="AH348" s="9">
        <v>15</v>
      </c>
      <c r="AI348" s="9">
        <v>23</v>
      </c>
      <c r="AJ348" s="9">
        <v>7</v>
      </c>
      <c r="AK348" s="9">
        <v>55</v>
      </c>
      <c r="AL348" s="9">
        <v>39</v>
      </c>
      <c r="AM348" s="9">
        <v>23</v>
      </c>
      <c r="AN348" s="9">
        <v>0</v>
      </c>
      <c r="AO348" s="9">
        <v>0</v>
      </c>
      <c r="AP348" s="9">
        <v>7</v>
      </c>
      <c r="AQ348" s="9">
        <v>7</v>
      </c>
      <c r="AR348" s="9">
        <v>79</v>
      </c>
      <c r="AS348" s="9">
        <v>7</v>
      </c>
      <c r="AT348" s="9">
        <v>47</v>
      </c>
      <c r="AU348" s="9">
        <v>31</v>
      </c>
      <c r="AV348" s="9">
        <v>7</v>
      </c>
      <c r="AW348" s="9">
        <v>7</v>
      </c>
      <c r="AX348" s="9">
        <v>0</v>
      </c>
      <c r="AY348" s="9">
        <v>31</v>
      </c>
      <c r="AZ348" s="9">
        <v>23</v>
      </c>
      <c r="BA348" s="10">
        <v>147.72999999999999</v>
      </c>
      <c r="BB348" s="11">
        <v>36933.129999999997</v>
      </c>
      <c r="BC348" s="11">
        <v>25114.53</v>
      </c>
      <c r="BD348" s="11">
        <v>36933.129999999997</v>
      </c>
      <c r="BE348" s="11">
        <v>11818.6</v>
      </c>
      <c r="BF348" s="11">
        <v>36933.129999999997</v>
      </c>
      <c r="BG348" s="11">
        <v>11500</v>
      </c>
      <c r="BH348" s="11">
        <v>6250</v>
      </c>
      <c r="BI348" s="11">
        <v>4578</v>
      </c>
      <c r="BJ348" s="11">
        <v>8058</v>
      </c>
      <c r="BK348" s="11">
        <v>75603</v>
      </c>
      <c r="BL348" s="11">
        <v>63201</v>
      </c>
      <c r="BM348" s="11">
        <v>55501</v>
      </c>
      <c r="BN348" s="11">
        <v>30000</v>
      </c>
      <c r="BO348" s="9">
        <v>230000</v>
      </c>
      <c r="BP348" s="9">
        <v>7382</v>
      </c>
    </row>
    <row r="349" spans="1:68" x14ac:dyDescent="0.3">
      <c r="A349" s="7">
        <v>45639</v>
      </c>
      <c r="B349" s="7" t="str">
        <f t="shared" si="5"/>
        <v>DECEMBER</v>
      </c>
      <c r="C349" s="8">
        <f>MONTH(Data!$A349)</f>
        <v>12</v>
      </c>
      <c r="D349" s="9">
        <v>1155</v>
      </c>
      <c r="E349" s="9">
        <v>763</v>
      </c>
      <c r="F349" s="9">
        <v>600</v>
      </c>
      <c r="G349" s="9">
        <v>394</v>
      </c>
      <c r="H349" s="9">
        <v>161</v>
      </c>
      <c r="I349" s="9">
        <v>373</v>
      </c>
      <c r="J349" s="9">
        <v>223</v>
      </c>
      <c r="K349" s="9">
        <v>167</v>
      </c>
      <c r="L349" s="9">
        <v>300</v>
      </c>
      <c r="M349" s="9">
        <v>157</v>
      </c>
      <c r="N349" s="9">
        <v>71</v>
      </c>
      <c r="O349" s="9">
        <v>50</v>
      </c>
      <c r="P349" s="9">
        <v>71</v>
      </c>
      <c r="Q349" s="9">
        <v>237</v>
      </c>
      <c r="R349" s="9">
        <v>109</v>
      </c>
      <c r="S349" s="9">
        <v>65</v>
      </c>
      <c r="T349" s="9">
        <v>61</v>
      </c>
      <c r="U349" s="9">
        <v>34</v>
      </c>
      <c r="V349" s="9">
        <v>53</v>
      </c>
      <c r="W349" s="9">
        <v>7</v>
      </c>
      <c r="X349" s="9">
        <v>22</v>
      </c>
      <c r="Y349" s="9">
        <v>7</v>
      </c>
      <c r="Z349" s="9">
        <v>45</v>
      </c>
      <c r="AA349" s="9">
        <v>53</v>
      </c>
      <c r="AB349" s="9">
        <v>15</v>
      </c>
      <c r="AC349" s="9">
        <v>0</v>
      </c>
      <c r="AD349" s="9">
        <v>30</v>
      </c>
      <c r="AE349" s="9">
        <v>22</v>
      </c>
      <c r="AF349" s="9">
        <v>0</v>
      </c>
      <c r="AG349" s="9">
        <v>7</v>
      </c>
      <c r="AH349" s="9">
        <v>22</v>
      </c>
      <c r="AI349" s="9">
        <v>0</v>
      </c>
      <c r="AJ349" s="9">
        <v>7</v>
      </c>
      <c r="AK349" s="9">
        <v>45</v>
      </c>
      <c r="AL349" s="9">
        <v>15</v>
      </c>
      <c r="AM349" s="9">
        <v>7</v>
      </c>
      <c r="AN349" s="9">
        <v>0</v>
      </c>
      <c r="AO349" s="9">
        <v>7</v>
      </c>
      <c r="AP349" s="9">
        <v>22</v>
      </c>
      <c r="AQ349" s="9">
        <v>22</v>
      </c>
      <c r="AR349" s="9">
        <v>83</v>
      </c>
      <c r="AS349" s="9">
        <v>22</v>
      </c>
      <c r="AT349" s="9">
        <v>68</v>
      </c>
      <c r="AU349" s="9">
        <v>30</v>
      </c>
      <c r="AV349" s="9">
        <v>7</v>
      </c>
      <c r="AW349" s="9">
        <v>45</v>
      </c>
      <c r="AX349" s="9">
        <v>30</v>
      </c>
      <c r="AY349" s="9">
        <v>0</v>
      </c>
      <c r="AZ349" s="9">
        <v>70</v>
      </c>
      <c r="BA349" s="10">
        <v>150.69</v>
      </c>
      <c r="BB349" s="11">
        <v>48751.73</v>
      </c>
      <c r="BC349" s="11">
        <v>20682.55</v>
      </c>
      <c r="BD349" s="11">
        <v>28069.18</v>
      </c>
      <c r="BE349" s="11">
        <v>35455.800000000003</v>
      </c>
      <c r="BF349" s="11">
        <v>14773.25</v>
      </c>
      <c r="BG349" s="11">
        <v>11500</v>
      </c>
      <c r="BH349" s="11">
        <v>6250</v>
      </c>
      <c r="BI349" s="11">
        <v>4578</v>
      </c>
      <c r="BJ349" s="11">
        <v>8058</v>
      </c>
      <c r="BK349" s="11">
        <v>75603</v>
      </c>
      <c r="BL349" s="11">
        <v>63201</v>
      </c>
      <c r="BM349" s="11">
        <v>55501</v>
      </c>
      <c r="BN349" s="11">
        <v>30000</v>
      </c>
      <c r="BO349" s="9">
        <v>230000</v>
      </c>
      <c r="BP349" s="9">
        <v>2106</v>
      </c>
    </row>
    <row r="350" spans="1:68" x14ac:dyDescent="0.3">
      <c r="A350" s="7">
        <v>45640</v>
      </c>
      <c r="B350" s="7" t="str">
        <f t="shared" si="5"/>
        <v>DECEMBER</v>
      </c>
      <c r="C350" s="8">
        <f>MONTH(Data!$A350)</f>
        <v>12</v>
      </c>
      <c r="D350" s="9">
        <v>1148</v>
      </c>
      <c r="E350" s="9">
        <v>733</v>
      </c>
      <c r="F350" s="9">
        <v>287</v>
      </c>
      <c r="G350" s="9">
        <v>735</v>
      </c>
      <c r="H350" s="9">
        <v>126</v>
      </c>
      <c r="I350" s="9">
        <v>146</v>
      </c>
      <c r="J350" s="9">
        <v>536</v>
      </c>
      <c r="K350" s="9">
        <v>51</v>
      </c>
      <c r="L350" s="9">
        <v>306</v>
      </c>
      <c r="M350" s="9">
        <v>241</v>
      </c>
      <c r="N350" s="9">
        <v>99</v>
      </c>
      <c r="O350" s="9">
        <v>49</v>
      </c>
      <c r="P350" s="9">
        <v>71</v>
      </c>
      <c r="Q350" s="9">
        <v>157</v>
      </c>
      <c r="R350" s="9">
        <v>34</v>
      </c>
      <c r="S350" s="9">
        <v>30</v>
      </c>
      <c r="T350" s="9">
        <v>56</v>
      </c>
      <c r="U350" s="9">
        <v>105</v>
      </c>
      <c r="V350" s="9">
        <v>95</v>
      </c>
      <c r="W350" s="9">
        <v>21</v>
      </c>
      <c r="X350" s="9">
        <v>51</v>
      </c>
      <c r="Y350" s="9">
        <v>14</v>
      </c>
      <c r="Z350" s="9">
        <v>1</v>
      </c>
      <c r="AA350" s="9">
        <v>65</v>
      </c>
      <c r="AB350" s="9">
        <v>0</v>
      </c>
      <c r="AC350" s="9">
        <v>21</v>
      </c>
      <c r="AD350" s="9">
        <v>14</v>
      </c>
      <c r="AE350" s="9">
        <v>21</v>
      </c>
      <c r="AF350" s="9">
        <v>0</v>
      </c>
      <c r="AG350" s="9">
        <v>36</v>
      </c>
      <c r="AH350" s="9">
        <v>7</v>
      </c>
      <c r="AI350" s="9">
        <v>21</v>
      </c>
      <c r="AJ350" s="9">
        <v>14</v>
      </c>
      <c r="AK350" s="9">
        <v>43</v>
      </c>
      <c r="AL350" s="9">
        <v>36</v>
      </c>
      <c r="AM350" s="9">
        <v>36</v>
      </c>
      <c r="AN350" s="9">
        <v>14</v>
      </c>
      <c r="AO350" s="9">
        <v>7</v>
      </c>
      <c r="AP350" s="9">
        <v>0</v>
      </c>
      <c r="AQ350" s="9">
        <v>7</v>
      </c>
      <c r="AR350" s="9">
        <v>51</v>
      </c>
      <c r="AS350" s="9">
        <v>7</v>
      </c>
      <c r="AT350" s="9">
        <v>65</v>
      </c>
      <c r="AU350" s="9">
        <v>36</v>
      </c>
      <c r="AV350" s="9">
        <v>7</v>
      </c>
      <c r="AW350" s="9">
        <v>43</v>
      </c>
      <c r="AX350" s="9">
        <v>0</v>
      </c>
      <c r="AY350" s="9">
        <v>0</v>
      </c>
      <c r="AZ350" s="9">
        <v>0</v>
      </c>
      <c r="BA350" s="10">
        <v>156.73999999999998</v>
      </c>
      <c r="BB350" s="11">
        <v>45211.24</v>
      </c>
      <c r="BC350" s="11">
        <v>30140.83</v>
      </c>
      <c r="BD350" s="11">
        <v>24112.66</v>
      </c>
      <c r="BE350" s="11">
        <v>18084.5</v>
      </c>
      <c r="BF350" s="11">
        <v>33154.910000000003</v>
      </c>
      <c r="BG350" s="11">
        <v>11500</v>
      </c>
      <c r="BH350" s="11">
        <v>6250</v>
      </c>
      <c r="BI350" s="11">
        <v>4578</v>
      </c>
      <c r="BJ350" s="11">
        <v>8058</v>
      </c>
      <c r="BK350" s="11">
        <v>75603</v>
      </c>
      <c r="BL350" s="11">
        <v>63201</v>
      </c>
      <c r="BM350" s="11">
        <v>55501</v>
      </c>
      <c r="BN350" s="11">
        <v>30000</v>
      </c>
      <c r="BO350" s="9">
        <v>230000</v>
      </c>
      <c r="BP350" s="9">
        <v>7702</v>
      </c>
    </row>
    <row r="351" spans="1:68" x14ac:dyDescent="0.3">
      <c r="A351" s="7">
        <v>45641</v>
      </c>
      <c r="B351" s="7" t="str">
        <f t="shared" si="5"/>
        <v>DECEMBER</v>
      </c>
      <c r="C351" s="8">
        <f>MONTH(Data!$A351)</f>
        <v>12</v>
      </c>
      <c r="D351" s="9">
        <v>1151</v>
      </c>
      <c r="E351" s="9">
        <v>717</v>
      </c>
      <c r="F351" s="9">
        <v>460</v>
      </c>
      <c r="G351" s="9">
        <v>622</v>
      </c>
      <c r="H351" s="9">
        <v>69</v>
      </c>
      <c r="I351" s="9">
        <v>272</v>
      </c>
      <c r="J351" s="9">
        <v>402</v>
      </c>
      <c r="K351" s="9">
        <v>43</v>
      </c>
      <c r="L351" s="9">
        <v>349</v>
      </c>
      <c r="M351" s="9">
        <v>57</v>
      </c>
      <c r="N351" s="9">
        <v>85</v>
      </c>
      <c r="O351" s="9">
        <v>99</v>
      </c>
      <c r="P351" s="9">
        <v>64</v>
      </c>
      <c r="Q351" s="9">
        <v>240</v>
      </c>
      <c r="R351" s="9">
        <v>148</v>
      </c>
      <c r="S351" s="9">
        <v>56</v>
      </c>
      <c r="T351" s="9">
        <v>21</v>
      </c>
      <c r="U351" s="9">
        <v>32</v>
      </c>
      <c r="V351" s="9">
        <v>64</v>
      </c>
      <c r="W351" s="9">
        <v>21</v>
      </c>
      <c r="X351" s="9">
        <v>35</v>
      </c>
      <c r="Y351" s="9">
        <v>0</v>
      </c>
      <c r="Z351" s="9">
        <v>78</v>
      </c>
      <c r="AA351" s="9">
        <v>64</v>
      </c>
      <c r="AB351" s="9">
        <v>14</v>
      </c>
      <c r="AC351" s="9">
        <v>21</v>
      </c>
      <c r="AD351" s="9">
        <v>43</v>
      </c>
      <c r="AE351" s="9">
        <v>21</v>
      </c>
      <c r="AF351" s="9">
        <v>7</v>
      </c>
      <c r="AG351" s="9">
        <v>7</v>
      </c>
      <c r="AH351" s="9">
        <v>7</v>
      </c>
      <c r="AI351" s="9">
        <v>0</v>
      </c>
      <c r="AJ351" s="9">
        <v>7</v>
      </c>
      <c r="AK351" s="9">
        <v>35</v>
      </c>
      <c r="AL351" s="9">
        <v>7</v>
      </c>
      <c r="AM351" s="9">
        <v>21</v>
      </c>
      <c r="AN351" s="9">
        <v>7</v>
      </c>
      <c r="AO351" s="9">
        <v>0</v>
      </c>
      <c r="AP351" s="9">
        <v>21</v>
      </c>
      <c r="AQ351" s="9">
        <v>21</v>
      </c>
      <c r="AR351" s="9">
        <v>57</v>
      </c>
      <c r="AS351" s="9">
        <v>21</v>
      </c>
      <c r="AT351" s="9">
        <v>28</v>
      </c>
      <c r="AU351" s="9">
        <v>7</v>
      </c>
      <c r="AV351" s="9">
        <v>7</v>
      </c>
      <c r="AW351" s="9">
        <v>7</v>
      </c>
      <c r="AX351" s="9">
        <v>21</v>
      </c>
      <c r="AY351" s="9">
        <v>14</v>
      </c>
      <c r="AZ351" s="9">
        <v>54</v>
      </c>
      <c r="BA351" s="10">
        <v>166.06</v>
      </c>
      <c r="BB351" s="11">
        <v>40751.89</v>
      </c>
      <c r="BC351" s="11">
        <v>34482.370000000003</v>
      </c>
      <c r="BD351" s="11">
        <v>26645.47</v>
      </c>
      <c r="BE351" s="11">
        <v>29780.23</v>
      </c>
      <c r="BF351" s="11">
        <v>25078.09</v>
      </c>
      <c r="BG351" s="11">
        <v>8000</v>
      </c>
      <c r="BH351" s="11">
        <v>6250</v>
      </c>
      <c r="BI351" s="11">
        <v>4578</v>
      </c>
      <c r="BJ351" s="11">
        <v>7058</v>
      </c>
      <c r="BK351" s="11">
        <v>75603</v>
      </c>
      <c r="BL351" s="11">
        <v>63201</v>
      </c>
      <c r="BM351" s="11">
        <v>55501</v>
      </c>
      <c r="BN351" s="11">
        <v>30000</v>
      </c>
      <c r="BO351" s="9">
        <v>230000</v>
      </c>
      <c r="BP351" s="9">
        <v>6147</v>
      </c>
    </row>
    <row r="352" spans="1:68" x14ac:dyDescent="0.3">
      <c r="A352" s="7">
        <v>45642</v>
      </c>
      <c r="B352" s="7" t="str">
        <f t="shared" si="5"/>
        <v>DECEMBER</v>
      </c>
      <c r="C352" s="8">
        <f>MONTH(Data!$A352)</f>
        <v>12</v>
      </c>
      <c r="D352" s="9">
        <v>1172</v>
      </c>
      <c r="E352" s="9">
        <v>713</v>
      </c>
      <c r="F352" s="9">
        <v>257</v>
      </c>
      <c r="G352" s="9">
        <v>833</v>
      </c>
      <c r="H352" s="9">
        <v>82</v>
      </c>
      <c r="I352" s="9">
        <v>292</v>
      </c>
      <c r="J352" s="9">
        <v>329</v>
      </c>
      <c r="K352" s="9">
        <v>92</v>
      </c>
      <c r="L352" s="9">
        <v>247</v>
      </c>
      <c r="M352" s="9">
        <v>247</v>
      </c>
      <c r="N352" s="9">
        <v>87</v>
      </c>
      <c r="O352" s="9">
        <v>43</v>
      </c>
      <c r="P352" s="9">
        <v>50</v>
      </c>
      <c r="Q352" s="9">
        <v>213</v>
      </c>
      <c r="R352" s="9">
        <v>84</v>
      </c>
      <c r="S352" s="9">
        <v>48</v>
      </c>
      <c r="T352" s="9">
        <v>57</v>
      </c>
      <c r="U352" s="9">
        <v>96</v>
      </c>
      <c r="V352" s="9">
        <v>28</v>
      </c>
      <c r="W352" s="9">
        <v>21</v>
      </c>
      <c r="X352" s="9">
        <v>35</v>
      </c>
      <c r="Y352" s="9">
        <v>21</v>
      </c>
      <c r="Z352" s="9">
        <v>71</v>
      </c>
      <c r="AA352" s="9">
        <v>57</v>
      </c>
      <c r="AB352" s="9">
        <v>14</v>
      </c>
      <c r="AC352" s="9">
        <v>7</v>
      </c>
      <c r="AD352" s="9">
        <v>14</v>
      </c>
      <c r="AE352" s="9">
        <v>7</v>
      </c>
      <c r="AF352" s="9">
        <v>7</v>
      </c>
      <c r="AG352" s="9">
        <v>14</v>
      </c>
      <c r="AH352" s="9">
        <v>21</v>
      </c>
      <c r="AI352" s="9">
        <v>0</v>
      </c>
      <c r="AJ352" s="9">
        <v>14</v>
      </c>
      <c r="AK352" s="9">
        <v>35</v>
      </c>
      <c r="AL352" s="9">
        <v>49</v>
      </c>
      <c r="AM352" s="9">
        <v>28</v>
      </c>
      <c r="AN352" s="9">
        <v>0</v>
      </c>
      <c r="AO352" s="9">
        <v>0</v>
      </c>
      <c r="AP352" s="9">
        <v>7</v>
      </c>
      <c r="AQ352" s="9">
        <v>14</v>
      </c>
      <c r="AR352" s="9">
        <v>71</v>
      </c>
      <c r="AS352" s="9">
        <v>14</v>
      </c>
      <c r="AT352" s="9">
        <v>57</v>
      </c>
      <c r="AU352" s="9">
        <v>7</v>
      </c>
      <c r="AV352" s="9">
        <v>7</v>
      </c>
      <c r="AW352" s="9">
        <v>21</v>
      </c>
      <c r="AX352" s="9">
        <v>7</v>
      </c>
      <c r="AY352" s="9">
        <v>28</v>
      </c>
      <c r="AZ352" s="9">
        <v>37</v>
      </c>
      <c r="BA352" s="10">
        <v>179.05</v>
      </c>
      <c r="BB352" s="11">
        <v>46497.47</v>
      </c>
      <c r="BC352" s="11">
        <v>26569.99</v>
      </c>
      <c r="BD352" s="11">
        <v>24909.360000000001</v>
      </c>
      <c r="BE352" s="11">
        <v>34873.11</v>
      </c>
      <c r="BF352" s="11">
        <v>33212.480000000003</v>
      </c>
      <c r="BG352" s="11">
        <v>8000</v>
      </c>
      <c r="BH352" s="11">
        <v>6250</v>
      </c>
      <c r="BI352" s="11">
        <v>4578</v>
      </c>
      <c r="BJ352" s="11">
        <v>7058</v>
      </c>
      <c r="BK352" s="11">
        <v>75603</v>
      </c>
      <c r="BL352" s="11">
        <v>63201</v>
      </c>
      <c r="BM352" s="11">
        <v>55501</v>
      </c>
      <c r="BN352" s="11">
        <v>30000</v>
      </c>
      <c r="BO352" s="9">
        <v>230000</v>
      </c>
      <c r="BP352" s="9">
        <v>8342</v>
      </c>
    </row>
    <row r="353" spans="1:68" x14ac:dyDescent="0.3">
      <c r="A353" s="7">
        <v>45643</v>
      </c>
      <c r="B353" s="7" t="str">
        <f t="shared" si="5"/>
        <v>DECEMBER</v>
      </c>
      <c r="C353" s="8">
        <f>MONTH(Data!$A353)</f>
        <v>12</v>
      </c>
      <c r="D353" s="9">
        <v>1191</v>
      </c>
      <c r="E353" s="9">
        <v>714</v>
      </c>
      <c r="F353" s="9">
        <v>357</v>
      </c>
      <c r="G353" s="9">
        <v>763</v>
      </c>
      <c r="H353" s="9">
        <v>71</v>
      </c>
      <c r="I353" s="9">
        <v>292</v>
      </c>
      <c r="J353" s="9">
        <v>337</v>
      </c>
      <c r="K353" s="9">
        <v>85</v>
      </c>
      <c r="L353" s="9">
        <v>280</v>
      </c>
      <c r="M353" s="9">
        <v>162</v>
      </c>
      <c r="N353" s="9">
        <v>103</v>
      </c>
      <c r="O353" s="9">
        <v>110</v>
      </c>
      <c r="P353" s="9">
        <v>59</v>
      </c>
      <c r="Q353" s="9">
        <v>248</v>
      </c>
      <c r="R353" s="9">
        <v>99</v>
      </c>
      <c r="S353" s="9">
        <v>31</v>
      </c>
      <c r="T353" s="9">
        <v>54</v>
      </c>
      <c r="U353" s="9">
        <v>45</v>
      </c>
      <c r="V353" s="9">
        <v>49</v>
      </c>
      <c r="W353" s="9">
        <v>21</v>
      </c>
      <c r="X353" s="9">
        <v>49</v>
      </c>
      <c r="Y353" s="9">
        <v>7</v>
      </c>
      <c r="Z353" s="9">
        <v>49</v>
      </c>
      <c r="AA353" s="9">
        <v>42</v>
      </c>
      <c r="AB353" s="9">
        <v>0</v>
      </c>
      <c r="AC353" s="9">
        <v>21</v>
      </c>
      <c r="AD353" s="9">
        <v>35</v>
      </c>
      <c r="AE353" s="9">
        <v>21</v>
      </c>
      <c r="AF353" s="9">
        <v>0</v>
      </c>
      <c r="AG353" s="9">
        <v>21</v>
      </c>
      <c r="AH353" s="9">
        <v>0</v>
      </c>
      <c r="AI353" s="9">
        <v>7</v>
      </c>
      <c r="AJ353" s="9">
        <v>14</v>
      </c>
      <c r="AK353" s="9">
        <v>28</v>
      </c>
      <c r="AL353" s="9">
        <v>35</v>
      </c>
      <c r="AM353" s="9">
        <v>35</v>
      </c>
      <c r="AN353" s="9">
        <v>7</v>
      </c>
      <c r="AO353" s="9">
        <v>0</v>
      </c>
      <c r="AP353" s="9">
        <v>14</v>
      </c>
      <c r="AQ353" s="9">
        <v>14</v>
      </c>
      <c r="AR353" s="9">
        <v>71</v>
      </c>
      <c r="AS353" s="9">
        <v>21</v>
      </c>
      <c r="AT353" s="9">
        <v>42</v>
      </c>
      <c r="AU353" s="9">
        <v>14</v>
      </c>
      <c r="AV353" s="9">
        <v>0</v>
      </c>
      <c r="AW353" s="9">
        <v>28</v>
      </c>
      <c r="AX353" s="9">
        <v>21</v>
      </c>
      <c r="AY353" s="9">
        <v>7</v>
      </c>
      <c r="AZ353" s="9">
        <v>41</v>
      </c>
      <c r="BA353" s="10">
        <v>197.61</v>
      </c>
      <c r="BB353" s="11">
        <v>46553.14</v>
      </c>
      <c r="BC353" s="11">
        <v>23276.57</v>
      </c>
      <c r="BD353" s="11">
        <v>41181.620000000003</v>
      </c>
      <c r="BE353" s="11">
        <v>41181.620000000003</v>
      </c>
      <c r="BF353" s="11">
        <v>26857.58</v>
      </c>
      <c r="BG353" s="11">
        <v>8000</v>
      </c>
      <c r="BH353" s="11">
        <v>6250</v>
      </c>
      <c r="BI353" s="11">
        <v>3353</v>
      </c>
      <c r="BJ353" s="11">
        <v>7058</v>
      </c>
      <c r="BK353" s="11">
        <v>75603</v>
      </c>
      <c r="BL353" s="11">
        <v>63201</v>
      </c>
      <c r="BM353" s="11">
        <v>55501</v>
      </c>
      <c r="BN353" s="11">
        <v>30000</v>
      </c>
      <c r="BO353" s="9">
        <v>230000</v>
      </c>
      <c r="BP353" s="9">
        <v>1640</v>
      </c>
    </row>
    <row r="354" spans="1:68" x14ac:dyDescent="0.3">
      <c r="A354" s="7">
        <v>45644</v>
      </c>
      <c r="B354" s="7" t="str">
        <f t="shared" si="5"/>
        <v>DECEMBER</v>
      </c>
      <c r="C354" s="8">
        <f>MONTH(Data!$A354)</f>
        <v>12</v>
      </c>
      <c r="D354" s="9">
        <v>1194</v>
      </c>
      <c r="E354" s="9">
        <v>719</v>
      </c>
      <c r="F354" s="9">
        <v>489</v>
      </c>
      <c r="G354" s="9">
        <v>562</v>
      </c>
      <c r="H354" s="9">
        <v>143</v>
      </c>
      <c r="I354" s="9">
        <v>309</v>
      </c>
      <c r="J354" s="9">
        <v>231</v>
      </c>
      <c r="K354" s="9">
        <v>179</v>
      </c>
      <c r="L354" s="9">
        <v>355</v>
      </c>
      <c r="M354" s="9">
        <v>103</v>
      </c>
      <c r="N354" s="9">
        <v>66</v>
      </c>
      <c r="O354" s="9">
        <v>103</v>
      </c>
      <c r="P354" s="9">
        <v>66</v>
      </c>
      <c r="Q354" s="9">
        <v>172</v>
      </c>
      <c r="R354" s="9">
        <v>40</v>
      </c>
      <c r="S354" s="9">
        <v>40</v>
      </c>
      <c r="T354" s="9">
        <v>49</v>
      </c>
      <c r="U354" s="9">
        <v>200</v>
      </c>
      <c r="V354" s="9">
        <v>100</v>
      </c>
      <c r="W354" s="9">
        <v>21</v>
      </c>
      <c r="X354" s="9">
        <v>28</v>
      </c>
      <c r="Y354" s="9">
        <v>7</v>
      </c>
      <c r="Z354" s="9">
        <v>19</v>
      </c>
      <c r="AA354" s="9">
        <v>50</v>
      </c>
      <c r="AB354" s="9">
        <v>14</v>
      </c>
      <c r="AC354" s="9">
        <v>14</v>
      </c>
      <c r="AD354" s="9">
        <v>28</v>
      </c>
      <c r="AE354" s="9">
        <v>14</v>
      </c>
      <c r="AF354" s="9">
        <v>7</v>
      </c>
      <c r="AG354" s="9">
        <v>21</v>
      </c>
      <c r="AH354" s="9">
        <v>7</v>
      </c>
      <c r="AI354" s="9">
        <v>21</v>
      </c>
      <c r="AJ354" s="9">
        <v>7</v>
      </c>
      <c r="AK354" s="9">
        <v>57</v>
      </c>
      <c r="AL354" s="9">
        <v>43</v>
      </c>
      <c r="AM354" s="9">
        <v>7</v>
      </c>
      <c r="AN354" s="9">
        <v>21</v>
      </c>
      <c r="AO354" s="9">
        <v>7</v>
      </c>
      <c r="AP354" s="9">
        <v>0</v>
      </c>
      <c r="AQ354" s="9">
        <v>7</v>
      </c>
      <c r="AR354" s="9">
        <v>57</v>
      </c>
      <c r="AS354" s="9">
        <v>14</v>
      </c>
      <c r="AT354" s="9">
        <v>43</v>
      </c>
      <c r="AU354" s="9">
        <v>35</v>
      </c>
      <c r="AV354" s="9">
        <v>7</v>
      </c>
      <c r="AW354" s="9">
        <v>14</v>
      </c>
      <c r="AX354" s="9">
        <v>28</v>
      </c>
      <c r="AY354" s="9">
        <v>21</v>
      </c>
      <c r="AZ354" s="9">
        <v>0</v>
      </c>
      <c r="BA354" s="10">
        <v>217.60000000000002</v>
      </c>
      <c r="BB354" s="11">
        <v>67187.48</v>
      </c>
      <c r="BC354" s="11">
        <v>47426.46</v>
      </c>
      <c r="BD354" s="11">
        <v>23713.23</v>
      </c>
      <c r="BE354" s="11">
        <v>15808.82</v>
      </c>
      <c r="BF354" s="11">
        <v>43474.25</v>
      </c>
      <c r="BG354" s="11">
        <v>8000</v>
      </c>
      <c r="BH354" s="11">
        <v>6250</v>
      </c>
      <c r="BI354" s="11">
        <v>3353</v>
      </c>
      <c r="BJ354" s="11">
        <v>7058</v>
      </c>
      <c r="BK354" s="11">
        <v>75603</v>
      </c>
      <c r="BL354" s="11">
        <v>63201</v>
      </c>
      <c r="BM354" s="11">
        <v>55501</v>
      </c>
      <c r="BN354" s="11">
        <v>30000</v>
      </c>
      <c r="BO354" s="9">
        <v>230000</v>
      </c>
      <c r="BP354" s="9">
        <v>4728</v>
      </c>
    </row>
    <row r="355" spans="1:68" x14ac:dyDescent="0.3">
      <c r="A355" s="7">
        <v>45645</v>
      </c>
      <c r="B355" s="7" t="str">
        <f t="shared" si="5"/>
        <v>DECEMBER</v>
      </c>
      <c r="C355" s="8">
        <f>MONTH(Data!$A355)</f>
        <v>12</v>
      </c>
      <c r="D355" s="9">
        <v>1188</v>
      </c>
      <c r="E355" s="9">
        <v>731</v>
      </c>
      <c r="F355" s="9">
        <v>237</v>
      </c>
      <c r="G355" s="9">
        <v>690</v>
      </c>
      <c r="H355" s="9">
        <v>261</v>
      </c>
      <c r="I355" s="9">
        <v>168</v>
      </c>
      <c r="J355" s="9">
        <v>432</v>
      </c>
      <c r="K355" s="9">
        <v>131</v>
      </c>
      <c r="L355" s="9">
        <v>294</v>
      </c>
      <c r="M355" s="9">
        <v>58</v>
      </c>
      <c r="N355" s="9">
        <v>95</v>
      </c>
      <c r="O355" s="9">
        <v>36</v>
      </c>
      <c r="P355" s="9">
        <v>51</v>
      </c>
      <c r="Q355" s="9">
        <v>185</v>
      </c>
      <c r="R355" s="9">
        <v>121</v>
      </c>
      <c r="S355" s="9">
        <v>49</v>
      </c>
      <c r="T355" s="9">
        <v>40</v>
      </c>
      <c r="U355" s="9">
        <v>259</v>
      </c>
      <c r="V355" s="9">
        <v>51</v>
      </c>
      <c r="W355" s="9">
        <v>21</v>
      </c>
      <c r="X355" s="9">
        <v>43</v>
      </c>
      <c r="Y355" s="9">
        <v>0</v>
      </c>
      <c r="Z355" s="9">
        <v>109</v>
      </c>
      <c r="AA355" s="9">
        <v>36</v>
      </c>
      <c r="AB355" s="9">
        <v>21</v>
      </c>
      <c r="AC355" s="9">
        <v>0</v>
      </c>
      <c r="AD355" s="9">
        <v>14</v>
      </c>
      <c r="AE355" s="9">
        <v>0</v>
      </c>
      <c r="AF355" s="9">
        <v>7</v>
      </c>
      <c r="AG355" s="9">
        <v>21</v>
      </c>
      <c r="AH355" s="9">
        <v>0</v>
      </c>
      <c r="AI355" s="9">
        <v>0</v>
      </c>
      <c r="AJ355" s="9">
        <v>21</v>
      </c>
      <c r="AK355" s="9">
        <v>43</v>
      </c>
      <c r="AL355" s="9">
        <v>14</v>
      </c>
      <c r="AM355" s="9">
        <v>14</v>
      </c>
      <c r="AN355" s="9">
        <v>7</v>
      </c>
      <c r="AO355" s="9">
        <v>0</v>
      </c>
      <c r="AP355" s="9">
        <v>0</v>
      </c>
      <c r="AQ355" s="9">
        <v>29</v>
      </c>
      <c r="AR355" s="9">
        <v>51</v>
      </c>
      <c r="AS355" s="9">
        <v>14</v>
      </c>
      <c r="AT355" s="9">
        <v>43</v>
      </c>
      <c r="AU355" s="9">
        <v>29</v>
      </c>
      <c r="AV355" s="9">
        <v>0</v>
      </c>
      <c r="AW355" s="9">
        <v>14</v>
      </c>
      <c r="AX355" s="9">
        <v>21</v>
      </c>
      <c r="AY355" s="9">
        <v>0</v>
      </c>
      <c r="AZ355" s="9">
        <v>108</v>
      </c>
      <c r="BA355" s="10">
        <v>239.09</v>
      </c>
      <c r="BB355" s="11">
        <v>67456.13</v>
      </c>
      <c r="BC355" s="11">
        <v>52224.1</v>
      </c>
      <c r="BD355" s="11">
        <v>50048.1</v>
      </c>
      <c r="BE355" s="11">
        <v>27872.1</v>
      </c>
      <c r="BF355" s="11">
        <v>20000</v>
      </c>
      <c r="BG355" s="11">
        <v>8000</v>
      </c>
      <c r="BH355" s="11">
        <v>6250</v>
      </c>
      <c r="BI355" s="11">
        <v>3353</v>
      </c>
      <c r="BJ355" s="11">
        <v>7058</v>
      </c>
      <c r="BK355" s="11">
        <v>75603</v>
      </c>
      <c r="BL355" s="11">
        <v>63201</v>
      </c>
      <c r="BM355" s="11">
        <v>55501</v>
      </c>
      <c r="BN355" s="11">
        <v>30000</v>
      </c>
      <c r="BO355" s="9">
        <v>230000</v>
      </c>
      <c r="BP355" s="9">
        <v>1750</v>
      </c>
    </row>
    <row r="356" spans="1:68" x14ac:dyDescent="0.3">
      <c r="A356" s="7">
        <v>45646</v>
      </c>
      <c r="B356" s="7" t="str">
        <f t="shared" si="5"/>
        <v>DECEMBER</v>
      </c>
      <c r="C356" s="8">
        <f>MONTH(Data!$A356)</f>
        <v>12</v>
      </c>
      <c r="D356" s="9">
        <v>1173</v>
      </c>
      <c r="E356" s="9">
        <v>754</v>
      </c>
      <c r="F356" s="9">
        <v>492</v>
      </c>
      <c r="G356" s="9">
        <v>517</v>
      </c>
      <c r="H356" s="9">
        <v>164</v>
      </c>
      <c r="I356" s="9">
        <v>286</v>
      </c>
      <c r="J356" s="9">
        <v>333</v>
      </c>
      <c r="K356" s="9">
        <v>135</v>
      </c>
      <c r="L356" s="9">
        <v>378</v>
      </c>
      <c r="M356" s="9">
        <v>232</v>
      </c>
      <c r="N356" s="9">
        <v>94</v>
      </c>
      <c r="O356" s="9">
        <v>43</v>
      </c>
      <c r="P356" s="9">
        <v>50</v>
      </c>
      <c r="Q356" s="9">
        <v>151</v>
      </c>
      <c r="R356" s="9">
        <v>115</v>
      </c>
      <c r="S356" s="9">
        <v>66</v>
      </c>
      <c r="T356" s="9">
        <v>44</v>
      </c>
      <c r="U356" s="9">
        <v>0</v>
      </c>
      <c r="V356" s="9">
        <v>30</v>
      </c>
      <c r="W356" s="9">
        <v>22</v>
      </c>
      <c r="X356" s="9">
        <v>45</v>
      </c>
      <c r="Y356" s="9">
        <v>15</v>
      </c>
      <c r="Z356" s="9">
        <v>60</v>
      </c>
      <c r="AA356" s="9">
        <v>37</v>
      </c>
      <c r="AB356" s="9">
        <v>0</v>
      </c>
      <c r="AC356" s="9">
        <v>7</v>
      </c>
      <c r="AD356" s="9">
        <v>22</v>
      </c>
      <c r="AE356" s="9">
        <v>15</v>
      </c>
      <c r="AF356" s="9">
        <v>0</v>
      </c>
      <c r="AG356" s="9">
        <v>15</v>
      </c>
      <c r="AH356" s="9">
        <v>15</v>
      </c>
      <c r="AI356" s="9">
        <v>22</v>
      </c>
      <c r="AJ356" s="9">
        <v>0</v>
      </c>
      <c r="AK356" s="9">
        <v>67</v>
      </c>
      <c r="AL356" s="9">
        <v>37</v>
      </c>
      <c r="AM356" s="9">
        <v>30</v>
      </c>
      <c r="AN356" s="9">
        <v>7</v>
      </c>
      <c r="AO356" s="9">
        <v>0</v>
      </c>
      <c r="AP356" s="9">
        <v>30</v>
      </c>
      <c r="AQ356" s="9">
        <v>22</v>
      </c>
      <c r="AR356" s="9">
        <v>52</v>
      </c>
      <c r="AS356" s="9">
        <v>22</v>
      </c>
      <c r="AT356" s="9">
        <v>60</v>
      </c>
      <c r="AU356" s="9">
        <v>15</v>
      </c>
      <c r="AV356" s="9">
        <v>7</v>
      </c>
      <c r="AW356" s="9">
        <v>22</v>
      </c>
      <c r="AX356" s="9">
        <v>15</v>
      </c>
      <c r="AY356" s="9">
        <v>7</v>
      </c>
      <c r="AZ356" s="9">
        <v>56</v>
      </c>
      <c r="BA356" s="10">
        <v>254.47</v>
      </c>
      <c r="BB356" s="11">
        <v>59773.78</v>
      </c>
      <c r="BC356" s="11">
        <v>40646.17</v>
      </c>
      <c r="BD356" s="11">
        <v>50209.97</v>
      </c>
      <c r="BE356" s="11">
        <v>57382.83</v>
      </c>
      <c r="BF356" s="11">
        <v>31082.36</v>
      </c>
      <c r="BG356" s="11">
        <v>8000</v>
      </c>
      <c r="BH356" s="11">
        <v>6250</v>
      </c>
      <c r="BI356" s="11">
        <v>3353</v>
      </c>
      <c r="BJ356" s="11">
        <v>7058</v>
      </c>
      <c r="BK356" s="11">
        <v>75603</v>
      </c>
      <c r="BL356" s="11">
        <v>63201</v>
      </c>
      <c r="BM356" s="11">
        <v>55501</v>
      </c>
      <c r="BN356" s="11">
        <v>30000</v>
      </c>
      <c r="BO356" s="9">
        <v>230000</v>
      </c>
      <c r="BP356" s="9">
        <v>3691</v>
      </c>
    </row>
    <row r="357" spans="1:68" x14ac:dyDescent="0.3">
      <c r="A357" s="7">
        <v>45647</v>
      </c>
      <c r="B357" s="7" t="str">
        <f t="shared" si="5"/>
        <v>DECEMBER</v>
      </c>
      <c r="C357" s="8">
        <f>MONTH(Data!$A357)</f>
        <v>12</v>
      </c>
      <c r="D357" s="9">
        <v>1150</v>
      </c>
      <c r="E357" s="9">
        <v>787</v>
      </c>
      <c r="F357" s="9">
        <v>230</v>
      </c>
      <c r="G357" s="9">
        <v>656</v>
      </c>
      <c r="H357" s="9">
        <v>264</v>
      </c>
      <c r="I357" s="9">
        <v>228</v>
      </c>
      <c r="J357" s="9">
        <v>371</v>
      </c>
      <c r="K357" s="9">
        <v>188</v>
      </c>
      <c r="L357" s="9">
        <v>336</v>
      </c>
      <c r="M357" s="9">
        <v>178</v>
      </c>
      <c r="N357" s="9">
        <v>99</v>
      </c>
      <c r="O357" s="9">
        <v>106</v>
      </c>
      <c r="P357" s="9">
        <v>35</v>
      </c>
      <c r="Q357" s="9">
        <v>196</v>
      </c>
      <c r="R357" s="9">
        <v>96</v>
      </c>
      <c r="S357" s="9">
        <v>43</v>
      </c>
      <c r="T357" s="9">
        <v>61</v>
      </c>
      <c r="U357" s="9">
        <v>0</v>
      </c>
      <c r="V357" s="9">
        <v>55</v>
      </c>
      <c r="W357" s="9">
        <v>0</v>
      </c>
      <c r="X357" s="9">
        <v>55</v>
      </c>
      <c r="Y357" s="9">
        <v>7</v>
      </c>
      <c r="Z357" s="9">
        <v>86</v>
      </c>
      <c r="AA357" s="9">
        <v>47</v>
      </c>
      <c r="AB357" s="9">
        <v>7</v>
      </c>
      <c r="AC357" s="9">
        <v>0</v>
      </c>
      <c r="AD357" s="9">
        <v>23</v>
      </c>
      <c r="AE357" s="9">
        <v>7</v>
      </c>
      <c r="AF357" s="9">
        <v>0</v>
      </c>
      <c r="AG357" s="9">
        <v>39</v>
      </c>
      <c r="AH357" s="9">
        <v>7</v>
      </c>
      <c r="AI357" s="9">
        <v>23</v>
      </c>
      <c r="AJ357" s="9">
        <v>0</v>
      </c>
      <c r="AK357" s="9">
        <v>47</v>
      </c>
      <c r="AL357" s="9">
        <v>47</v>
      </c>
      <c r="AM357" s="9">
        <v>39</v>
      </c>
      <c r="AN357" s="9">
        <v>7</v>
      </c>
      <c r="AO357" s="9">
        <v>7</v>
      </c>
      <c r="AP357" s="9">
        <v>7</v>
      </c>
      <c r="AQ357" s="9">
        <v>31</v>
      </c>
      <c r="AR357" s="9">
        <v>86</v>
      </c>
      <c r="AS357" s="9">
        <v>23</v>
      </c>
      <c r="AT357" s="9">
        <v>47</v>
      </c>
      <c r="AU357" s="9">
        <v>7</v>
      </c>
      <c r="AV357" s="9">
        <v>0</v>
      </c>
      <c r="AW357" s="9">
        <v>15</v>
      </c>
      <c r="AX357" s="9">
        <v>23</v>
      </c>
      <c r="AY357" s="9">
        <v>31</v>
      </c>
      <c r="AZ357" s="9">
        <v>14</v>
      </c>
      <c r="BA357" s="10">
        <v>264.33</v>
      </c>
      <c r="BB357" s="11">
        <v>81433.149999999994</v>
      </c>
      <c r="BC357" s="11">
        <v>50895.72</v>
      </c>
      <c r="BD357" s="11">
        <v>61074.86</v>
      </c>
      <c r="BE357" s="11">
        <v>31074.86</v>
      </c>
      <c r="BF357" s="11">
        <v>30000</v>
      </c>
      <c r="BG357" s="11">
        <v>8000</v>
      </c>
      <c r="BH357" s="11">
        <v>6250</v>
      </c>
      <c r="BI357" s="11">
        <v>3353</v>
      </c>
      <c r="BJ357" s="11">
        <v>7058</v>
      </c>
      <c r="BK357" s="11">
        <v>75603</v>
      </c>
      <c r="BL357" s="11">
        <v>63201</v>
      </c>
      <c r="BM357" s="11">
        <v>55501</v>
      </c>
      <c r="BN357" s="11">
        <v>30000</v>
      </c>
      <c r="BO357" s="9">
        <v>230000</v>
      </c>
      <c r="BP357" s="9">
        <v>6078</v>
      </c>
    </row>
    <row r="358" spans="1:68" x14ac:dyDescent="0.3">
      <c r="A358" s="7">
        <v>45648</v>
      </c>
      <c r="B358" s="7" t="str">
        <f t="shared" si="5"/>
        <v>DECEMBER</v>
      </c>
      <c r="C358" s="8">
        <f>MONTH(Data!$A358)</f>
        <v>12</v>
      </c>
      <c r="D358" s="9">
        <v>1119</v>
      </c>
      <c r="E358" s="9">
        <v>823</v>
      </c>
      <c r="F358" s="9">
        <v>537</v>
      </c>
      <c r="G358" s="9">
        <v>515</v>
      </c>
      <c r="H358" s="9">
        <v>67</v>
      </c>
      <c r="I358" s="9">
        <v>378</v>
      </c>
      <c r="J358" s="9">
        <v>363</v>
      </c>
      <c r="K358" s="9">
        <v>82</v>
      </c>
      <c r="L358" s="9">
        <v>242</v>
      </c>
      <c r="M358" s="9">
        <v>145</v>
      </c>
      <c r="N358" s="9">
        <v>55</v>
      </c>
      <c r="O358" s="9">
        <v>62</v>
      </c>
      <c r="P358" s="9">
        <v>41</v>
      </c>
      <c r="Q358" s="9">
        <v>233</v>
      </c>
      <c r="R358" s="9">
        <v>25</v>
      </c>
      <c r="S358" s="9">
        <v>46</v>
      </c>
      <c r="T358" s="9">
        <v>59</v>
      </c>
      <c r="U358" s="9">
        <v>211</v>
      </c>
      <c r="V358" s="9">
        <v>49</v>
      </c>
      <c r="W358" s="9">
        <v>0</v>
      </c>
      <c r="X358" s="9">
        <v>32</v>
      </c>
      <c r="Y358" s="9">
        <v>16</v>
      </c>
      <c r="Z358" s="9">
        <v>106</v>
      </c>
      <c r="AA358" s="9">
        <v>74</v>
      </c>
      <c r="AB358" s="9">
        <v>0</v>
      </c>
      <c r="AC358" s="9">
        <v>8</v>
      </c>
      <c r="AD358" s="9">
        <v>16</v>
      </c>
      <c r="AE358" s="9">
        <v>24</v>
      </c>
      <c r="AF358" s="9">
        <v>8</v>
      </c>
      <c r="AG358" s="9">
        <v>16</v>
      </c>
      <c r="AH358" s="9">
        <v>8</v>
      </c>
      <c r="AI358" s="9">
        <v>8</v>
      </c>
      <c r="AJ358" s="9">
        <v>16</v>
      </c>
      <c r="AK358" s="9">
        <v>57</v>
      </c>
      <c r="AL358" s="9">
        <v>24</v>
      </c>
      <c r="AM358" s="9">
        <v>16</v>
      </c>
      <c r="AN358" s="9">
        <v>8</v>
      </c>
      <c r="AO358" s="9">
        <v>8</v>
      </c>
      <c r="AP358" s="9">
        <v>24</v>
      </c>
      <c r="AQ358" s="9">
        <v>32</v>
      </c>
      <c r="AR358" s="9">
        <v>90</v>
      </c>
      <c r="AS358" s="9">
        <v>24</v>
      </c>
      <c r="AT358" s="9">
        <v>49</v>
      </c>
      <c r="AU358" s="9">
        <v>16</v>
      </c>
      <c r="AV358" s="9">
        <v>8</v>
      </c>
      <c r="AW358" s="9">
        <v>32</v>
      </c>
      <c r="AX358" s="9">
        <v>8</v>
      </c>
      <c r="AY358" s="9">
        <v>32</v>
      </c>
      <c r="AZ358" s="9">
        <v>14</v>
      </c>
      <c r="BA358" s="10">
        <v>272.64</v>
      </c>
      <c r="BB358" s="11">
        <v>66083.38</v>
      </c>
      <c r="BC358" s="11">
        <v>37006.69</v>
      </c>
      <c r="BD358" s="11">
        <v>26433.35</v>
      </c>
      <c r="BE358" s="11">
        <v>47580.03</v>
      </c>
      <c r="BF358" s="11">
        <v>87230.06</v>
      </c>
      <c r="BG358" s="11">
        <v>8000</v>
      </c>
      <c r="BH358" s="11">
        <v>6250</v>
      </c>
      <c r="BI358" s="11">
        <v>3353</v>
      </c>
      <c r="BJ358" s="11">
        <v>7058</v>
      </c>
      <c r="BK358" s="11">
        <v>75603</v>
      </c>
      <c r="BL358" s="11">
        <v>63201</v>
      </c>
      <c r="BM358" s="11">
        <v>55501</v>
      </c>
      <c r="BN358" s="11">
        <v>30000</v>
      </c>
      <c r="BO358" s="9">
        <v>230000</v>
      </c>
      <c r="BP358" s="9">
        <v>4153</v>
      </c>
    </row>
    <row r="359" spans="1:68" x14ac:dyDescent="0.3">
      <c r="A359" s="7">
        <v>45649</v>
      </c>
      <c r="B359" s="7" t="str">
        <f t="shared" si="5"/>
        <v>DECEMBER</v>
      </c>
      <c r="C359" s="8">
        <f>MONTH(Data!$A359)</f>
        <v>12</v>
      </c>
      <c r="D359" s="9">
        <v>1099</v>
      </c>
      <c r="E359" s="9">
        <v>856</v>
      </c>
      <c r="F359" s="9">
        <v>296</v>
      </c>
      <c r="G359" s="9">
        <v>551</v>
      </c>
      <c r="H359" s="9">
        <v>252</v>
      </c>
      <c r="I359" s="9">
        <v>248</v>
      </c>
      <c r="J359" s="9">
        <v>497</v>
      </c>
      <c r="K359" s="9">
        <v>111</v>
      </c>
      <c r="L359" s="9">
        <v>258</v>
      </c>
      <c r="M359" s="9">
        <v>68</v>
      </c>
      <c r="N359" s="9">
        <v>81</v>
      </c>
      <c r="O359" s="9">
        <v>95</v>
      </c>
      <c r="P359" s="9">
        <v>27</v>
      </c>
      <c r="Q359" s="9">
        <v>200</v>
      </c>
      <c r="R359" s="9">
        <v>87</v>
      </c>
      <c r="S359" s="9">
        <v>41</v>
      </c>
      <c r="T359" s="9">
        <v>20</v>
      </c>
      <c r="U359" s="9">
        <v>222</v>
      </c>
      <c r="V359" s="9">
        <v>111</v>
      </c>
      <c r="W359" s="9">
        <v>8</v>
      </c>
      <c r="X359" s="9">
        <v>25</v>
      </c>
      <c r="Y359" s="9">
        <v>17</v>
      </c>
      <c r="Z359" s="9">
        <v>68</v>
      </c>
      <c r="AA359" s="9">
        <v>59</v>
      </c>
      <c r="AB359" s="9">
        <v>0</v>
      </c>
      <c r="AC359" s="9">
        <v>8</v>
      </c>
      <c r="AD359" s="9">
        <v>34</v>
      </c>
      <c r="AE359" s="9">
        <v>0</v>
      </c>
      <c r="AF359" s="9">
        <v>8</v>
      </c>
      <c r="AG359" s="9">
        <v>8</v>
      </c>
      <c r="AH359" s="9">
        <v>17</v>
      </c>
      <c r="AI359" s="9">
        <v>17</v>
      </c>
      <c r="AJ359" s="9">
        <v>0</v>
      </c>
      <c r="AK359" s="9">
        <v>68</v>
      </c>
      <c r="AL359" s="9">
        <v>17</v>
      </c>
      <c r="AM359" s="9">
        <v>25</v>
      </c>
      <c r="AN359" s="9">
        <v>17</v>
      </c>
      <c r="AO359" s="9">
        <v>0</v>
      </c>
      <c r="AP359" s="9">
        <v>8</v>
      </c>
      <c r="AQ359" s="9">
        <v>8</v>
      </c>
      <c r="AR359" s="9">
        <v>85</v>
      </c>
      <c r="AS359" s="9">
        <v>8</v>
      </c>
      <c r="AT359" s="9">
        <v>34</v>
      </c>
      <c r="AU359" s="9">
        <v>42</v>
      </c>
      <c r="AV359" s="9">
        <v>0</v>
      </c>
      <c r="AW359" s="9">
        <v>25</v>
      </c>
      <c r="AX359" s="9">
        <v>0</v>
      </c>
      <c r="AY359" s="9">
        <v>17</v>
      </c>
      <c r="AZ359" s="9">
        <v>122</v>
      </c>
      <c r="BA359" s="10">
        <v>274.52000000000004</v>
      </c>
      <c r="BB359" s="11">
        <v>92695</v>
      </c>
      <c r="BC359" s="11">
        <v>38168.53</v>
      </c>
      <c r="BD359" s="11">
        <v>32715.88</v>
      </c>
      <c r="BE359" s="11">
        <v>49073.82</v>
      </c>
      <c r="BF359" s="11">
        <v>59979.12</v>
      </c>
      <c r="BG359" s="11">
        <v>8000</v>
      </c>
      <c r="BH359" s="11">
        <v>6250</v>
      </c>
      <c r="BI359" s="11">
        <v>3353</v>
      </c>
      <c r="BJ359" s="11">
        <v>7058</v>
      </c>
      <c r="BK359" s="11">
        <v>75603</v>
      </c>
      <c r="BL359" s="11">
        <v>63201</v>
      </c>
      <c r="BM359" s="11">
        <v>55501</v>
      </c>
      <c r="BN359" s="11">
        <v>30000</v>
      </c>
      <c r="BO359" s="9">
        <v>230000</v>
      </c>
      <c r="BP359" s="9">
        <v>2524</v>
      </c>
    </row>
    <row r="360" spans="1:68" x14ac:dyDescent="0.3">
      <c r="A360" s="7">
        <v>45650</v>
      </c>
      <c r="B360" s="7" t="str">
        <f t="shared" si="5"/>
        <v>DECEMBER</v>
      </c>
      <c r="C360" s="8">
        <f>MONTH(Data!$A360)</f>
        <v>12</v>
      </c>
      <c r="D360" s="9">
        <v>1086</v>
      </c>
      <c r="E360" s="9">
        <v>880</v>
      </c>
      <c r="F360" s="9">
        <v>293</v>
      </c>
      <c r="G360" s="9">
        <v>555</v>
      </c>
      <c r="H360" s="9">
        <v>238</v>
      </c>
      <c r="I360" s="9">
        <v>202</v>
      </c>
      <c r="J360" s="9">
        <v>520</v>
      </c>
      <c r="K360" s="9">
        <v>158</v>
      </c>
      <c r="L360" s="9">
        <v>282</v>
      </c>
      <c r="M360" s="9">
        <v>215</v>
      </c>
      <c r="N360" s="9">
        <v>60</v>
      </c>
      <c r="O360" s="9">
        <v>94</v>
      </c>
      <c r="P360" s="9">
        <v>53</v>
      </c>
      <c r="Q360" s="9">
        <v>198</v>
      </c>
      <c r="R360" s="9">
        <v>119</v>
      </c>
      <c r="S360" s="9">
        <v>41</v>
      </c>
      <c r="T360" s="9">
        <v>24</v>
      </c>
      <c r="U360" s="9">
        <v>0</v>
      </c>
      <c r="V360" s="9">
        <v>105</v>
      </c>
      <c r="W360" s="9">
        <v>26</v>
      </c>
      <c r="X360" s="9">
        <v>44</v>
      </c>
      <c r="Y360" s="9">
        <v>0</v>
      </c>
      <c r="Z360" s="9">
        <v>70</v>
      </c>
      <c r="AA360" s="9">
        <v>70</v>
      </c>
      <c r="AB360" s="9">
        <v>0</v>
      </c>
      <c r="AC360" s="9">
        <v>0</v>
      </c>
      <c r="AD360" s="9">
        <v>44</v>
      </c>
      <c r="AE360" s="9">
        <v>17</v>
      </c>
      <c r="AF360" s="9">
        <v>8</v>
      </c>
      <c r="AG360" s="9">
        <v>17</v>
      </c>
      <c r="AH360" s="9">
        <v>8</v>
      </c>
      <c r="AI360" s="9">
        <v>26</v>
      </c>
      <c r="AJ360" s="9">
        <v>0</v>
      </c>
      <c r="AK360" s="9">
        <v>52</v>
      </c>
      <c r="AL360" s="9">
        <v>44</v>
      </c>
      <c r="AM360" s="9">
        <v>8</v>
      </c>
      <c r="AN360" s="9">
        <v>26</v>
      </c>
      <c r="AO360" s="9">
        <v>0</v>
      </c>
      <c r="AP360" s="9">
        <v>8</v>
      </c>
      <c r="AQ360" s="9">
        <v>17</v>
      </c>
      <c r="AR360" s="9">
        <v>61</v>
      </c>
      <c r="AS360" s="9">
        <v>17</v>
      </c>
      <c r="AT360" s="9">
        <v>26</v>
      </c>
      <c r="AU360" s="9">
        <v>35</v>
      </c>
      <c r="AV360" s="9">
        <v>8</v>
      </c>
      <c r="AW360" s="9">
        <v>52</v>
      </c>
      <c r="AX360" s="9">
        <v>35</v>
      </c>
      <c r="AY360" s="9">
        <v>26</v>
      </c>
      <c r="AZ360" s="9">
        <v>30</v>
      </c>
      <c r="BA360" s="10">
        <v>275.47000000000003</v>
      </c>
      <c r="BB360" s="11">
        <v>96082.11</v>
      </c>
      <c r="BC360" s="11">
        <v>52158.86</v>
      </c>
      <c r="BD360" s="11">
        <v>27452.03</v>
      </c>
      <c r="BE360" s="11">
        <v>52158.86</v>
      </c>
      <c r="BF360" s="11">
        <v>46668.45</v>
      </c>
      <c r="BG360" s="11">
        <v>8000</v>
      </c>
      <c r="BH360" s="11">
        <v>6250</v>
      </c>
      <c r="BI360" s="11">
        <v>3353</v>
      </c>
      <c r="BJ360" s="11">
        <v>7058</v>
      </c>
      <c r="BK360" s="11">
        <v>75603</v>
      </c>
      <c r="BL360" s="11">
        <v>63201</v>
      </c>
      <c r="BM360" s="11">
        <v>55501</v>
      </c>
      <c r="BN360" s="11">
        <v>30000</v>
      </c>
      <c r="BO360" s="9">
        <v>230000</v>
      </c>
      <c r="BP360" s="9">
        <v>4</v>
      </c>
    </row>
    <row r="361" spans="1:68" x14ac:dyDescent="0.3">
      <c r="A361" s="7">
        <v>45651</v>
      </c>
      <c r="B361" s="7" t="str">
        <f t="shared" si="5"/>
        <v>DECEMBER</v>
      </c>
      <c r="C361" s="8">
        <f>MONTH(Data!$A361)</f>
        <v>12</v>
      </c>
      <c r="D361" s="9">
        <v>1085</v>
      </c>
      <c r="E361" s="9">
        <v>902</v>
      </c>
      <c r="F361" s="9">
        <v>260</v>
      </c>
      <c r="G361" s="9">
        <v>576</v>
      </c>
      <c r="H361" s="9">
        <v>249</v>
      </c>
      <c r="I361" s="9">
        <v>423</v>
      </c>
      <c r="J361" s="9">
        <v>335</v>
      </c>
      <c r="K361" s="9">
        <v>144</v>
      </c>
      <c r="L361" s="9">
        <v>269</v>
      </c>
      <c r="M361" s="9">
        <v>188</v>
      </c>
      <c r="N361" s="9">
        <v>60</v>
      </c>
      <c r="O361" s="9">
        <v>33</v>
      </c>
      <c r="P361" s="9">
        <v>26</v>
      </c>
      <c r="Q361" s="9">
        <v>222</v>
      </c>
      <c r="R361" s="9">
        <v>119</v>
      </c>
      <c r="S361" s="9">
        <v>45</v>
      </c>
      <c r="T361" s="9">
        <v>53</v>
      </c>
      <c r="U361" s="9">
        <v>70</v>
      </c>
      <c r="V361" s="9">
        <v>90</v>
      </c>
      <c r="W361" s="9">
        <v>0</v>
      </c>
      <c r="X361" s="9">
        <v>45</v>
      </c>
      <c r="Y361" s="9">
        <v>0</v>
      </c>
      <c r="Z361" s="9">
        <v>135</v>
      </c>
      <c r="AA361" s="9">
        <v>54</v>
      </c>
      <c r="AB361" s="9">
        <v>0</v>
      </c>
      <c r="AC361" s="9">
        <v>0</v>
      </c>
      <c r="AD361" s="9">
        <v>45</v>
      </c>
      <c r="AE361" s="9">
        <v>27</v>
      </c>
      <c r="AF361" s="9">
        <v>0</v>
      </c>
      <c r="AG361" s="9">
        <v>18</v>
      </c>
      <c r="AH361" s="9">
        <v>0</v>
      </c>
      <c r="AI361" s="9">
        <v>0</v>
      </c>
      <c r="AJ361" s="9">
        <v>18</v>
      </c>
      <c r="AK361" s="9">
        <v>63</v>
      </c>
      <c r="AL361" s="9">
        <v>27</v>
      </c>
      <c r="AM361" s="9">
        <v>27</v>
      </c>
      <c r="AN361" s="9">
        <v>0</v>
      </c>
      <c r="AO361" s="9">
        <v>0</v>
      </c>
      <c r="AP361" s="9">
        <v>0</v>
      </c>
      <c r="AQ361" s="9">
        <v>36</v>
      </c>
      <c r="AR361" s="9">
        <v>99</v>
      </c>
      <c r="AS361" s="9">
        <v>9</v>
      </c>
      <c r="AT361" s="9">
        <v>81</v>
      </c>
      <c r="AU361" s="9">
        <v>27</v>
      </c>
      <c r="AV361" s="9">
        <v>9</v>
      </c>
      <c r="AW361" s="9">
        <v>45</v>
      </c>
      <c r="AX361" s="9">
        <v>0</v>
      </c>
      <c r="AY361" s="9">
        <v>36</v>
      </c>
      <c r="AZ361" s="9">
        <v>11</v>
      </c>
      <c r="BA361" s="10">
        <v>269.75</v>
      </c>
      <c r="BB361" s="11">
        <v>93659.55</v>
      </c>
      <c r="BC361" s="11">
        <v>38565.699999999997</v>
      </c>
      <c r="BD361" s="11">
        <v>60603.24</v>
      </c>
      <c r="BE361" s="11">
        <v>27546.93</v>
      </c>
      <c r="BF361" s="11">
        <v>55093.86</v>
      </c>
      <c r="BG361" s="11">
        <v>8000</v>
      </c>
      <c r="BH361" s="11">
        <v>6250</v>
      </c>
      <c r="BI361" s="11">
        <v>3353</v>
      </c>
      <c r="BJ361" s="11">
        <v>7058</v>
      </c>
      <c r="BK361" s="11">
        <v>75603</v>
      </c>
      <c r="BL361" s="11">
        <v>63201</v>
      </c>
      <c r="BM361" s="11">
        <v>55501</v>
      </c>
      <c r="BN361" s="11">
        <v>30000</v>
      </c>
      <c r="BO361" s="9">
        <v>230000</v>
      </c>
      <c r="BP361" s="9">
        <v>1629</v>
      </c>
    </row>
    <row r="362" spans="1:68" x14ac:dyDescent="0.3">
      <c r="A362" s="7">
        <v>45652</v>
      </c>
      <c r="B362" s="7" t="str">
        <f t="shared" si="5"/>
        <v>DECEMBER</v>
      </c>
      <c r="C362" s="8">
        <f>MONTH(Data!$A362)</f>
        <v>12</v>
      </c>
      <c r="D362" s="9">
        <v>1087</v>
      </c>
      <c r="E362" s="9">
        <v>911</v>
      </c>
      <c r="F362" s="9">
        <v>445</v>
      </c>
      <c r="G362" s="9">
        <v>566</v>
      </c>
      <c r="H362" s="9">
        <v>76</v>
      </c>
      <c r="I362" s="9">
        <v>300</v>
      </c>
      <c r="J362" s="9">
        <v>429</v>
      </c>
      <c r="K362" s="9">
        <v>182</v>
      </c>
      <c r="L362" s="9">
        <v>229</v>
      </c>
      <c r="M362" s="9">
        <v>101</v>
      </c>
      <c r="N362" s="9">
        <v>94</v>
      </c>
      <c r="O362" s="9">
        <v>94</v>
      </c>
      <c r="P362" s="9">
        <v>60</v>
      </c>
      <c r="Q362" s="9">
        <v>144</v>
      </c>
      <c r="R362" s="9">
        <v>41</v>
      </c>
      <c r="S362" s="9">
        <v>41</v>
      </c>
      <c r="T362" s="9">
        <v>28</v>
      </c>
      <c r="U362" s="9">
        <v>255</v>
      </c>
      <c r="V362" s="9">
        <v>54</v>
      </c>
      <c r="W362" s="9">
        <v>18</v>
      </c>
      <c r="X362" s="9">
        <v>27</v>
      </c>
      <c r="Y362" s="9">
        <v>9</v>
      </c>
      <c r="Z362" s="9">
        <v>119</v>
      </c>
      <c r="AA362" s="9">
        <v>45</v>
      </c>
      <c r="AB362" s="9">
        <v>9</v>
      </c>
      <c r="AC362" s="9">
        <v>27</v>
      </c>
      <c r="AD362" s="9">
        <v>27</v>
      </c>
      <c r="AE362" s="9">
        <v>9</v>
      </c>
      <c r="AF362" s="9">
        <v>9</v>
      </c>
      <c r="AG362" s="9">
        <v>27</v>
      </c>
      <c r="AH362" s="9">
        <v>0</v>
      </c>
      <c r="AI362" s="9">
        <v>9</v>
      </c>
      <c r="AJ362" s="9">
        <v>18</v>
      </c>
      <c r="AK362" s="9">
        <v>81</v>
      </c>
      <c r="AL362" s="9">
        <v>45</v>
      </c>
      <c r="AM362" s="9">
        <v>36</v>
      </c>
      <c r="AN362" s="9">
        <v>27</v>
      </c>
      <c r="AO362" s="9">
        <v>0</v>
      </c>
      <c r="AP362" s="9">
        <v>36</v>
      </c>
      <c r="AQ362" s="9">
        <v>36</v>
      </c>
      <c r="AR362" s="9">
        <v>81</v>
      </c>
      <c r="AS362" s="9">
        <v>9</v>
      </c>
      <c r="AT362" s="9">
        <v>36</v>
      </c>
      <c r="AU362" s="9">
        <v>45</v>
      </c>
      <c r="AV362" s="9">
        <v>0</v>
      </c>
      <c r="AW362" s="9">
        <v>45</v>
      </c>
      <c r="AX362" s="9">
        <v>0</v>
      </c>
      <c r="AY362" s="9">
        <v>27</v>
      </c>
      <c r="AZ362" s="9">
        <v>0</v>
      </c>
      <c r="BA362" s="10">
        <v>253.85</v>
      </c>
      <c r="BB362" s="11">
        <v>91718.58</v>
      </c>
      <c r="BC362" s="11">
        <v>43161.69</v>
      </c>
      <c r="BD362" s="11">
        <v>40464.080000000002</v>
      </c>
      <c r="BE362" s="11">
        <v>40464.080000000002</v>
      </c>
      <c r="BF362" s="11">
        <v>53952.11</v>
      </c>
      <c r="BG362" s="11">
        <v>8000</v>
      </c>
      <c r="BH362" s="11">
        <v>6250</v>
      </c>
      <c r="BI362" s="11">
        <v>3353</v>
      </c>
      <c r="BJ362" s="11">
        <v>7058</v>
      </c>
      <c r="BK362" s="11">
        <v>75603</v>
      </c>
      <c r="BL362" s="11">
        <v>63201</v>
      </c>
      <c r="BM362" s="11">
        <v>55501</v>
      </c>
      <c r="BN362" s="11">
        <v>30000</v>
      </c>
      <c r="BO362" s="9">
        <v>230000</v>
      </c>
      <c r="BP362" s="9">
        <v>8010</v>
      </c>
    </row>
    <row r="363" spans="1:68" x14ac:dyDescent="0.3">
      <c r="A363" s="7">
        <v>45653</v>
      </c>
      <c r="B363" s="7" t="str">
        <f t="shared" si="5"/>
        <v>DECEMBER</v>
      </c>
      <c r="C363" s="8">
        <f>MONTH(Data!$A363)</f>
        <v>12</v>
      </c>
      <c r="D363" s="9">
        <v>1094</v>
      </c>
      <c r="E363" s="9">
        <v>913</v>
      </c>
      <c r="F363" s="9">
        <v>547</v>
      </c>
      <c r="G363" s="9">
        <v>416</v>
      </c>
      <c r="H363" s="9">
        <v>131</v>
      </c>
      <c r="I363" s="9">
        <v>237</v>
      </c>
      <c r="J363" s="9">
        <v>476</v>
      </c>
      <c r="K363" s="9">
        <v>200</v>
      </c>
      <c r="L363" s="9">
        <v>230</v>
      </c>
      <c r="M363" s="9">
        <v>203</v>
      </c>
      <c r="N363" s="9">
        <v>81</v>
      </c>
      <c r="O363" s="9">
        <v>94</v>
      </c>
      <c r="P363" s="9">
        <v>40</v>
      </c>
      <c r="Q363" s="9">
        <v>216</v>
      </c>
      <c r="R363" s="9">
        <v>33</v>
      </c>
      <c r="S363" s="9">
        <v>45</v>
      </c>
      <c r="T363" s="9">
        <v>45</v>
      </c>
      <c r="U363" s="9">
        <v>107</v>
      </c>
      <c r="V363" s="9">
        <v>36</v>
      </c>
      <c r="W363" s="9">
        <v>18</v>
      </c>
      <c r="X363" s="9">
        <v>54</v>
      </c>
      <c r="Y363" s="9">
        <v>18</v>
      </c>
      <c r="Z363" s="9">
        <v>102</v>
      </c>
      <c r="AA363" s="9">
        <v>73</v>
      </c>
      <c r="AB363" s="9">
        <v>9</v>
      </c>
      <c r="AC363" s="9">
        <v>9</v>
      </c>
      <c r="AD363" s="9">
        <v>18</v>
      </c>
      <c r="AE363" s="9">
        <v>18</v>
      </c>
      <c r="AF363" s="9">
        <v>0</v>
      </c>
      <c r="AG363" s="9">
        <v>9</v>
      </c>
      <c r="AH363" s="9">
        <v>27</v>
      </c>
      <c r="AI363" s="9">
        <v>27</v>
      </c>
      <c r="AJ363" s="9">
        <v>27</v>
      </c>
      <c r="AK363" s="9">
        <v>45</v>
      </c>
      <c r="AL363" s="9">
        <v>54</v>
      </c>
      <c r="AM363" s="9">
        <v>36</v>
      </c>
      <c r="AN363" s="9">
        <v>27</v>
      </c>
      <c r="AO363" s="9">
        <v>9</v>
      </c>
      <c r="AP363" s="9">
        <v>27</v>
      </c>
      <c r="AQ363" s="9">
        <v>9</v>
      </c>
      <c r="AR363" s="9">
        <v>63</v>
      </c>
      <c r="AS363" s="9">
        <v>18</v>
      </c>
      <c r="AT363" s="9">
        <v>54</v>
      </c>
      <c r="AU363" s="9">
        <v>45</v>
      </c>
      <c r="AV363" s="9">
        <v>9</v>
      </c>
      <c r="AW363" s="9">
        <v>45</v>
      </c>
      <c r="AX363" s="9">
        <v>0</v>
      </c>
      <c r="AY363" s="9">
        <v>27</v>
      </c>
      <c r="AZ363" s="9">
        <v>0</v>
      </c>
      <c r="BA363" s="10">
        <v>235.06999999999996</v>
      </c>
      <c r="BB363" s="11">
        <v>68537.460000000006</v>
      </c>
      <c r="BC363" s="11">
        <v>55845.34</v>
      </c>
      <c r="BD363" s="11">
        <v>45691.64</v>
      </c>
      <c r="BE363" s="11">
        <v>35537.94</v>
      </c>
      <c r="BF363" s="11">
        <v>48230.06</v>
      </c>
      <c r="BG363" s="11">
        <v>8000</v>
      </c>
      <c r="BH363" s="11">
        <v>6250</v>
      </c>
      <c r="BI363" s="11">
        <v>3353</v>
      </c>
      <c r="BJ363" s="11">
        <v>7058</v>
      </c>
      <c r="BK363" s="11">
        <v>75603</v>
      </c>
      <c r="BL363" s="11">
        <v>63201</v>
      </c>
      <c r="BM363" s="11">
        <v>55501</v>
      </c>
      <c r="BN363" s="11">
        <v>30000</v>
      </c>
      <c r="BO363" s="9">
        <v>230000</v>
      </c>
      <c r="BP363" s="9">
        <v>5764</v>
      </c>
    </row>
    <row r="364" spans="1:68" x14ac:dyDescent="0.3">
      <c r="A364" s="7">
        <v>45654</v>
      </c>
      <c r="B364" s="7" t="str">
        <f t="shared" si="5"/>
        <v>DECEMBER</v>
      </c>
      <c r="C364" s="8">
        <f>MONTH(Data!$A364)</f>
        <v>12</v>
      </c>
      <c r="D364" s="9">
        <v>1106</v>
      </c>
      <c r="E364" s="9">
        <v>907</v>
      </c>
      <c r="F364" s="9">
        <v>409</v>
      </c>
      <c r="G364" s="9">
        <v>576</v>
      </c>
      <c r="H364" s="9">
        <v>121</v>
      </c>
      <c r="I364" s="9">
        <v>444</v>
      </c>
      <c r="J364" s="9">
        <v>391</v>
      </c>
      <c r="K364" s="9">
        <v>72</v>
      </c>
      <c r="L364" s="9">
        <v>246</v>
      </c>
      <c r="M364" s="9">
        <v>61</v>
      </c>
      <c r="N364" s="9">
        <v>54</v>
      </c>
      <c r="O364" s="9">
        <v>75</v>
      </c>
      <c r="P364" s="9">
        <v>41</v>
      </c>
      <c r="Q364" s="9">
        <v>201</v>
      </c>
      <c r="R364" s="9">
        <v>147</v>
      </c>
      <c r="S364" s="9">
        <v>42</v>
      </c>
      <c r="T364" s="9">
        <v>25</v>
      </c>
      <c r="U364" s="9">
        <v>214</v>
      </c>
      <c r="V364" s="9">
        <v>90</v>
      </c>
      <c r="W364" s="9">
        <v>0</v>
      </c>
      <c r="X364" s="9">
        <v>63</v>
      </c>
      <c r="Y364" s="9">
        <v>0</v>
      </c>
      <c r="Z364" s="9">
        <v>126</v>
      </c>
      <c r="AA364" s="9">
        <v>45</v>
      </c>
      <c r="AB364" s="9">
        <v>9</v>
      </c>
      <c r="AC364" s="9">
        <v>27</v>
      </c>
      <c r="AD364" s="9">
        <v>36</v>
      </c>
      <c r="AE364" s="9">
        <v>0</v>
      </c>
      <c r="AF364" s="9">
        <v>9</v>
      </c>
      <c r="AG364" s="9">
        <v>9</v>
      </c>
      <c r="AH364" s="9">
        <v>9</v>
      </c>
      <c r="AI364" s="9">
        <v>27</v>
      </c>
      <c r="AJ364" s="9">
        <v>27</v>
      </c>
      <c r="AK364" s="9">
        <v>45</v>
      </c>
      <c r="AL364" s="9">
        <v>9</v>
      </c>
      <c r="AM364" s="9">
        <v>45</v>
      </c>
      <c r="AN364" s="9">
        <v>0</v>
      </c>
      <c r="AO364" s="9">
        <v>9</v>
      </c>
      <c r="AP364" s="9">
        <v>27</v>
      </c>
      <c r="AQ364" s="9">
        <v>27</v>
      </c>
      <c r="AR364" s="9">
        <v>72</v>
      </c>
      <c r="AS364" s="9">
        <v>27</v>
      </c>
      <c r="AT364" s="9">
        <v>45</v>
      </c>
      <c r="AU364" s="9">
        <v>36</v>
      </c>
      <c r="AV364" s="9">
        <v>0</v>
      </c>
      <c r="AW364" s="9">
        <v>27</v>
      </c>
      <c r="AX364" s="9">
        <v>9</v>
      </c>
      <c r="AY364" s="9">
        <v>0</v>
      </c>
      <c r="AZ364" s="9">
        <v>52</v>
      </c>
      <c r="BA364" s="10">
        <v>213.18</v>
      </c>
      <c r="BB364" s="11">
        <v>77574.929999999993</v>
      </c>
      <c r="BC364" s="11">
        <v>44664.35</v>
      </c>
      <c r="BD364" s="11">
        <v>32910.58</v>
      </c>
      <c r="BE364" s="11">
        <v>23507.55</v>
      </c>
      <c r="BF364" s="11">
        <v>56418.13</v>
      </c>
      <c r="BG364" s="11">
        <v>8000</v>
      </c>
      <c r="BH364" s="11">
        <v>6250</v>
      </c>
      <c r="BI364" s="11">
        <v>3353</v>
      </c>
      <c r="BJ364" s="11">
        <v>7058</v>
      </c>
      <c r="BK364" s="11">
        <v>75603</v>
      </c>
      <c r="BL364" s="11">
        <v>63201</v>
      </c>
      <c r="BM364" s="11">
        <v>55501</v>
      </c>
      <c r="BN364" s="11">
        <v>30000</v>
      </c>
      <c r="BO364" s="9">
        <v>230000</v>
      </c>
      <c r="BP364" s="9">
        <v>8636</v>
      </c>
    </row>
    <row r="365" spans="1:68" x14ac:dyDescent="0.3">
      <c r="A365" s="7">
        <v>45655</v>
      </c>
      <c r="B365" s="7" t="str">
        <f t="shared" si="5"/>
        <v>DECEMBER</v>
      </c>
      <c r="C365" s="8">
        <f>MONTH(Data!$A365)</f>
        <v>12</v>
      </c>
      <c r="D365" s="9">
        <v>1121</v>
      </c>
      <c r="E365" s="9">
        <v>896</v>
      </c>
      <c r="F365" s="9">
        <v>459</v>
      </c>
      <c r="G365" s="9">
        <v>584</v>
      </c>
      <c r="H365" s="9">
        <v>78</v>
      </c>
      <c r="I365" s="9">
        <v>295</v>
      </c>
      <c r="J365" s="9">
        <v>431</v>
      </c>
      <c r="K365" s="9">
        <v>170</v>
      </c>
      <c r="L365" s="9">
        <v>284</v>
      </c>
      <c r="M365" s="9">
        <v>90</v>
      </c>
      <c r="N365" s="9">
        <v>55</v>
      </c>
      <c r="O365" s="9">
        <v>83</v>
      </c>
      <c r="P365" s="9">
        <v>55</v>
      </c>
      <c r="Q365" s="9">
        <v>230</v>
      </c>
      <c r="R365" s="9">
        <v>85</v>
      </c>
      <c r="S365" s="9">
        <v>42</v>
      </c>
      <c r="T365" s="9">
        <v>46</v>
      </c>
      <c r="U365" s="9">
        <v>151</v>
      </c>
      <c r="V365" s="9">
        <v>125</v>
      </c>
      <c r="W365" s="9">
        <v>17</v>
      </c>
      <c r="X365" s="9">
        <v>53</v>
      </c>
      <c r="Y365" s="9">
        <v>17</v>
      </c>
      <c r="Z365" s="9">
        <v>13</v>
      </c>
      <c r="AA365" s="9">
        <v>53</v>
      </c>
      <c r="AB365" s="9">
        <v>8</v>
      </c>
      <c r="AC365" s="9">
        <v>26</v>
      </c>
      <c r="AD365" s="9">
        <v>26</v>
      </c>
      <c r="AE365" s="9">
        <v>8</v>
      </c>
      <c r="AF365" s="9">
        <v>0</v>
      </c>
      <c r="AG365" s="9">
        <v>35</v>
      </c>
      <c r="AH365" s="9">
        <v>8</v>
      </c>
      <c r="AI365" s="9">
        <v>17</v>
      </c>
      <c r="AJ365" s="9">
        <v>17</v>
      </c>
      <c r="AK365" s="9">
        <v>53</v>
      </c>
      <c r="AL365" s="9">
        <v>44</v>
      </c>
      <c r="AM365" s="9">
        <v>35</v>
      </c>
      <c r="AN365" s="9">
        <v>8</v>
      </c>
      <c r="AO365" s="9">
        <v>0</v>
      </c>
      <c r="AP365" s="9">
        <v>35</v>
      </c>
      <c r="AQ365" s="9">
        <v>35</v>
      </c>
      <c r="AR365" s="9">
        <v>98</v>
      </c>
      <c r="AS365" s="9">
        <v>8</v>
      </c>
      <c r="AT365" s="9">
        <v>62</v>
      </c>
      <c r="AU365" s="9">
        <v>35</v>
      </c>
      <c r="AV365" s="9">
        <v>0</v>
      </c>
      <c r="AW365" s="9">
        <v>17</v>
      </c>
      <c r="AX365" s="9">
        <v>17</v>
      </c>
      <c r="AY365" s="9">
        <v>26</v>
      </c>
      <c r="AZ365" s="9">
        <v>0</v>
      </c>
      <c r="BA365" s="10">
        <v>195.19999999999996</v>
      </c>
      <c r="BB365" s="11">
        <v>57556.6</v>
      </c>
      <c r="BC365" s="11">
        <v>36239.339999999997</v>
      </c>
      <c r="BD365" s="11">
        <v>25580.71</v>
      </c>
      <c r="BE365" s="11">
        <v>36239.339999999997</v>
      </c>
      <c r="BF365" s="11">
        <v>57556.6</v>
      </c>
      <c r="BG365" s="11">
        <v>8000</v>
      </c>
      <c r="BH365" s="11">
        <v>6250</v>
      </c>
      <c r="BI365" s="11">
        <v>3353</v>
      </c>
      <c r="BJ365" s="11">
        <v>7058</v>
      </c>
      <c r="BK365" s="11">
        <v>75603</v>
      </c>
      <c r="BL365" s="11">
        <v>63201</v>
      </c>
      <c r="BM365" s="11">
        <v>55501</v>
      </c>
      <c r="BN365" s="11">
        <v>30000</v>
      </c>
      <c r="BO365" s="9">
        <v>230000</v>
      </c>
      <c r="BP365" s="9">
        <v>1531</v>
      </c>
    </row>
    <row r="366" spans="1:68" x14ac:dyDescent="0.3">
      <c r="A366" s="7">
        <v>45656</v>
      </c>
      <c r="B366" s="7" t="str">
        <f t="shared" si="5"/>
        <v>DECEMBER</v>
      </c>
      <c r="C366" s="8">
        <f>MONTH(Data!$A366)</f>
        <v>12</v>
      </c>
      <c r="D366" s="9">
        <v>1140</v>
      </c>
      <c r="E366" s="9">
        <v>881</v>
      </c>
      <c r="F366" s="9">
        <v>342</v>
      </c>
      <c r="G366" s="9">
        <v>741</v>
      </c>
      <c r="H366" s="9">
        <v>57</v>
      </c>
      <c r="I366" s="9">
        <v>387</v>
      </c>
      <c r="J366" s="9">
        <v>406</v>
      </c>
      <c r="K366" s="9">
        <v>88</v>
      </c>
      <c r="L366" s="9">
        <v>381</v>
      </c>
      <c r="M366" s="9">
        <v>155</v>
      </c>
      <c r="N366" s="9">
        <v>56</v>
      </c>
      <c r="O366" s="9">
        <v>63</v>
      </c>
      <c r="P366" s="9">
        <v>14</v>
      </c>
      <c r="Q366" s="9">
        <v>207</v>
      </c>
      <c r="R366" s="9">
        <v>112</v>
      </c>
      <c r="S366" s="9">
        <v>51</v>
      </c>
      <c r="T366" s="9">
        <v>25</v>
      </c>
      <c r="U366" s="9">
        <v>76</v>
      </c>
      <c r="V366" s="9">
        <v>79</v>
      </c>
      <c r="W366" s="9">
        <v>17</v>
      </c>
      <c r="X366" s="9">
        <v>52</v>
      </c>
      <c r="Y366" s="9">
        <v>0</v>
      </c>
      <c r="Z366" s="9">
        <v>56</v>
      </c>
      <c r="AA366" s="9">
        <v>70</v>
      </c>
      <c r="AB366" s="9">
        <v>26</v>
      </c>
      <c r="AC366" s="9">
        <v>26</v>
      </c>
      <c r="AD366" s="9">
        <v>44</v>
      </c>
      <c r="AE366" s="9">
        <v>8</v>
      </c>
      <c r="AF366" s="9">
        <v>8</v>
      </c>
      <c r="AG366" s="9">
        <v>35</v>
      </c>
      <c r="AH366" s="9">
        <v>8</v>
      </c>
      <c r="AI366" s="9">
        <v>17</v>
      </c>
      <c r="AJ366" s="9">
        <v>26</v>
      </c>
      <c r="AK366" s="9">
        <v>35</v>
      </c>
      <c r="AL366" s="9">
        <v>8</v>
      </c>
      <c r="AM366" s="9">
        <v>17</v>
      </c>
      <c r="AN366" s="9">
        <v>0</v>
      </c>
      <c r="AO366" s="9">
        <v>0</v>
      </c>
      <c r="AP366" s="9">
        <v>0</v>
      </c>
      <c r="AQ366" s="9">
        <v>26</v>
      </c>
      <c r="AR366" s="9">
        <v>96</v>
      </c>
      <c r="AS366" s="9">
        <v>17</v>
      </c>
      <c r="AT366" s="9">
        <v>44</v>
      </c>
      <c r="AU366" s="9">
        <v>44</v>
      </c>
      <c r="AV366" s="9">
        <v>0</v>
      </c>
      <c r="AW366" s="9">
        <v>52</v>
      </c>
      <c r="AX366" s="9">
        <v>35</v>
      </c>
      <c r="AY366" s="9">
        <v>35</v>
      </c>
      <c r="AZ366" s="9">
        <v>0</v>
      </c>
      <c r="BA366" s="10">
        <v>182.07000000000002</v>
      </c>
      <c r="BB366" s="11">
        <v>66369.23</v>
      </c>
      <c r="BC366" s="11">
        <v>46848.86</v>
      </c>
      <c r="BD366" s="11">
        <v>31232.58</v>
      </c>
      <c r="BE366" s="11">
        <v>27328.5</v>
      </c>
      <c r="BF366" s="11">
        <v>23424.43</v>
      </c>
      <c r="BG366" s="11">
        <v>8000</v>
      </c>
      <c r="BH366" s="11">
        <v>6250</v>
      </c>
      <c r="BI366" s="11">
        <v>3353</v>
      </c>
      <c r="BJ366" s="11">
        <v>7058</v>
      </c>
      <c r="BK366" s="11">
        <v>75603</v>
      </c>
      <c r="BL366" s="11">
        <v>63201</v>
      </c>
      <c r="BM366" s="11">
        <v>55501</v>
      </c>
      <c r="BN366" s="11">
        <v>30000</v>
      </c>
      <c r="BO366" s="9">
        <v>230000</v>
      </c>
      <c r="BP366" s="9">
        <v>494</v>
      </c>
    </row>
    <row r="367" spans="1:68" x14ac:dyDescent="0.3">
      <c r="A367" s="7">
        <v>45657</v>
      </c>
      <c r="B367" s="7" t="str">
        <f t="shared" si="5"/>
        <v>DECEMBER</v>
      </c>
      <c r="C367" s="8">
        <f>MONTH(Data!$A367)</f>
        <v>12</v>
      </c>
      <c r="D367" s="9">
        <v>1140</v>
      </c>
      <c r="E367" s="9">
        <v>881</v>
      </c>
      <c r="F367" s="9">
        <v>319</v>
      </c>
      <c r="G367" s="9">
        <v>628</v>
      </c>
      <c r="H367" s="9">
        <v>193</v>
      </c>
      <c r="I367" s="9">
        <v>308</v>
      </c>
      <c r="J367" s="9">
        <v>415</v>
      </c>
      <c r="K367" s="9">
        <v>158</v>
      </c>
      <c r="L367" s="9">
        <v>348</v>
      </c>
      <c r="M367" s="9">
        <v>226</v>
      </c>
      <c r="N367" s="9">
        <v>63</v>
      </c>
      <c r="O367" s="9">
        <v>84</v>
      </c>
      <c r="P367" s="9">
        <v>35</v>
      </c>
      <c r="Q367" s="9">
        <v>186</v>
      </c>
      <c r="R367" s="9">
        <v>95</v>
      </c>
      <c r="S367" s="9">
        <v>60</v>
      </c>
      <c r="T367" s="9">
        <v>43</v>
      </c>
      <c r="U367" s="9">
        <v>0</v>
      </c>
      <c r="V367" s="9">
        <v>35</v>
      </c>
      <c r="W367" s="9">
        <v>0</v>
      </c>
      <c r="X367" s="9">
        <v>26</v>
      </c>
      <c r="Y367" s="9">
        <v>0</v>
      </c>
      <c r="Z367" s="9">
        <v>61</v>
      </c>
      <c r="AA367" s="9">
        <v>79</v>
      </c>
      <c r="AB367" s="9">
        <v>0</v>
      </c>
      <c r="AC367" s="9">
        <v>17</v>
      </c>
      <c r="AD367" s="9">
        <v>44</v>
      </c>
      <c r="AE367" s="9">
        <v>0</v>
      </c>
      <c r="AF367" s="9">
        <v>8</v>
      </c>
      <c r="AG367" s="9">
        <v>26</v>
      </c>
      <c r="AH367" s="9">
        <v>0</v>
      </c>
      <c r="AI367" s="9">
        <v>17</v>
      </c>
      <c r="AJ367" s="9">
        <v>17</v>
      </c>
      <c r="AK367" s="9">
        <v>79</v>
      </c>
      <c r="AL367" s="9">
        <v>61</v>
      </c>
      <c r="AM367" s="9">
        <v>17</v>
      </c>
      <c r="AN367" s="9">
        <v>0</v>
      </c>
      <c r="AO367" s="9">
        <v>0</v>
      </c>
      <c r="AP367" s="9">
        <v>8</v>
      </c>
      <c r="AQ367" s="9">
        <v>26</v>
      </c>
      <c r="AR367" s="9">
        <v>61</v>
      </c>
      <c r="AS367" s="9">
        <v>26</v>
      </c>
      <c r="AT367" s="9">
        <v>35</v>
      </c>
      <c r="AU367" s="9">
        <v>17</v>
      </c>
      <c r="AV367" s="9">
        <v>8</v>
      </c>
      <c r="AW367" s="9">
        <v>61</v>
      </c>
      <c r="AX367" s="9">
        <v>35</v>
      </c>
      <c r="AY367" s="9">
        <v>26</v>
      </c>
      <c r="AZ367" s="9">
        <v>91</v>
      </c>
      <c r="BA367" s="10">
        <v>200.27700000000002</v>
      </c>
      <c r="BB367" s="11">
        <v>47336.27</v>
      </c>
      <c r="BC367" s="11">
        <v>41874.39</v>
      </c>
      <c r="BD367" s="11">
        <v>45515.64</v>
      </c>
      <c r="BE367" s="11">
        <v>45515.64</v>
      </c>
      <c r="BF367" s="11">
        <v>1820.63</v>
      </c>
      <c r="BG367" s="11">
        <v>8000</v>
      </c>
      <c r="BH367" s="11">
        <v>6250</v>
      </c>
      <c r="BI367" s="11">
        <v>3353</v>
      </c>
      <c r="BJ367" s="11">
        <v>7058</v>
      </c>
      <c r="BK367" s="11">
        <v>75603</v>
      </c>
      <c r="BL367" s="11">
        <v>63201</v>
      </c>
      <c r="BM367" s="11">
        <v>55501</v>
      </c>
      <c r="BN367" s="11">
        <v>30000</v>
      </c>
      <c r="BO367" s="9">
        <v>230000</v>
      </c>
      <c r="BP367" s="9">
        <v>8202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65F68-26F2-4625-B48E-960145523144}">
  <dimension ref="A1:R65"/>
  <sheetViews>
    <sheetView topLeftCell="A51" workbookViewId="0">
      <selection activeCell="B63" sqref="B63"/>
    </sheetView>
  </sheetViews>
  <sheetFormatPr defaultRowHeight="14.4" x14ac:dyDescent="0.3"/>
  <cols>
    <col min="2" max="2" width="8.88671875" style="4"/>
  </cols>
  <sheetData>
    <row r="1" spans="1:18" x14ac:dyDescent="0.3">
      <c r="B1" s="4" t="s">
        <v>0</v>
      </c>
      <c r="C1" t="s">
        <v>1</v>
      </c>
      <c r="D1" t="s">
        <v>2</v>
      </c>
      <c r="E1" t="s">
        <v>3</v>
      </c>
      <c r="G1" t="s">
        <v>4</v>
      </c>
      <c r="H1" s="1">
        <v>0.2</v>
      </c>
      <c r="I1">
        <v>100</v>
      </c>
      <c r="J1">
        <v>35</v>
      </c>
      <c r="K1">
        <v>135</v>
      </c>
      <c r="L1">
        <v>15</v>
      </c>
      <c r="O1" t="s">
        <v>5</v>
      </c>
      <c r="R1" t="s">
        <v>6</v>
      </c>
    </row>
    <row r="2" spans="1:18" x14ac:dyDescent="0.3">
      <c r="B2" s="29" t="s">
        <v>7</v>
      </c>
      <c r="G2" t="s">
        <v>4</v>
      </c>
      <c r="H2" s="1">
        <v>0.2</v>
      </c>
      <c r="I2">
        <v>100</v>
      </c>
      <c r="J2">
        <v>35</v>
      </c>
      <c r="K2">
        <v>135</v>
      </c>
      <c r="L2">
        <v>8</v>
      </c>
    </row>
    <row r="3" spans="1:18" x14ac:dyDescent="0.3">
      <c r="B3" s="30" t="s">
        <v>8</v>
      </c>
      <c r="C3">
        <v>0</v>
      </c>
      <c r="D3">
        <v>135</v>
      </c>
      <c r="G3" t="s">
        <v>4</v>
      </c>
      <c r="H3" s="1">
        <v>0.2</v>
      </c>
      <c r="I3">
        <v>100</v>
      </c>
      <c r="J3">
        <v>15</v>
      </c>
      <c r="K3">
        <v>135</v>
      </c>
      <c r="L3">
        <v>15</v>
      </c>
    </row>
    <row r="4" spans="1:18" x14ac:dyDescent="0.3">
      <c r="B4" s="31" t="s">
        <v>9</v>
      </c>
      <c r="C4">
        <v>75</v>
      </c>
      <c r="D4">
        <v>135</v>
      </c>
    </row>
    <row r="5" spans="1:18" x14ac:dyDescent="0.3">
      <c r="A5" t="s">
        <v>23</v>
      </c>
      <c r="B5" s="32" t="s">
        <v>10</v>
      </c>
      <c r="C5">
        <v>0</v>
      </c>
      <c r="D5">
        <v>135</v>
      </c>
    </row>
    <row r="6" spans="1:18" x14ac:dyDescent="0.3">
      <c r="A6" t="s">
        <v>23</v>
      </c>
      <c r="B6" s="33" t="s">
        <v>11</v>
      </c>
      <c r="C6">
        <v>100</v>
      </c>
      <c r="D6">
        <v>135</v>
      </c>
    </row>
    <row r="8" spans="1:18" x14ac:dyDescent="0.3">
      <c r="B8" s="34" t="s">
        <v>12</v>
      </c>
      <c r="C8">
        <v>0</v>
      </c>
      <c r="D8">
        <v>135</v>
      </c>
    </row>
    <row r="9" spans="1:18" x14ac:dyDescent="0.3">
      <c r="B9" s="31" t="s">
        <v>9</v>
      </c>
      <c r="C9">
        <v>75</v>
      </c>
      <c r="D9">
        <v>135</v>
      </c>
    </row>
    <row r="10" spans="1:18" x14ac:dyDescent="0.3">
      <c r="A10" t="s">
        <v>23</v>
      </c>
      <c r="B10" s="35" t="s">
        <v>13</v>
      </c>
      <c r="C10">
        <v>0</v>
      </c>
      <c r="D10">
        <v>150</v>
      </c>
    </row>
    <row r="11" spans="1:18" x14ac:dyDescent="0.3">
      <c r="A11" t="s">
        <v>23</v>
      </c>
      <c r="B11" s="36" t="s">
        <v>14</v>
      </c>
      <c r="C11">
        <v>33</v>
      </c>
      <c r="D11">
        <v>150</v>
      </c>
    </row>
    <row r="12" spans="1:18" x14ac:dyDescent="0.3">
      <c r="A12" t="s">
        <v>23</v>
      </c>
      <c r="B12" s="33" t="s">
        <v>11</v>
      </c>
      <c r="C12">
        <v>100</v>
      </c>
      <c r="D12">
        <v>150</v>
      </c>
    </row>
    <row r="14" spans="1:18" x14ac:dyDescent="0.3">
      <c r="B14" s="37" t="s">
        <v>15</v>
      </c>
      <c r="C14">
        <v>0</v>
      </c>
      <c r="D14">
        <v>110</v>
      </c>
    </row>
    <row r="15" spans="1:18" x14ac:dyDescent="0.3">
      <c r="B15" s="38" t="s">
        <v>16</v>
      </c>
      <c r="C15">
        <v>75</v>
      </c>
      <c r="D15">
        <v>110</v>
      </c>
    </row>
    <row r="16" spans="1:18" x14ac:dyDescent="0.3">
      <c r="A16" t="s">
        <v>23</v>
      </c>
      <c r="B16" s="39" t="s">
        <v>17</v>
      </c>
      <c r="C16">
        <v>0</v>
      </c>
      <c r="D16">
        <v>135</v>
      </c>
    </row>
    <row r="17" spans="1:6" x14ac:dyDescent="0.3">
      <c r="A17" t="s">
        <v>23</v>
      </c>
      <c r="B17" s="40" t="s">
        <v>18</v>
      </c>
      <c r="C17">
        <v>38</v>
      </c>
      <c r="D17">
        <v>135</v>
      </c>
    </row>
    <row r="18" spans="1:6" x14ac:dyDescent="0.3">
      <c r="A18" t="s">
        <v>23</v>
      </c>
      <c r="B18" s="41" t="s">
        <v>19</v>
      </c>
      <c r="C18">
        <v>100</v>
      </c>
      <c r="D18">
        <v>135</v>
      </c>
    </row>
    <row r="20" spans="1:6" x14ac:dyDescent="0.3">
      <c r="B20" s="42" t="s">
        <v>20</v>
      </c>
    </row>
    <row r="21" spans="1:6" x14ac:dyDescent="0.3">
      <c r="B21" s="43" t="s">
        <v>21</v>
      </c>
    </row>
    <row r="22" spans="1:6" x14ac:dyDescent="0.3">
      <c r="B22" s="44" t="s">
        <v>22</v>
      </c>
    </row>
    <row r="24" spans="1:6" x14ac:dyDescent="0.3">
      <c r="B24" s="45" t="s">
        <v>24</v>
      </c>
      <c r="C24">
        <v>0</v>
      </c>
      <c r="D24">
        <v>0</v>
      </c>
    </row>
    <row r="25" spans="1:6" x14ac:dyDescent="0.3">
      <c r="B25" s="46" t="s">
        <v>25</v>
      </c>
      <c r="C25">
        <v>5</v>
      </c>
      <c r="D25">
        <v>0</v>
      </c>
    </row>
    <row r="26" spans="1:6" x14ac:dyDescent="0.3">
      <c r="B26" s="46" t="s">
        <v>25</v>
      </c>
      <c r="C26">
        <v>97</v>
      </c>
      <c r="D26">
        <v>0</v>
      </c>
    </row>
    <row r="27" spans="1:6" x14ac:dyDescent="0.3">
      <c r="B27" s="37" t="s">
        <v>15</v>
      </c>
      <c r="C27">
        <v>100</v>
      </c>
      <c r="D27">
        <v>0</v>
      </c>
    </row>
    <row r="28" spans="1:6" x14ac:dyDescent="0.3">
      <c r="A28" t="s">
        <v>23</v>
      </c>
      <c r="B28" s="47" t="s">
        <v>17</v>
      </c>
      <c r="C28">
        <v>0</v>
      </c>
      <c r="D28">
        <v>135</v>
      </c>
    </row>
    <row r="29" spans="1:6" x14ac:dyDescent="0.3">
      <c r="A29" t="s">
        <v>23</v>
      </c>
      <c r="B29" s="40" t="s">
        <v>18</v>
      </c>
      <c r="C29">
        <v>38</v>
      </c>
      <c r="D29">
        <v>135</v>
      </c>
    </row>
    <row r="30" spans="1:6" x14ac:dyDescent="0.3">
      <c r="A30" t="s">
        <v>23</v>
      </c>
      <c r="B30" s="41" t="s">
        <v>19</v>
      </c>
      <c r="C30">
        <v>100</v>
      </c>
      <c r="D30">
        <v>135</v>
      </c>
    </row>
    <row r="31" spans="1:6" x14ac:dyDescent="0.3">
      <c r="B31" s="48" t="s">
        <v>26</v>
      </c>
      <c r="F31" s="3"/>
    </row>
    <row r="32" spans="1:6" x14ac:dyDescent="0.3">
      <c r="B32" s="48" t="s">
        <v>27</v>
      </c>
      <c r="F32" s="24"/>
    </row>
    <row r="34" spans="1:6" x14ac:dyDescent="0.3">
      <c r="B34" s="49" t="s">
        <v>28</v>
      </c>
      <c r="C34">
        <v>10</v>
      </c>
      <c r="D34">
        <v>135</v>
      </c>
    </row>
    <row r="35" spans="1:6" x14ac:dyDescent="0.3">
      <c r="B35" s="50" t="s">
        <v>29</v>
      </c>
      <c r="C35">
        <v>67</v>
      </c>
      <c r="D35">
        <v>135</v>
      </c>
      <c r="F35" t="s">
        <v>129</v>
      </c>
    </row>
    <row r="36" spans="1:6" x14ac:dyDescent="0.3">
      <c r="A36" t="s">
        <v>23</v>
      </c>
      <c r="B36" s="51" t="s">
        <v>30</v>
      </c>
      <c r="C36">
        <v>25</v>
      </c>
      <c r="D36">
        <v>135</v>
      </c>
    </row>
    <row r="37" spans="1:6" x14ac:dyDescent="0.3">
      <c r="A37" t="s">
        <v>23</v>
      </c>
      <c r="B37" s="52" t="s">
        <v>31</v>
      </c>
      <c r="C37">
        <v>100</v>
      </c>
      <c r="D37">
        <v>135</v>
      </c>
    </row>
    <row r="39" spans="1:6" x14ac:dyDescent="0.3">
      <c r="B39" s="53" t="s">
        <v>123</v>
      </c>
    </row>
    <row r="40" spans="1:6" x14ac:dyDescent="0.3">
      <c r="B40" s="54" t="s">
        <v>124</v>
      </c>
    </row>
    <row r="41" spans="1:6" x14ac:dyDescent="0.3">
      <c r="B41" s="55" t="s">
        <v>125</v>
      </c>
    </row>
    <row r="42" spans="1:6" x14ac:dyDescent="0.3">
      <c r="B42" s="56" t="s">
        <v>126</v>
      </c>
    </row>
    <row r="43" spans="1:6" x14ac:dyDescent="0.3">
      <c r="B43" s="57" t="s">
        <v>127</v>
      </c>
    </row>
    <row r="44" spans="1:6" x14ac:dyDescent="0.3">
      <c r="B44" s="58" t="s">
        <v>128</v>
      </c>
    </row>
    <row r="46" spans="1:6" x14ac:dyDescent="0.3">
      <c r="B46" s="59" t="s">
        <v>134</v>
      </c>
      <c r="C46">
        <v>10</v>
      </c>
      <c r="D46">
        <v>90</v>
      </c>
    </row>
    <row r="47" spans="1:6" x14ac:dyDescent="0.3">
      <c r="B47" s="60" t="s">
        <v>135</v>
      </c>
      <c r="C47">
        <v>80</v>
      </c>
      <c r="D47">
        <v>90</v>
      </c>
    </row>
    <row r="48" spans="1:6" x14ac:dyDescent="0.3">
      <c r="B48" s="58" t="s">
        <v>128</v>
      </c>
      <c r="C48">
        <v>0</v>
      </c>
      <c r="D48">
        <v>90</v>
      </c>
      <c r="E48">
        <v>0</v>
      </c>
    </row>
    <row r="49" spans="2:5" x14ac:dyDescent="0.3">
      <c r="B49" s="58" t="s">
        <v>128</v>
      </c>
      <c r="C49">
        <v>88</v>
      </c>
      <c r="D49">
        <v>90</v>
      </c>
      <c r="E49">
        <v>50</v>
      </c>
    </row>
    <row r="51" spans="2:5" x14ac:dyDescent="0.3">
      <c r="B51" s="61" t="s">
        <v>147</v>
      </c>
      <c r="C51">
        <v>0</v>
      </c>
      <c r="D51">
        <v>90</v>
      </c>
    </row>
    <row r="52" spans="2:5" x14ac:dyDescent="0.3">
      <c r="B52" s="62" t="s">
        <v>148</v>
      </c>
      <c r="C52">
        <v>100</v>
      </c>
      <c r="D52">
        <v>90</v>
      </c>
    </row>
    <row r="53" spans="2:5" x14ac:dyDescent="0.3">
      <c r="B53" s="63" t="s">
        <v>149</v>
      </c>
      <c r="C53">
        <v>0</v>
      </c>
      <c r="D53">
        <v>90</v>
      </c>
    </row>
    <row r="54" spans="2:5" x14ac:dyDescent="0.3">
      <c r="B54" s="64" t="s">
        <v>150</v>
      </c>
      <c r="C54">
        <v>100</v>
      </c>
      <c r="D54">
        <v>90</v>
      </c>
    </row>
    <row r="55" spans="2:5" x14ac:dyDescent="0.3">
      <c r="B55" s="65" t="s">
        <v>151</v>
      </c>
      <c r="C55">
        <v>0</v>
      </c>
      <c r="D55">
        <v>90</v>
      </c>
    </row>
    <row r="56" spans="2:5" x14ac:dyDescent="0.3">
      <c r="B56" s="66" t="s">
        <v>152</v>
      </c>
      <c r="C56">
        <v>100</v>
      </c>
      <c r="D56">
        <v>90</v>
      </c>
    </row>
    <row r="57" spans="2:5" x14ac:dyDescent="0.3">
      <c r="B57" s="67" t="s">
        <v>153</v>
      </c>
      <c r="C57">
        <v>0</v>
      </c>
      <c r="D57">
        <v>90</v>
      </c>
    </row>
    <row r="58" spans="2:5" x14ac:dyDescent="0.3">
      <c r="B58" s="68" t="s">
        <v>154</v>
      </c>
      <c r="C58">
        <v>100</v>
      </c>
      <c r="D58">
        <v>90</v>
      </c>
    </row>
    <row r="59" spans="2:5" x14ac:dyDescent="0.3">
      <c r="B59" s="69" t="s">
        <v>155</v>
      </c>
      <c r="C59">
        <v>0</v>
      </c>
      <c r="D59">
        <v>90</v>
      </c>
    </row>
    <row r="60" spans="2:5" x14ac:dyDescent="0.3">
      <c r="B60" s="70" t="s">
        <v>156</v>
      </c>
      <c r="C60">
        <v>100</v>
      </c>
      <c r="D60">
        <v>90</v>
      </c>
    </row>
    <row r="62" spans="2:5" x14ac:dyDescent="0.3">
      <c r="B62" s="76" t="s">
        <v>152</v>
      </c>
      <c r="C62">
        <v>0</v>
      </c>
      <c r="D62">
        <v>90</v>
      </c>
    </row>
    <row r="63" spans="2:5" x14ac:dyDescent="0.3">
      <c r="B63" s="77" t="s">
        <v>151</v>
      </c>
      <c r="C63">
        <v>100</v>
      </c>
      <c r="D63">
        <v>90</v>
      </c>
    </row>
    <row r="64" spans="2:5" x14ac:dyDescent="0.3">
      <c r="B64" s="78" t="s">
        <v>194</v>
      </c>
      <c r="C64">
        <v>0</v>
      </c>
      <c r="D64">
        <v>90</v>
      </c>
    </row>
    <row r="65" spans="2:4" x14ac:dyDescent="0.3">
      <c r="B65" s="79" t="s">
        <v>195</v>
      </c>
      <c r="C65">
        <v>100</v>
      </c>
      <c r="D65">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Processing</vt:lpstr>
      <vt:lpstr>Control</vt:lpstr>
      <vt:lpstr>Data</vt:lpstr>
      <vt:lpstr>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Nidhi Suthar</dc:creator>
  <cp:lastModifiedBy>Nidhi Suthar</cp:lastModifiedBy>
  <dcterms:created xsi:type="dcterms:W3CDTF">2026-04-26T13:21:46Z</dcterms:created>
  <dcterms:modified xsi:type="dcterms:W3CDTF">2026-05-14T14:21:53Z</dcterms:modified>
</cp:coreProperties>
</file>